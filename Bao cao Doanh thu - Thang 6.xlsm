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updateLinks="never" codeName="ThisWorkbook" autoCompressPictures="0" defaultThemeVersion="124226"/>
  <bookViews>
    <workbookView xWindow="0" yWindow="0" windowWidth="20640" windowHeight="11670" tabRatio="804" firstSheet="1" activeTab="5"/>
  </bookViews>
  <sheets>
    <sheet name="BanBuon" sheetId="22" r:id="rId1"/>
    <sheet name="CS1" sheetId="1" r:id="rId2"/>
    <sheet name="CS3" sheetId="2" r:id="rId3"/>
    <sheet name="CS4" sheetId="3" r:id="rId4"/>
    <sheet name="TongHopBanBuon" sheetId="23" r:id="rId5"/>
    <sheet name="Tong Hop CS1" sheetId="4" r:id="rId6"/>
    <sheet name="Tong Hop CS3" sheetId="5" r:id="rId7"/>
    <sheet name="Tong Hop CS4" sheetId="6" r:id="rId8"/>
    <sheet name="DoanhThuThang" sheetId="7" r:id="rId9"/>
    <sheet name="DoanhThuMoi" sheetId="14" state="hidden" r:id="rId10"/>
    <sheet name="Master" sheetId="9" r:id="rId11"/>
    <sheet name="So Lieu CS3" sheetId="10" state="hidden" r:id="rId12"/>
    <sheet name="So Lieu CS4" sheetId="11" state="hidden" r:id="rId13"/>
    <sheet name="BDS" sheetId="16" r:id="rId14"/>
    <sheet name="BBS" sheetId="17" r:id="rId15"/>
    <sheet name="BCS" sheetId="18" r:id="rId16"/>
    <sheet name="DSNhanVien" sheetId="12" r:id="rId17"/>
    <sheet name="Sheet1" sheetId="15" state="hidden" r:id="rId18"/>
  </sheets>
  <definedNames>
    <definedName name="_xlnm._FilterDatabase" localSheetId="9" hidden="1">DoanhThuMoi!$A$1:$AD$36</definedName>
  </definedNames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Z2" i="4" l="1"/>
  <c r="Z3" i="4"/>
  <c r="Z4" i="4"/>
  <c r="Z5" i="4"/>
  <c r="J2" i="5"/>
  <c r="J3" i="5"/>
  <c r="Z6" i="4"/>
  <c r="J4" i="5"/>
  <c r="Z7" i="4"/>
  <c r="J5" i="5"/>
  <c r="Z8" i="4"/>
  <c r="J6" i="5"/>
  <c r="J7" i="5"/>
  <c r="J8" i="5"/>
  <c r="Z9" i="4"/>
  <c r="J9" i="5"/>
  <c r="J10" i="5"/>
  <c r="Z10" i="4"/>
  <c r="Z11" i="4"/>
  <c r="Z12" i="4"/>
  <c r="Z13" i="4"/>
  <c r="Z14" i="4"/>
  <c r="Z15" i="4"/>
  <c r="Z16" i="4"/>
  <c r="J11" i="5"/>
  <c r="J2" i="6"/>
  <c r="J12" i="5"/>
  <c r="J13" i="5"/>
  <c r="J3" i="6"/>
  <c r="J4" i="6"/>
  <c r="J5" i="6"/>
  <c r="J6" i="6"/>
  <c r="J7" i="6"/>
  <c r="J8" i="6"/>
  <c r="J9" i="6"/>
  <c r="J10" i="6"/>
  <c r="J14" i="5"/>
  <c r="Z18" i="4"/>
  <c r="Z19" i="4"/>
  <c r="Z20" i="4"/>
  <c r="J15" i="5"/>
  <c r="J16" i="5"/>
  <c r="J17" i="5"/>
  <c r="Z21" i="4"/>
  <c r="Z22" i="4"/>
  <c r="J18" i="5"/>
  <c r="J19" i="5"/>
  <c r="Z23" i="4"/>
  <c r="Z24" i="4"/>
  <c r="J20" i="5"/>
  <c r="J21" i="5"/>
  <c r="Z25" i="4"/>
  <c r="Z26" i="4"/>
  <c r="J22" i="5"/>
  <c r="Z27" i="4"/>
  <c r="J23" i="5"/>
  <c r="J11" i="6"/>
  <c r="J12" i="6"/>
  <c r="J24" i="5"/>
  <c r="Z28" i="4"/>
  <c r="J25" i="5"/>
  <c r="J26" i="5"/>
  <c r="Z29" i="4"/>
  <c r="J27" i="5"/>
  <c r="Z30" i="4"/>
  <c r="J28" i="5"/>
  <c r="Z31" i="4"/>
  <c r="Z32" i="4"/>
  <c r="J29" i="5"/>
  <c r="J30" i="5"/>
  <c r="Z33" i="4"/>
  <c r="Z34" i="4"/>
  <c r="Z35" i="4"/>
  <c r="Z36" i="4"/>
  <c r="Z37" i="4"/>
  <c r="J31" i="5"/>
  <c r="J32" i="5"/>
  <c r="J33" i="5"/>
  <c r="J34" i="5"/>
  <c r="J13" i="6"/>
  <c r="J14" i="6"/>
  <c r="J15" i="6"/>
  <c r="J16" i="6"/>
  <c r="J17" i="6"/>
  <c r="J18" i="6"/>
  <c r="J19" i="6"/>
  <c r="J35" i="5"/>
  <c r="J36" i="5"/>
  <c r="J37" i="5"/>
  <c r="Z38" i="4"/>
  <c r="Z39" i="4"/>
  <c r="J38" i="5"/>
  <c r="J39" i="5"/>
  <c r="Z40" i="4"/>
  <c r="Z41" i="4"/>
  <c r="J40" i="5"/>
  <c r="J41" i="5"/>
  <c r="J42" i="5"/>
  <c r="J20" i="6"/>
  <c r="J21" i="6"/>
  <c r="J22" i="6"/>
  <c r="J23" i="6"/>
  <c r="Z42" i="4"/>
  <c r="J43" i="5"/>
  <c r="Z43" i="4"/>
  <c r="Z44" i="4"/>
  <c r="J24" i="6"/>
  <c r="Z45" i="4"/>
  <c r="J25" i="6"/>
  <c r="J26" i="6"/>
  <c r="J27" i="6"/>
  <c r="J28" i="6"/>
  <c r="Z46" i="4"/>
  <c r="Z47" i="4"/>
  <c r="J44" i="5"/>
  <c r="J45" i="5"/>
  <c r="J29" i="6"/>
  <c r="Z48" i="4"/>
  <c r="J30" i="6"/>
  <c r="Z49" i="4"/>
  <c r="Z50" i="4"/>
  <c r="Z51" i="4"/>
  <c r="J46" i="5"/>
  <c r="J31" i="6"/>
  <c r="J32" i="6"/>
  <c r="J33" i="6"/>
  <c r="J34" i="6"/>
  <c r="J35" i="6"/>
  <c r="J36" i="6"/>
  <c r="J37" i="6"/>
  <c r="J38" i="6"/>
  <c r="J47" i="5"/>
  <c r="J48" i="5"/>
  <c r="Z52" i="4"/>
  <c r="Z53" i="4"/>
  <c r="J49" i="5"/>
  <c r="J50" i="5"/>
  <c r="J51" i="5"/>
  <c r="J52" i="5"/>
  <c r="Z54" i="4"/>
  <c r="CF36" i="7"/>
  <c r="CF35" i="7"/>
  <c r="CF34" i="7"/>
  <c r="CF33" i="7"/>
  <c r="CF32" i="7"/>
  <c r="CF31" i="7"/>
  <c r="CF30" i="7"/>
  <c r="CF29" i="7"/>
  <c r="CF28" i="7"/>
  <c r="CF27" i="7"/>
  <c r="CF26" i="7"/>
  <c r="CF25" i="7"/>
  <c r="CF24" i="7"/>
  <c r="CF23" i="7"/>
  <c r="CF22" i="7"/>
  <c r="CF21" i="7"/>
  <c r="CF20" i="7"/>
  <c r="CF19" i="7"/>
  <c r="CF18" i="7"/>
  <c r="CF17" i="7"/>
  <c r="CF16" i="7"/>
  <c r="CF15" i="7"/>
  <c r="CF14" i="7"/>
  <c r="CF13" i="7"/>
  <c r="CF12" i="7"/>
  <c r="CF11" i="7"/>
  <c r="CF10" i="7"/>
  <c r="CF9" i="7"/>
  <c r="CF8" i="7"/>
  <c r="CF7" i="7"/>
  <c r="CE36" i="7"/>
  <c r="CE35" i="7"/>
  <c r="CE34" i="7"/>
  <c r="CE33" i="7"/>
  <c r="CE32" i="7"/>
  <c r="CE31" i="7"/>
  <c r="CE30" i="7"/>
  <c r="CE29" i="7"/>
  <c r="CE28" i="7"/>
  <c r="CE27" i="7"/>
  <c r="CE26" i="7"/>
  <c r="CE25" i="7"/>
  <c r="CE24" i="7"/>
  <c r="CE23" i="7"/>
  <c r="CE22" i="7"/>
  <c r="CE21" i="7"/>
  <c r="CE20" i="7"/>
  <c r="CE18" i="7"/>
  <c r="CE17" i="7"/>
  <c r="CE16" i="7"/>
  <c r="CE15" i="7"/>
  <c r="CE14" i="7"/>
  <c r="CE13" i="7"/>
  <c r="CE12" i="7"/>
  <c r="CE11" i="7"/>
  <c r="CE10" i="7"/>
  <c r="CE9" i="7"/>
  <c r="CE8" i="7"/>
  <c r="CE7" i="7"/>
  <c r="CD36" i="7"/>
  <c r="CD35" i="7"/>
  <c r="CD34" i="7"/>
  <c r="CD33" i="7"/>
  <c r="CD32" i="7"/>
  <c r="CD31" i="7"/>
  <c r="CD30" i="7"/>
  <c r="CD29" i="7"/>
  <c r="CD28" i="7"/>
  <c r="CD27" i="7"/>
  <c r="CD26" i="7"/>
  <c r="CD25" i="7"/>
  <c r="CD24" i="7"/>
  <c r="CD23" i="7"/>
  <c r="CD22" i="7"/>
  <c r="CD21" i="7"/>
  <c r="CD20" i="7"/>
  <c r="CD19" i="7"/>
  <c r="CD18" i="7"/>
  <c r="CD17" i="7"/>
  <c r="CD16" i="7"/>
  <c r="CD15" i="7"/>
  <c r="CD14" i="7"/>
  <c r="CD13" i="7"/>
  <c r="CD12" i="7"/>
  <c r="CD11" i="7"/>
  <c r="CD10" i="7"/>
  <c r="CD9" i="7"/>
  <c r="CD8" i="7"/>
  <c r="CD7" i="7"/>
  <c r="CC36" i="7"/>
  <c r="CC35" i="7"/>
  <c r="CC34" i="7"/>
  <c r="CC33" i="7"/>
  <c r="CC32" i="7"/>
  <c r="CC31" i="7"/>
  <c r="CC30" i="7"/>
  <c r="CC29" i="7"/>
  <c r="CC28" i="7"/>
  <c r="CC27" i="7"/>
  <c r="CC26" i="7"/>
  <c r="CC25" i="7"/>
  <c r="CC24" i="7"/>
  <c r="CC23" i="7"/>
  <c r="CC22" i="7"/>
  <c r="CC21" i="7"/>
  <c r="CC20" i="7"/>
  <c r="CC19" i="7"/>
  <c r="CG19" i="7"/>
  <c r="CC18" i="7"/>
  <c r="CG18" i="7"/>
  <c r="CC17" i="7"/>
  <c r="CG17" i="7"/>
  <c r="CC16" i="7"/>
  <c r="CC15" i="7"/>
  <c r="CC14" i="7"/>
  <c r="CG14" i="7"/>
  <c r="CC13" i="7"/>
  <c r="CG13" i="7"/>
  <c r="CC12" i="7"/>
  <c r="CC11" i="7"/>
  <c r="CC10" i="7"/>
  <c r="CG10" i="7"/>
  <c r="CC9" i="7"/>
  <c r="CG9" i="7"/>
  <c r="CC8" i="7"/>
  <c r="CC7" i="7"/>
  <c r="CF6" i="7"/>
  <c r="CE6" i="7"/>
  <c r="CD6" i="7"/>
  <c r="CC6" i="7"/>
  <c r="Z55" i="4"/>
  <c r="J53" i="5"/>
  <c r="J54" i="5"/>
  <c r="J55" i="5"/>
  <c r="Z56" i="4"/>
  <c r="Z57" i="4"/>
  <c r="J56" i="5"/>
  <c r="J57" i="5"/>
  <c r="J39" i="6"/>
  <c r="J40" i="6"/>
  <c r="J41" i="6"/>
  <c r="J42" i="6"/>
  <c r="Z58" i="4"/>
  <c r="Z59" i="4"/>
  <c r="Z60" i="4"/>
  <c r="Z61" i="4"/>
  <c r="J58" i="5"/>
  <c r="J59" i="5"/>
  <c r="J60" i="5"/>
  <c r="J61" i="5"/>
  <c r="J43" i="6"/>
  <c r="Z62" i="4"/>
  <c r="BY36" i="7"/>
  <c r="O34" i="16"/>
  <c r="BY35" i="7"/>
  <c r="O33" i="16"/>
  <c r="BY34" i="7"/>
  <c r="BY33" i="7"/>
  <c r="O31" i="16"/>
  <c r="BY32" i="7"/>
  <c r="O30" i="16"/>
  <c r="BY31" i="7"/>
  <c r="O29" i="16"/>
  <c r="BY30" i="7"/>
  <c r="O28" i="16"/>
  <c r="BY29" i="7"/>
  <c r="O27" i="16"/>
  <c r="BY28" i="7"/>
  <c r="BY27" i="7"/>
  <c r="O25" i="16"/>
  <c r="BY26" i="7"/>
  <c r="O24" i="16"/>
  <c r="BY25" i="7"/>
  <c r="O23" i="16"/>
  <c r="BY24" i="7"/>
  <c r="O22" i="16"/>
  <c r="BY23" i="7"/>
  <c r="O21" i="16"/>
  <c r="BY22" i="7"/>
  <c r="O20" i="16"/>
  <c r="BY21" i="7"/>
  <c r="O19" i="16"/>
  <c r="BY20" i="7"/>
  <c r="O18" i="16"/>
  <c r="BY19" i="7"/>
  <c r="O17" i="16"/>
  <c r="BY18" i="7"/>
  <c r="BY17" i="7"/>
  <c r="BW17" i="7"/>
  <c r="N15" i="16"/>
  <c r="BY16" i="7"/>
  <c r="O14" i="16"/>
  <c r="BY15" i="7"/>
  <c r="O13" i="16"/>
  <c r="BY14" i="7"/>
  <c r="O12" i="16"/>
  <c r="BY13" i="7"/>
  <c r="O11" i="16"/>
  <c r="BY12" i="7"/>
  <c r="BY11" i="7"/>
  <c r="O9" i="16"/>
  <c r="BY10" i="7"/>
  <c r="O8" i="16"/>
  <c r="BY9" i="7"/>
  <c r="O7" i="16"/>
  <c r="BY8" i="7"/>
  <c r="O6" i="16"/>
  <c r="BY7" i="7"/>
  <c r="O5" i="16"/>
  <c r="BW36" i="7"/>
  <c r="BW35" i="7"/>
  <c r="CA35" i="7"/>
  <c r="BW34" i="7"/>
  <c r="N32" i="16"/>
  <c r="BW33" i="7"/>
  <c r="N31" i="16"/>
  <c r="BW32" i="7"/>
  <c r="BW31" i="7"/>
  <c r="N29" i="16"/>
  <c r="BW30" i="7"/>
  <c r="N28" i="16"/>
  <c r="BW29" i="7"/>
  <c r="BW28" i="7"/>
  <c r="N26" i="16"/>
  <c r="BW27" i="7"/>
  <c r="BW26" i="7"/>
  <c r="N24" i="16"/>
  <c r="BW25" i="7"/>
  <c r="BW24" i="7"/>
  <c r="N22" i="16"/>
  <c r="BW23" i="7"/>
  <c r="N21" i="16"/>
  <c r="BW22" i="7"/>
  <c r="BW21" i="7"/>
  <c r="N19" i="16"/>
  <c r="BW20" i="7"/>
  <c r="N18" i="16"/>
  <c r="BW19" i="7"/>
  <c r="N17" i="16"/>
  <c r="BW18" i="7"/>
  <c r="N16" i="16"/>
  <c r="BW16" i="7"/>
  <c r="N14" i="16"/>
  <c r="BW15" i="7"/>
  <c r="CA15" i="7"/>
  <c r="BW14" i="7"/>
  <c r="N12" i="16"/>
  <c r="BW13" i="7"/>
  <c r="N11" i="16"/>
  <c r="BW12" i="7"/>
  <c r="N10" i="16"/>
  <c r="BW11" i="7"/>
  <c r="BW10" i="7"/>
  <c r="N8" i="16"/>
  <c r="BW9" i="7"/>
  <c r="N7" i="16"/>
  <c r="BW8" i="7"/>
  <c r="BW7" i="7"/>
  <c r="N5" i="16"/>
  <c r="BY6" i="7"/>
  <c r="BW6" i="7"/>
  <c r="AW6" i="7"/>
  <c r="J4" i="16"/>
  <c r="C6" i="14"/>
  <c r="C7" i="14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C28" i="14"/>
  <c r="C29" i="14"/>
  <c r="C30" i="14"/>
  <c r="C31" i="14"/>
  <c r="C32" i="14"/>
  <c r="C33" i="14"/>
  <c r="C34" i="14"/>
  <c r="C35" i="14"/>
  <c r="C36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R6" i="14"/>
  <c r="R7" i="14"/>
  <c r="R8" i="14"/>
  <c r="T8" i="14"/>
  <c r="R9" i="14"/>
  <c r="R10" i="14"/>
  <c r="R11" i="14"/>
  <c r="R12" i="14"/>
  <c r="T12" i="14"/>
  <c r="R13" i="14"/>
  <c r="R14" i="14"/>
  <c r="R15" i="14"/>
  <c r="R16" i="14"/>
  <c r="T16" i="14"/>
  <c r="R17" i="14"/>
  <c r="R18" i="14"/>
  <c r="R19" i="14"/>
  <c r="R20" i="14"/>
  <c r="T20" i="14"/>
  <c r="R21" i="14"/>
  <c r="R22" i="14"/>
  <c r="R23" i="14"/>
  <c r="R24" i="14"/>
  <c r="T24" i="14"/>
  <c r="R25" i="14"/>
  <c r="R26" i="14"/>
  <c r="R27" i="14"/>
  <c r="R28" i="14"/>
  <c r="T28" i="14"/>
  <c r="R29" i="14"/>
  <c r="R30" i="14"/>
  <c r="R31" i="14"/>
  <c r="R32" i="14"/>
  <c r="T32" i="14"/>
  <c r="R33" i="14"/>
  <c r="R34" i="14"/>
  <c r="R35" i="14"/>
  <c r="R36" i="14"/>
  <c r="T36" i="14"/>
  <c r="T6" i="14"/>
  <c r="T7" i="14"/>
  <c r="T9" i="14"/>
  <c r="T10" i="14"/>
  <c r="T11" i="14"/>
  <c r="T13" i="14"/>
  <c r="T14" i="14"/>
  <c r="T15" i="14"/>
  <c r="T17" i="14"/>
  <c r="T18" i="14"/>
  <c r="T19" i="14"/>
  <c r="T21" i="14"/>
  <c r="T22" i="14"/>
  <c r="T23" i="14"/>
  <c r="T25" i="14"/>
  <c r="T26" i="14"/>
  <c r="T27" i="14"/>
  <c r="T29" i="14"/>
  <c r="T30" i="14"/>
  <c r="T31" i="14"/>
  <c r="T33" i="14"/>
  <c r="T34" i="14"/>
  <c r="T35" i="14"/>
  <c r="Y6" i="14"/>
  <c r="Y7" i="14"/>
  <c r="Y8" i="14"/>
  <c r="Y9" i="14"/>
  <c r="Y10" i="14"/>
  <c r="AA10" i="14"/>
  <c r="AC10" i="14"/>
  <c r="Y11" i="14"/>
  <c r="Y12" i="14"/>
  <c r="Y13" i="14"/>
  <c r="AA13" i="14"/>
  <c r="AC13" i="14"/>
  <c r="Y14" i="14"/>
  <c r="AA14" i="14"/>
  <c r="AC14" i="14"/>
  <c r="Y15" i="14"/>
  <c r="Y16" i="14"/>
  <c r="Y17" i="14"/>
  <c r="Y18" i="14"/>
  <c r="AA18" i="14"/>
  <c r="AC18" i="14"/>
  <c r="Y19" i="14"/>
  <c r="Y20" i="14"/>
  <c r="Y21" i="14"/>
  <c r="Y22" i="14"/>
  <c r="Y23" i="14"/>
  <c r="Y24" i="14"/>
  <c r="Y25" i="14"/>
  <c r="Y26" i="14"/>
  <c r="AA26" i="14"/>
  <c r="AC26" i="14"/>
  <c r="Y27" i="14"/>
  <c r="Y29" i="14"/>
  <c r="AA29" i="14"/>
  <c r="Y30" i="14"/>
  <c r="AA30" i="14"/>
  <c r="AC30" i="14"/>
  <c r="Y31" i="14"/>
  <c r="Y32" i="14"/>
  <c r="Y33" i="14"/>
  <c r="AA33" i="14"/>
  <c r="AC33" i="14"/>
  <c r="Y34" i="14"/>
  <c r="Y35" i="14"/>
  <c r="Y36" i="14"/>
  <c r="AA6" i="14"/>
  <c r="AA7" i="14"/>
  <c r="AA8" i="14"/>
  <c r="AA9" i="14"/>
  <c r="AA11" i="14"/>
  <c r="AA12" i="14"/>
  <c r="AA15" i="14"/>
  <c r="AA16" i="14"/>
  <c r="AA17" i="14"/>
  <c r="AA19" i="14"/>
  <c r="AA20" i="14"/>
  <c r="AA21" i="14"/>
  <c r="AA22" i="14"/>
  <c r="AA23" i="14"/>
  <c r="AA24" i="14"/>
  <c r="AA25" i="14"/>
  <c r="AA27" i="14"/>
  <c r="AA28" i="14"/>
  <c r="AA31" i="14"/>
  <c r="AA32" i="14"/>
  <c r="AA34" i="14"/>
  <c r="AA35" i="14"/>
  <c r="AA36" i="14"/>
  <c r="AA5" i="14"/>
  <c r="AC17" i="14"/>
  <c r="AC28" i="14"/>
  <c r="AC7" i="14"/>
  <c r="AC9" i="14"/>
  <c r="AC21" i="14"/>
  <c r="AC25" i="14"/>
  <c r="B6" i="14"/>
  <c r="B7" i="14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7" i="14"/>
  <c r="B28" i="14"/>
  <c r="B29" i="14"/>
  <c r="B30" i="14"/>
  <c r="B31" i="14"/>
  <c r="B32" i="14"/>
  <c r="B33" i="14"/>
  <c r="B34" i="14"/>
  <c r="B35" i="14"/>
  <c r="B36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Q6" i="14"/>
  <c r="Q7" i="14"/>
  <c r="S7" i="14"/>
  <c r="Q8" i="14"/>
  <c r="Q9" i="14"/>
  <c r="Q10" i="14"/>
  <c r="Q11" i="14"/>
  <c r="S11" i="14"/>
  <c r="Q12" i="14"/>
  <c r="Q13" i="14"/>
  <c r="Q14" i="14"/>
  <c r="Q15" i="14"/>
  <c r="S15" i="14"/>
  <c r="Q16" i="14"/>
  <c r="Q17" i="14"/>
  <c r="Q18" i="14"/>
  <c r="Q19" i="14"/>
  <c r="S19" i="14"/>
  <c r="Q20" i="14"/>
  <c r="Q21" i="14"/>
  <c r="Q22" i="14"/>
  <c r="Q23" i="14"/>
  <c r="S23" i="14"/>
  <c r="Q24" i="14"/>
  <c r="Q25" i="14"/>
  <c r="Q26" i="14"/>
  <c r="Q27" i="14"/>
  <c r="S27" i="14"/>
  <c r="Q28" i="14"/>
  <c r="Q29" i="14"/>
  <c r="Q30" i="14"/>
  <c r="Q31" i="14"/>
  <c r="S31" i="14"/>
  <c r="Q32" i="14"/>
  <c r="Q33" i="14"/>
  <c r="Q34" i="14"/>
  <c r="Q35" i="14"/>
  <c r="S35" i="14"/>
  <c r="Q36" i="14"/>
  <c r="S6" i="14"/>
  <c r="S8" i="14"/>
  <c r="S9" i="14"/>
  <c r="S10" i="14"/>
  <c r="S12" i="14"/>
  <c r="S13" i="14"/>
  <c r="S14" i="14"/>
  <c r="S16" i="14"/>
  <c r="S17" i="14"/>
  <c r="S18" i="14"/>
  <c r="S20" i="14"/>
  <c r="S21" i="14"/>
  <c r="S22" i="14"/>
  <c r="S24" i="14"/>
  <c r="S25" i="14"/>
  <c r="S26" i="14"/>
  <c r="S28" i="14"/>
  <c r="S29" i="14"/>
  <c r="S30" i="14"/>
  <c r="S32" i="14"/>
  <c r="S33" i="14"/>
  <c r="S34" i="14"/>
  <c r="S36" i="14"/>
  <c r="X6" i="14"/>
  <c r="X7" i="14"/>
  <c r="X8" i="14"/>
  <c r="X9" i="14"/>
  <c r="Z9" i="14"/>
  <c r="AB9" i="14"/>
  <c r="X10" i="14"/>
  <c r="X11" i="14"/>
  <c r="X12" i="14"/>
  <c r="X13" i="14"/>
  <c r="X14" i="14"/>
  <c r="X15" i="14"/>
  <c r="X16" i="14"/>
  <c r="X17" i="14"/>
  <c r="X18" i="14"/>
  <c r="Z18" i="14"/>
  <c r="AB18" i="14"/>
  <c r="X19" i="14"/>
  <c r="X20" i="14"/>
  <c r="X21" i="14"/>
  <c r="X22" i="14"/>
  <c r="X23" i="14"/>
  <c r="X24" i="14"/>
  <c r="X25" i="14"/>
  <c r="X26" i="14"/>
  <c r="X27" i="14"/>
  <c r="X29" i="14"/>
  <c r="X30" i="14"/>
  <c r="X31" i="14"/>
  <c r="Z31" i="14"/>
  <c r="X32" i="14"/>
  <c r="X33" i="14"/>
  <c r="X34" i="14"/>
  <c r="X35" i="14"/>
  <c r="Z35" i="14"/>
  <c r="X36" i="14"/>
  <c r="Z6" i="14"/>
  <c r="Z7" i="14"/>
  <c r="Z8" i="14"/>
  <c r="Z10" i="14"/>
  <c r="Z11" i="14"/>
  <c r="Z12" i="14"/>
  <c r="Z13" i="14"/>
  <c r="Z14" i="14"/>
  <c r="Z15" i="14"/>
  <c r="Z16" i="14"/>
  <c r="Z17" i="14"/>
  <c r="Z19" i="14"/>
  <c r="Z20" i="14"/>
  <c r="Z21" i="14"/>
  <c r="Z22" i="14"/>
  <c r="Z23" i="14"/>
  <c r="Z24" i="14"/>
  <c r="Z25" i="14"/>
  <c r="Z26" i="14"/>
  <c r="Z27" i="14"/>
  <c r="Z28" i="14"/>
  <c r="AB28" i="14"/>
  <c r="Z29" i="14"/>
  <c r="Z30" i="14"/>
  <c r="Z32" i="14"/>
  <c r="Z33" i="14"/>
  <c r="Z34" i="14"/>
  <c r="Z36" i="14"/>
  <c r="BD36" i="7"/>
  <c r="H34" i="18"/>
  <c r="AH36" i="7"/>
  <c r="G34" i="18"/>
  <c r="D34" i="18"/>
  <c r="AF36" i="7"/>
  <c r="E34" i="18"/>
  <c r="C34" i="18"/>
  <c r="B34" i="18"/>
  <c r="BB36" i="7"/>
  <c r="F34" i="18"/>
  <c r="BD35" i="7"/>
  <c r="H33" i="18"/>
  <c r="AH35" i="7"/>
  <c r="G33" i="18"/>
  <c r="BB35" i="7"/>
  <c r="F33" i="18"/>
  <c r="AF35" i="7"/>
  <c r="E33" i="18"/>
  <c r="BD34" i="7"/>
  <c r="H32" i="18"/>
  <c r="AH34" i="7"/>
  <c r="G32" i="18"/>
  <c r="BB34" i="7"/>
  <c r="F32" i="18"/>
  <c r="AF34" i="7"/>
  <c r="BD33" i="7"/>
  <c r="H31" i="18"/>
  <c r="AH33" i="7"/>
  <c r="G31" i="18"/>
  <c r="BB33" i="7"/>
  <c r="F31" i="18"/>
  <c r="AF33" i="7"/>
  <c r="E31" i="18"/>
  <c r="BD32" i="7"/>
  <c r="H30" i="18"/>
  <c r="AH32" i="7"/>
  <c r="G30" i="18"/>
  <c r="BB32" i="7"/>
  <c r="F30" i="18"/>
  <c r="AF32" i="7"/>
  <c r="E30" i="18"/>
  <c r="BD31" i="7"/>
  <c r="H29" i="18"/>
  <c r="AH31" i="7"/>
  <c r="G29" i="18"/>
  <c r="BB31" i="7"/>
  <c r="F29" i="18"/>
  <c r="AF31" i="7"/>
  <c r="E29" i="18"/>
  <c r="BD30" i="7"/>
  <c r="H28" i="18"/>
  <c r="AH30" i="7"/>
  <c r="G28" i="18"/>
  <c r="BB30" i="7"/>
  <c r="F28" i="18"/>
  <c r="AF30" i="7"/>
  <c r="E28" i="18"/>
  <c r="BD29" i="7"/>
  <c r="H27" i="18"/>
  <c r="AH29" i="7"/>
  <c r="BB29" i="7"/>
  <c r="F27" i="18"/>
  <c r="AF29" i="7"/>
  <c r="E27" i="18"/>
  <c r="BD28" i="7"/>
  <c r="H26" i="18"/>
  <c r="AH28" i="7"/>
  <c r="G26" i="18"/>
  <c r="BB28" i="7"/>
  <c r="F26" i="18"/>
  <c r="AF28" i="7"/>
  <c r="E26" i="18"/>
  <c r="BD27" i="7"/>
  <c r="H25" i="18"/>
  <c r="AH27" i="7"/>
  <c r="BB27" i="7"/>
  <c r="AF27" i="7"/>
  <c r="E25" i="18"/>
  <c r="BD26" i="7"/>
  <c r="H24" i="18"/>
  <c r="AH26" i="7"/>
  <c r="G24" i="18"/>
  <c r="D24" i="18"/>
  <c r="AF26" i="7"/>
  <c r="E24" i="18"/>
  <c r="C24" i="18"/>
  <c r="B24" i="18"/>
  <c r="BB26" i="7"/>
  <c r="F24" i="18"/>
  <c r="BD25" i="7"/>
  <c r="H23" i="18"/>
  <c r="AH25" i="7"/>
  <c r="G23" i="18"/>
  <c r="BB25" i="7"/>
  <c r="F23" i="18"/>
  <c r="AF25" i="7"/>
  <c r="E23" i="18"/>
  <c r="BD24" i="7"/>
  <c r="H22" i="18"/>
  <c r="AH24" i="7"/>
  <c r="G22" i="18"/>
  <c r="BB24" i="7"/>
  <c r="F22" i="18"/>
  <c r="AF24" i="7"/>
  <c r="E22" i="18"/>
  <c r="BD23" i="7"/>
  <c r="H21" i="18"/>
  <c r="AH23" i="7"/>
  <c r="BB23" i="7"/>
  <c r="F21" i="18"/>
  <c r="AF23" i="7"/>
  <c r="E21" i="18"/>
  <c r="BD22" i="7"/>
  <c r="H20" i="18"/>
  <c r="AH22" i="7"/>
  <c r="G20" i="18"/>
  <c r="BB22" i="7"/>
  <c r="F20" i="18"/>
  <c r="AF22" i="7"/>
  <c r="BD21" i="7"/>
  <c r="H19" i="18"/>
  <c r="AH21" i="7"/>
  <c r="G19" i="18"/>
  <c r="BB21" i="7"/>
  <c r="F19" i="18"/>
  <c r="AF21" i="7"/>
  <c r="BD20" i="7"/>
  <c r="H18" i="18"/>
  <c r="AH20" i="7"/>
  <c r="G18" i="18"/>
  <c r="BB20" i="7"/>
  <c r="F18" i="18"/>
  <c r="AF20" i="7"/>
  <c r="E18" i="18"/>
  <c r="BD19" i="7"/>
  <c r="H17" i="18"/>
  <c r="AH19" i="7"/>
  <c r="BB19" i="7"/>
  <c r="F17" i="18"/>
  <c r="AF19" i="7"/>
  <c r="E17" i="18"/>
  <c r="BD18" i="7"/>
  <c r="H16" i="18"/>
  <c r="AH18" i="7"/>
  <c r="G16" i="18"/>
  <c r="BB18" i="7"/>
  <c r="F16" i="18"/>
  <c r="AF18" i="7"/>
  <c r="BD17" i="7"/>
  <c r="H15" i="18"/>
  <c r="AH17" i="7"/>
  <c r="G15" i="18"/>
  <c r="BB17" i="7"/>
  <c r="F15" i="18"/>
  <c r="AF17" i="7"/>
  <c r="BD16" i="7"/>
  <c r="H14" i="18"/>
  <c r="AH16" i="7"/>
  <c r="G14" i="18"/>
  <c r="BB16" i="7"/>
  <c r="F14" i="18"/>
  <c r="AF16" i="7"/>
  <c r="E14" i="18"/>
  <c r="BD15" i="7"/>
  <c r="H13" i="18"/>
  <c r="AH15" i="7"/>
  <c r="G13" i="18"/>
  <c r="BB15" i="7"/>
  <c r="F13" i="18"/>
  <c r="AF15" i="7"/>
  <c r="E13" i="18"/>
  <c r="BD14" i="7"/>
  <c r="H12" i="18"/>
  <c r="AH14" i="7"/>
  <c r="G12" i="18"/>
  <c r="BB14" i="7"/>
  <c r="F12" i="18"/>
  <c r="AF14" i="7"/>
  <c r="E12" i="18"/>
  <c r="BD13" i="7"/>
  <c r="H11" i="18"/>
  <c r="AH12" i="7"/>
  <c r="G11" i="18"/>
  <c r="BB13" i="7"/>
  <c r="F11" i="18"/>
  <c r="AF13" i="7"/>
  <c r="BD12" i="7"/>
  <c r="H10" i="18"/>
  <c r="AH11" i="7"/>
  <c r="BB12" i="7"/>
  <c r="F10" i="18"/>
  <c r="AF12" i="7"/>
  <c r="E10" i="18"/>
  <c r="BD11" i="7"/>
  <c r="H9" i="18"/>
  <c r="AH6" i="7"/>
  <c r="G4" i="18"/>
  <c r="BB11" i="7"/>
  <c r="F9" i="18"/>
  <c r="AF11" i="7"/>
  <c r="E9" i="18"/>
  <c r="BD10" i="7"/>
  <c r="H8" i="18"/>
  <c r="AH10" i="7"/>
  <c r="G8" i="18"/>
  <c r="BB10" i="7"/>
  <c r="F8" i="18"/>
  <c r="AF10" i="7"/>
  <c r="E8" i="18"/>
  <c r="BD9" i="7"/>
  <c r="H7" i="18"/>
  <c r="AH9" i="7"/>
  <c r="G7" i="18"/>
  <c r="BB9" i="7"/>
  <c r="F7" i="18"/>
  <c r="AF9" i="7"/>
  <c r="E7" i="18"/>
  <c r="BD8" i="7"/>
  <c r="H6" i="18"/>
  <c r="AH8" i="7"/>
  <c r="BB8" i="7"/>
  <c r="F6" i="18"/>
  <c r="AF8" i="7"/>
  <c r="E6" i="18"/>
  <c r="BD7" i="7"/>
  <c r="H5" i="18"/>
  <c r="AH7" i="7"/>
  <c r="G5" i="18"/>
  <c r="BB7" i="7"/>
  <c r="F5" i="18"/>
  <c r="AF7" i="7"/>
  <c r="E5" i="18"/>
  <c r="BD6" i="7"/>
  <c r="H4" i="18"/>
  <c r="BB6" i="7"/>
  <c r="AF6" i="7"/>
  <c r="E4" i="18"/>
  <c r="BR36" i="7"/>
  <c r="S36" i="7"/>
  <c r="G34" i="17"/>
  <c r="BP36" i="7"/>
  <c r="F34" i="17"/>
  <c r="Q36" i="7"/>
  <c r="E34" i="17"/>
  <c r="BR35" i="7"/>
  <c r="H33" i="17"/>
  <c r="S35" i="7"/>
  <c r="G33" i="17"/>
  <c r="BP35" i="7"/>
  <c r="F33" i="17"/>
  <c r="Q35" i="7"/>
  <c r="BR34" i="7"/>
  <c r="H32" i="17"/>
  <c r="S34" i="7"/>
  <c r="BP34" i="7"/>
  <c r="F32" i="17"/>
  <c r="Q34" i="7"/>
  <c r="BR33" i="7"/>
  <c r="H31" i="17"/>
  <c r="S33" i="7"/>
  <c r="G31" i="17"/>
  <c r="BP33" i="7"/>
  <c r="Q33" i="7"/>
  <c r="E31" i="17"/>
  <c r="BR32" i="7"/>
  <c r="H30" i="17"/>
  <c r="S32" i="7"/>
  <c r="G30" i="17"/>
  <c r="BP32" i="7"/>
  <c r="F30" i="17"/>
  <c r="Q32" i="7"/>
  <c r="E30" i="17"/>
  <c r="BR31" i="7"/>
  <c r="H29" i="17"/>
  <c r="S31" i="7"/>
  <c r="G29" i="17"/>
  <c r="BP31" i="7"/>
  <c r="F29" i="17"/>
  <c r="Q31" i="7"/>
  <c r="E29" i="17"/>
  <c r="BR30" i="7"/>
  <c r="H28" i="17"/>
  <c r="S30" i="7"/>
  <c r="G28" i="17"/>
  <c r="BP30" i="7"/>
  <c r="F28" i="17"/>
  <c r="Q30" i="7"/>
  <c r="BR29" i="7"/>
  <c r="S29" i="7"/>
  <c r="G27" i="17"/>
  <c r="BP29" i="7"/>
  <c r="Q29" i="7"/>
  <c r="E27" i="17"/>
  <c r="BR28" i="7"/>
  <c r="H26" i="17"/>
  <c r="S28" i="7"/>
  <c r="G26" i="17"/>
  <c r="BP28" i="7"/>
  <c r="Q28" i="7"/>
  <c r="BR27" i="7"/>
  <c r="H25" i="17"/>
  <c r="S27" i="7"/>
  <c r="G25" i="17"/>
  <c r="BP27" i="7"/>
  <c r="F25" i="17"/>
  <c r="Q27" i="7"/>
  <c r="E25" i="17"/>
  <c r="BR26" i="7"/>
  <c r="H24" i="17"/>
  <c r="S26" i="7"/>
  <c r="G24" i="17"/>
  <c r="BP26" i="7"/>
  <c r="F24" i="17"/>
  <c r="Q26" i="7"/>
  <c r="BR25" i="7"/>
  <c r="H23" i="17"/>
  <c r="S25" i="7"/>
  <c r="G23" i="17"/>
  <c r="BP25" i="7"/>
  <c r="F23" i="17"/>
  <c r="Q25" i="7"/>
  <c r="E23" i="17"/>
  <c r="BR24" i="7"/>
  <c r="H22" i="17"/>
  <c r="S24" i="7"/>
  <c r="G22" i="17"/>
  <c r="BP24" i="7"/>
  <c r="Q24" i="7"/>
  <c r="E22" i="17"/>
  <c r="BR23" i="7"/>
  <c r="H21" i="17"/>
  <c r="S23" i="7"/>
  <c r="BP23" i="7"/>
  <c r="F21" i="17"/>
  <c r="Q23" i="7"/>
  <c r="E21" i="17"/>
  <c r="BR22" i="7"/>
  <c r="H20" i="17"/>
  <c r="S22" i="7"/>
  <c r="G20" i="17"/>
  <c r="BP22" i="7"/>
  <c r="Q22" i="7"/>
  <c r="BR21" i="7"/>
  <c r="S21" i="7"/>
  <c r="BP21" i="7"/>
  <c r="F19" i="17"/>
  <c r="Q21" i="7"/>
  <c r="E19" i="17"/>
  <c r="BR20" i="7"/>
  <c r="H18" i="17"/>
  <c r="S20" i="7"/>
  <c r="G18" i="17"/>
  <c r="BP20" i="7"/>
  <c r="Q20" i="7"/>
  <c r="E18" i="17"/>
  <c r="BR19" i="7"/>
  <c r="H17" i="17"/>
  <c r="S19" i="7"/>
  <c r="G17" i="17"/>
  <c r="BP19" i="7"/>
  <c r="Q19" i="7"/>
  <c r="E17" i="17"/>
  <c r="BR18" i="7"/>
  <c r="H16" i="17"/>
  <c r="S18" i="7"/>
  <c r="G16" i="17"/>
  <c r="BP18" i="7"/>
  <c r="Q18" i="7"/>
  <c r="E16" i="17"/>
  <c r="BR17" i="7"/>
  <c r="H15" i="17"/>
  <c r="S17" i="7"/>
  <c r="G15" i="17"/>
  <c r="BP17" i="7"/>
  <c r="Q17" i="7"/>
  <c r="E15" i="17"/>
  <c r="BR16" i="7"/>
  <c r="H14" i="17"/>
  <c r="S16" i="7"/>
  <c r="G14" i="17"/>
  <c r="BP16" i="7"/>
  <c r="Q16" i="7"/>
  <c r="E14" i="17"/>
  <c r="BR15" i="7"/>
  <c r="H13" i="17"/>
  <c r="S15" i="7"/>
  <c r="G13" i="17"/>
  <c r="BP15" i="7"/>
  <c r="F13" i="17"/>
  <c r="Q15" i="7"/>
  <c r="E13" i="17"/>
  <c r="BR14" i="7"/>
  <c r="H12" i="17"/>
  <c r="S14" i="7"/>
  <c r="BP14" i="7"/>
  <c r="F12" i="17"/>
  <c r="Q14" i="7"/>
  <c r="E12" i="17"/>
  <c r="BR13" i="7"/>
  <c r="S13" i="7"/>
  <c r="G11" i="17"/>
  <c r="BP13" i="7"/>
  <c r="F11" i="17"/>
  <c r="Q13" i="7"/>
  <c r="E11" i="17"/>
  <c r="BR12" i="7"/>
  <c r="H10" i="17"/>
  <c r="S12" i="7"/>
  <c r="G10" i="17"/>
  <c r="BP12" i="7"/>
  <c r="F10" i="17"/>
  <c r="Q12" i="7"/>
  <c r="BR11" i="7"/>
  <c r="S11" i="7"/>
  <c r="G9" i="17"/>
  <c r="BP11" i="7"/>
  <c r="F9" i="17"/>
  <c r="Q11" i="7"/>
  <c r="BR10" i="7"/>
  <c r="S10" i="7"/>
  <c r="G8" i="17"/>
  <c r="BP10" i="7"/>
  <c r="F8" i="17"/>
  <c r="Q10" i="7"/>
  <c r="BR9" i="7"/>
  <c r="S9" i="7"/>
  <c r="G7" i="17"/>
  <c r="BP9" i="7"/>
  <c r="F7" i="17"/>
  <c r="Q9" i="7"/>
  <c r="E7" i="17"/>
  <c r="BR8" i="7"/>
  <c r="S8" i="7"/>
  <c r="BP8" i="7"/>
  <c r="F6" i="17"/>
  <c r="Q8" i="7"/>
  <c r="E6" i="17"/>
  <c r="BR7" i="7"/>
  <c r="H5" i="17"/>
  <c r="S7" i="7"/>
  <c r="G5" i="17"/>
  <c r="BP7" i="7"/>
  <c r="F5" i="17"/>
  <c r="Q7" i="7"/>
  <c r="E5" i="17"/>
  <c r="BR6" i="7"/>
  <c r="H4" i="17"/>
  <c r="S6" i="7"/>
  <c r="G4" i="17"/>
  <c r="BP6" i="7"/>
  <c r="Q6" i="7"/>
  <c r="J36" i="7"/>
  <c r="L36" i="7"/>
  <c r="F36" i="7"/>
  <c r="H36" i="7"/>
  <c r="BK36" i="7"/>
  <c r="K34" i="16"/>
  <c r="D36" i="7"/>
  <c r="AW36" i="7"/>
  <c r="J34" i="16"/>
  <c r="BI36" i="7"/>
  <c r="H34" i="16"/>
  <c r="B36" i="7"/>
  <c r="F34" i="16"/>
  <c r="AU36" i="7"/>
  <c r="G34" i="16"/>
  <c r="N33" i="16"/>
  <c r="J35" i="7"/>
  <c r="L35" i="7"/>
  <c r="F35" i="7"/>
  <c r="H35" i="7"/>
  <c r="BK35" i="7"/>
  <c r="D35" i="7"/>
  <c r="I33" i="16"/>
  <c r="AW35" i="7"/>
  <c r="J33" i="16"/>
  <c r="BI35" i="7"/>
  <c r="H33" i="16"/>
  <c r="B35" i="7"/>
  <c r="F33" i="16"/>
  <c r="AU35" i="7"/>
  <c r="G33" i="16"/>
  <c r="J34" i="7"/>
  <c r="L34" i="7"/>
  <c r="F34" i="7"/>
  <c r="H34" i="7"/>
  <c r="BK34" i="7"/>
  <c r="K32" i="16"/>
  <c r="D34" i="7"/>
  <c r="AW34" i="7"/>
  <c r="J32" i="16"/>
  <c r="BI34" i="7"/>
  <c r="H32" i="16"/>
  <c r="B34" i="7"/>
  <c r="F32" i="16"/>
  <c r="AU34" i="7"/>
  <c r="G32" i="16"/>
  <c r="J33" i="7"/>
  <c r="L33" i="7"/>
  <c r="F33" i="7"/>
  <c r="H33" i="7"/>
  <c r="BK33" i="7"/>
  <c r="K31" i="16"/>
  <c r="D33" i="7"/>
  <c r="I31" i="16"/>
  <c r="AW33" i="7"/>
  <c r="J31" i="16"/>
  <c r="BI33" i="7"/>
  <c r="B33" i="7"/>
  <c r="F31" i="16"/>
  <c r="AU33" i="7"/>
  <c r="G31" i="16"/>
  <c r="J32" i="7"/>
  <c r="L32" i="7"/>
  <c r="F32" i="7"/>
  <c r="H32" i="7"/>
  <c r="BK32" i="7"/>
  <c r="K30" i="16"/>
  <c r="D32" i="7"/>
  <c r="I30" i="16"/>
  <c r="AW32" i="7"/>
  <c r="J30" i="16"/>
  <c r="BI32" i="7"/>
  <c r="H30" i="16"/>
  <c r="AU32" i="7"/>
  <c r="G30" i="16"/>
  <c r="B32" i="7"/>
  <c r="J31" i="7"/>
  <c r="L31" i="7"/>
  <c r="F31" i="7"/>
  <c r="H31" i="7"/>
  <c r="BK31" i="7"/>
  <c r="K29" i="16"/>
  <c r="D31" i="7"/>
  <c r="I29" i="16"/>
  <c r="AW31" i="7"/>
  <c r="J29" i="16"/>
  <c r="BI31" i="7"/>
  <c r="B31" i="7"/>
  <c r="F29" i="16"/>
  <c r="AU31" i="7"/>
  <c r="G29" i="16"/>
  <c r="J30" i="7"/>
  <c r="L30" i="7"/>
  <c r="F30" i="7"/>
  <c r="H30" i="7"/>
  <c r="BK30" i="7"/>
  <c r="K28" i="16"/>
  <c r="D30" i="7"/>
  <c r="I28" i="16"/>
  <c r="AW30" i="7"/>
  <c r="J28" i="16"/>
  <c r="BI30" i="7"/>
  <c r="H28" i="16"/>
  <c r="AU30" i="7"/>
  <c r="G28" i="16"/>
  <c r="B30" i="7"/>
  <c r="F28" i="16"/>
  <c r="J29" i="7"/>
  <c r="L29" i="7"/>
  <c r="F29" i="7"/>
  <c r="H29" i="7"/>
  <c r="BK29" i="7"/>
  <c r="K27" i="16"/>
  <c r="D29" i="7"/>
  <c r="I27" i="16"/>
  <c r="AW29" i="7"/>
  <c r="J27" i="16"/>
  <c r="BI29" i="7"/>
  <c r="H27" i="16"/>
  <c r="AU29" i="7"/>
  <c r="G27" i="16"/>
  <c r="B29" i="7"/>
  <c r="F27" i="16"/>
  <c r="J28" i="7"/>
  <c r="L28" i="7"/>
  <c r="F28" i="7"/>
  <c r="H28" i="7"/>
  <c r="BK28" i="7"/>
  <c r="K26" i="16"/>
  <c r="AW28" i="7"/>
  <c r="J26" i="16"/>
  <c r="D28" i="7"/>
  <c r="BI28" i="7"/>
  <c r="H26" i="16"/>
  <c r="B28" i="7"/>
  <c r="F26" i="16"/>
  <c r="AU28" i="7"/>
  <c r="G26" i="16"/>
  <c r="J27" i="7"/>
  <c r="L27" i="7"/>
  <c r="F27" i="7"/>
  <c r="H27" i="7"/>
  <c r="BK27" i="7"/>
  <c r="K25" i="16"/>
  <c r="AW27" i="7"/>
  <c r="J25" i="16"/>
  <c r="D27" i="7"/>
  <c r="I25" i="16"/>
  <c r="BI27" i="7"/>
  <c r="H25" i="16"/>
  <c r="B27" i="7"/>
  <c r="F25" i="16"/>
  <c r="AU27" i="7"/>
  <c r="G25" i="16"/>
  <c r="J26" i="7"/>
  <c r="L26" i="7"/>
  <c r="F26" i="7"/>
  <c r="H26" i="7"/>
  <c r="BK26" i="7"/>
  <c r="K24" i="16"/>
  <c r="AW26" i="7"/>
  <c r="J24" i="16"/>
  <c r="D26" i="7"/>
  <c r="I24" i="16"/>
  <c r="BI26" i="7"/>
  <c r="H24" i="16"/>
  <c r="B26" i="7"/>
  <c r="AU26" i="7"/>
  <c r="G24" i="16"/>
  <c r="J25" i="7"/>
  <c r="L25" i="7"/>
  <c r="F25" i="7"/>
  <c r="H25" i="7"/>
  <c r="BK25" i="7"/>
  <c r="K23" i="16"/>
  <c r="D25" i="7"/>
  <c r="I23" i="16"/>
  <c r="AW25" i="7"/>
  <c r="J23" i="16"/>
  <c r="BI25" i="7"/>
  <c r="H23" i="16"/>
  <c r="AU25" i="7"/>
  <c r="G23" i="16"/>
  <c r="B25" i="7"/>
  <c r="F23" i="16"/>
  <c r="J24" i="7"/>
  <c r="L24" i="7"/>
  <c r="F24" i="7"/>
  <c r="H24" i="7"/>
  <c r="BK24" i="7"/>
  <c r="AW24" i="7"/>
  <c r="J22" i="16"/>
  <c r="D24" i="7"/>
  <c r="BI24" i="7"/>
  <c r="H22" i="16"/>
  <c r="B24" i="7"/>
  <c r="F22" i="16"/>
  <c r="AU24" i="7"/>
  <c r="G22" i="16"/>
  <c r="J23" i="7"/>
  <c r="L23" i="7"/>
  <c r="F23" i="7"/>
  <c r="H23" i="7"/>
  <c r="BK23" i="7"/>
  <c r="K21" i="16"/>
  <c r="AW23" i="7"/>
  <c r="J21" i="16"/>
  <c r="D23" i="7"/>
  <c r="I21" i="16"/>
  <c r="D21" i="16"/>
  <c r="BI23" i="7"/>
  <c r="H21" i="16"/>
  <c r="B23" i="7"/>
  <c r="AU23" i="7"/>
  <c r="G21" i="16"/>
  <c r="J22" i="7"/>
  <c r="L22" i="7"/>
  <c r="F22" i="7"/>
  <c r="H22" i="7"/>
  <c r="BK22" i="7"/>
  <c r="K20" i="16"/>
  <c r="AW22" i="7"/>
  <c r="J20" i="16"/>
  <c r="D22" i="7"/>
  <c r="BI22" i="7"/>
  <c r="H20" i="16"/>
  <c r="B22" i="7"/>
  <c r="F20" i="16"/>
  <c r="AU22" i="7"/>
  <c r="G20" i="16"/>
  <c r="J21" i="7"/>
  <c r="L21" i="7"/>
  <c r="F21" i="7"/>
  <c r="H21" i="7"/>
  <c r="BK21" i="7"/>
  <c r="K19" i="16"/>
  <c r="D21" i="7"/>
  <c r="I19" i="16"/>
  <c r="AW21" i="7"/>
  <c r="J19" i="16"/>
  <c r="BI21" i="7"/>
  <c r="H19" i="16"/>
  <c r="AU21" i="7"/>
  <c r="G19" i="16"/>
  <c r="B21" i="7"/>
  <c r="J20" i="7"/>
  <c r="L20" i="7"/>
  <c r="F20" i="7"/>
  <c r="H20" i="7"/>
  <c r="BK20" i="7"/>
  <c r="K18" i="16"/>
  <c r="AW20" i="7"/>
  <c r="J18" i="16"/>
  <c r="D19" i="7"/>
  <c r="I17" i="16"/>
  <c r="BI20" i="7"/>
  <c r="H18" i="16"/>
  <c r="B20" i="7"/>
  <c r="F18" i="16"/>
  <c r="AU20" i="7"/>
  <c r="AY20" i="7"/>
  <c r="D20" i="7"/>
  <c r="J19" i="7"/>
  <c r="L19" i="7"/>
  <c r="F19" i="7"/>
  <c r="H19" i="7"/>
  <c r="BK19" i="7"/>
  <c r="BI19" i="7"/>
  <c r="BM19" i="7"/>
  <c r="B17" i="11"/>
  <c r="AW19" i="7"/>
  <c r="J17" i="16"/>
  <c r="B19" i="7"/>
  <c r="F17" i="16"/>
  <c r="AU19" i="7"/>
  <c r="G17" i="16"/>
  <c r="O16" i="16"/>
  <c r="J18" i="7"/>
  <c r="L18" i="7"/>
  <c r="F18" i="7"/>
  <c r="H18" i="7"/>
  <c r="BK18" i="7"/>
  <c r="K16" i="16"/>
  <c r="D18" i="7"/>
  <c r="AW18" i="7"/>
  <c r="J16" i="16"/>
  <c r="BI18" i="7"/>
  <c r="H16" i="16"/>
  <c r="B18" i="7"/>
  <c r="F16" i="16"/>
  <c r="AU18" i="7"/>
  <c r="J17" i="7"/>
  <c r="L17" i="7"/>
  <c r="F17" i="7"/>
  <c r="H17" i="7"/>
  <c r="BK17" i="7"/>
  <c r="K15" i="16"/>
  <c r="D17" i="7"/>
  <c r="I15" i="16"/>
  <c r="AW17" i="7"/>
  <c r="J15" i="16"/>
  <c r="BI17" i="7"/>
  <c r="AU17" i="7"/>
  <c r="G15" i="16"/>
  <c r="B17" i="7"/>
  <c r="J16" i="7"/>
  <c r="L16" i="7"/>
  <c r="F16" i="7"/>
  <c r="H16" i="7"/>
  <c r="BK16" i="7"/>
  <c r="K14" i="16"/>
  <c r="D16" i="7"/>
  <c r="I14" i="16"/>
  <c r="AW16" i="7"/>
  <c r="J14" i="16"/>
  <c r="BI16" i="7"/>
  <c r="H14" i="16"/>
  <c r="B16" i="7"/>
  <c r="F14" i="16"/>
  <c r="AU16" i="7"/>
  <c r="G14" i="16"/>
  <c r="J15" i="7"/>
  <c r="L15" i="7"/>
  <c r="F15" i="7"/>
  <c r="H15" i="7"/>
  <c r="BK15" i="7"/>
  <c r="K13" i="16"/>
  <c r="D15" i="7"/>
  <c r="AW15" i="7"/>
  <c r="BI15" i="7"/>
  <c r="H13" i="16"/>
  <c r="B15" i="7"/>
  <c r="F13" i="16"/>
  <c r="AU15" i="7"/>
  <c r="G13" i="16"/>
  <c r="J14" i="7"/>
  <c r="L14" i="7"/>
  <c r="F14" i="7"/>
  <c r="H14" i="7"/>
  <c r="BK14" i="7"/>
  <c r="K12" i="16"/>
  <c r="D14" i="7"/>
  <c r="I12" i="16"/>
  <c r="AW14" i="7"/>
  <c r="J12" i="16"/>
  <c r="BI14" i="7"/>
  <c r="AU14" i="7"/>
  <c r="B14" i="7"/>
  <c r="J13" i="7"/>
  <c r="L13" i="7"/>
  <c r="F13" i="7"/>
  <c r="H13" i="7"/>
  <c r="BK13" i="7"/>
  <c r="K11" i="16"/>
  <c r="D13" i="7"/>
  <c r="I11" i="16"/>
  <c r="AW13" i="7"/>
  <c r="J11" i="16"/>
  <c r="BI13" i="7"/>
  <c r="B13" i="7"/>
  <c r="F11" i="16"/>
  <c r="AU13" i="7"/>
  <c r="G11" i="16"/>
  <c r="O10" i="16"/>
  <c r="J12" i="7"/>
  <c r="L12" i="7"/>
  <c r="F12" i="7"/>
  <c r="H12" i="7"/>
  <c r="BK12" i="7"/>
  <c r="K10" i="16"/>
  <c r="AW12" i="7"/>
  <c r="J10" i="16"/>
  <c r="D12" i="7"/>
  <c r="I10" i="16"/>
  <c r="BI12" i="7"/>
  <c r="H10" i="16"/>
  <c r="B12" i="7"/>
  <c r="F10" i="16"/>
  <c r="AU12" i="7"/>
  <c r="G10" i="16"/>
  <c r="J11" i="7"/>
  <c r="L11" i="7"/>
  <c r="F11" i="7"/>
  <c r="H11" i="7"/>
  <c r="BK11" i="7"/>
  <c r="D11" i="7"/>
  <c r="AW11" i="7"/>
  <c r="J9" i="16"/>
  <c r="BI11" i="7"/>
  <c r="H9" i="16"/>
  <c r="B11" i="7"/>
  <c r="F9" i="16"/>
  <c r="AU11" i="7"/>
  <c r="G9" i="16"/>
  <c r="J10" i="7"/>
  <c r="L10" i="7"/>
  <c r="F10" i="7"/>
  <c r="H10" i="7"/>
  <c r="BK10" i="7"/>
  <c r="K8" i="16"/>
  <c r="AW10" i="7"/>
  <c r="J8" i="16"/>
  <c r="D10" i="7"/>
  <c r="BI10" i="7"/>
  <c r="H8" i="16"/>
  <c r="B10" i="7"/>
  <c r="F8" i="16"/>
  <c r="AU10" i="7"/>
  <c r="G8" i="16"/>
  <c r="J9" i="7"/>
  <c r="L9" i="7"/>
  <c r="F9" i="7"/>
  <c r="H9" i="7"/>
  <c r="BK9" i="7"/>
  <c r="K7" i="16"/>
  <c r="D9" i="7"/>
  <c r="AW9" i="7"/>
  <c r="J7" i="16"/>
  <c r="BI9" i="7"/>
  <c r="H7" i="16"/>
  <c r="AU9" i="7"/>
  <c r="AY9" i="7"/>
  <c r="B7" i="10"/>
  <c r="B9" i="7"/>
  <c r="F7" i="16"/>
  <c r="J8" i="7"/>
  <c r="L8" i="7"/>
  <c r="F8" i="7"/>
  <c r="H8" i="7"/>
  <c r="BK8" i="7"/>
  <c r="K6" i="16"/>
  <c r="AW8" i="7"/>
  <c r="J6" i="16"/>
  <c r="D8" i="7"/>
  <c r="I6" i="16"/>
  <c r="BI8" i="7"/>
  <c r="H6" i="16"/>
  <c r="B8" i="7"/>
  <c r="AU8" i="7"/>
  <c r="G6" i="16"/>
  <c r="J7" i="7"/>
  <c r="L7" i="7"/>
  <c r="F7" i="7"/>
  <c r="H7" i="7"/>
  <c r="BK7" i="7"/>
  <c r="K5" i="16"/>
  <c r="AW7" i="7"/>
  <c r="J5" i="16"/>
  <c r="D7" i="7"/>
  <c r="I5" i="16"/>
  <c r="BI7" i="7"/>
  <c r="B7" i="7"/>
  <c r="F5" i="16"/>
  <c r="AU7" i="7"/>
  <c r="G5" i="16"/>
  <c r="O4" i="16"/>
  <c r="J6" i="7"/>
  <c r="L6" i="7"/>
  <c r="F6" i="7"/>
  <c r="H6" i="7"/>
  <c r="BK6" i="7"/>
  <c r="D6" i="7"/>
  <c r="BI6" i="7"/>
  <c r="AU6" i="7"/>
  <c r="G4" i="16"/>
  <c r="B6" i="7"/>
  <c r="F4" i="16"/>
  <c r="AJ36" i="7"/>
  <c r="AL36" i="7"/>
  <c r="AN36" i="7"/>
  <c r="AP36" i="7"/>
  <c r="AJ35" i="7"/>
  <c r="AL35" i="7"/>
  <c r="AN35" i="7"/>
  <c r="AP35" i="7"/>
  <c r="AJ34" i="7"/>
  <c r="AL34" i="7"/>
  <c r="AN34" i="7"/>
  <c r="AP34" i="7"/>
  <c r="AJ33" i="7"/>
  <c r="AL33" i="7"/>
  <c r="AN33" i="7"/>
  <c r="AP33" i="7"/>
  <c r="AJ32" i="7"/>
  <c r="AL32" i="7"/>
  <c r="AN32" i="7"/>
  <c r="AP32" i="7"/>
  <c r="AJ31" i="7"/>
  <c r="AL31" i="7"/>
  <c r="AN31" i="7"/>
  <c r="AP31" i="7"/>
  <c r="AJ30" i="7"/>
  <c r="AL30" i="7"/>
  <c r="AN30" i="7"/>
  <c r="AP30" i="7"/>
  <c r="AJ29" i="7"/>
  <c r="AL29" i="7"/>
  <c r="AN29" i="7"/>
  <c r="AP29" i="7"/>
  <c r="AJ28" i="7"/>
  <c r="AL28" i="7"/>
  <c r="AN28" i="7"/>
  <c r="AP28" i="7"/>
  <c r="AJ27" i="7"/>
  <c r="AL27" i="7"/>
  <c r="AN27" i="7"/>
  <c r="AP27" i="7"/>
  <c r="AJ26" i="7"/>
  <c r="AL26" i="7"/>
  <c r="AN26" i="7"/>
  <c r="AP26" i="7"/>
  <c r="AJ25" i="7"/>
  <c r="AL25" i="7"/>
  <c r="AN25" i="7"/>
  <c r="AP25" i="7"/>
  <c r="AJ24" i="7"/>
  <c r="AL24" i="7"/>
  <c r="AN24" i="7"/>
  <c r="AP24" i="7"/>
  <c r="AJ23" i="7"/>
  <c r="AL23" i="7"/>
  <c r="AN23" i="7"/>
  <c r="AP23" i="7"/>
  <c r="AJ22" i="7"/>
  <c r="AL22" i="7"/>
  <c r="AN22" i="7"/>
  <c r="AP22" i="7"/>
  <c r="AJ21" i="7"/>
  <c r="AL21" i="7"/>
  <c r="AN21" i="7"/>
  <c r="AP21" i="7"/>
  <c r="AJ20" i="7"/>
  <c r="AL20" i="7"/>
  <c r="AN20" i="7"/>
  <c r="AP20" i="7"/>
  <c r="AJ19" i="7"/>
  <c r="AL19" i="7"/>
  <c r="AN19" i="7"/>
  <c r="AP19" i="7"/>
  <c r="AJ18" i="7"/>
  <c r="AL18" i="7"/>
  <c r="AN18" i="7"/>
  <c r="AP18" i="7"/>
  <c r="AJ17" i="7"/>
  <c r="AL17" i="7"/>
  <c r="AN17" i="7"/>
  <c r="AP17" i="7"/>
  <c r="AJ16" i="7"/>
  <c r="AL16" i="7"/>
  <c r="AN16" i="7"/>
  <c r="AP16" i="7"/>
  <c r="AJ15" i="7"/>
  <c r="AL15" i="7"/>
  <c r="AN15" i="7"/>
  <c r="AP15" i="7"/>
  <c r="AJ14" i="7"/>
  <c r="AL14" i="7"/>
  <c r="AN14" i="7"/>
  <c r="AP14" i="7"/>
  <c r="AH13" i="7"/>
  <c r="AJ13" i="7"/>
  <c r="AL13" i="7"/>
  <c r="AN13" i="7"/>
  <c r="AP13" i="7"/>
  <c r="AJ12" i="7"/>
  <c r="AL12" i="7"/>
  <c r="AN12" i="7"/>
  <c r="AP12" i="7"/>
  <c r="AJ11" i="7"/>
  <c r="AL11" i="7"/>
  <c r="AN11" i="7"/>
  <c r="AP11" i="7"/>
  <c r="AJ10" i="7"/>
  <c r="AL10" i="7"/>
  <c r="AN10" i="7"/>
  <c r="AP10" i="7"/>
  <c r="AJ9" i="7"/>
  <c r="AL9" i="7"/>
  <c r="AN9" i="7"/>
  <c r="AP9" i="7"/>
  <c r="AJ8" i="7"/>
  <c r="AL8" i="7"/>
  <c r="AN8" i="7"/>
  <c r="AP8" i="7"/>
  <c r="AJ7" i="7"/>
  <c r="AL7" i="7"/>
  <c r="AN7" i="7"/>
  <c r="AP7" i="7"/>
  <c r="AJ6" i="7"/>
  <c r="AL6" i="7"/>
  <c r="AN6" i="7"/>
  <c r="AP6" i="7"/>
  <c r="BX36" i="14"/>
  <c r="BZ36" i="14"/>
  <c r="BW36" i="14"/>
  <c r="BY36" i="14"/>
  <c r="CH36" i="14"/>
  <c r="CG36" i="14"/>
  <c r="CF36" i="14"/>
  <c r="CE36" i="14"/>
  <c r="CD36" i="14"/>
  <c r="CC36" i="14"/>
  <c r="CB36" i="14"/>
  <c r="CA36" i="14"/>
  <c r="BQ36" i="14"/>
  <c r="BS36" i="14"/>
  <c r="BP36" i="14"/>
  <c r="BR36" i="14"/>
  <c r="BJ36" i="14"/>
  <c r="BL36" i="14"/>
  <c r="BI36" i="14"/>
  <c r="BK36" i="14"/>
  <c r="BC36" i="14"/>
  <c r="BE36" i="14"/>
  <c r="BB36" i="14"/>
  <c r="BD36" i="14"/>
  <c r="AG36" i="14"/>
  <c r="AI36" i="14"/>
  <c r="AK36" i="14"/>
  <c r="AM36" i="14"/>
  <c r="AO36" i="14"/>
  <c r="AQ36" i="14"/>
  <c r="AF36" i="14"/>
  <c r="AH36" i="14"/>
  <c r="AJ36" i="14"/>
  <c r="AL36" i="14"/>
  <c r="AN36" i="14"/>
  <c r="AP36" i="14"/>
  <c r="BX35" i="14"/>
  <c r="BZ35" i="14"/>
  <c r="BW35" i="14"/>
  <c r="BY35" i="14"/>
  <c r="CH35" i="14"/>
  <c r="CG35" i="14"/>
  <c r="CF35" i="14"/>
  <c r="CE35" i="14"/>
  <c r="CD35" i="14"/>
  <c r="CC35" i="14"/>
  <c r="CB35" i="14"/>
  <c r="CA35" i="14"/>
  <c r="BQ35" i="14"/>
  <c r="BS35" i="14"/>
  <c r="BP35" i="14"/>
  <c r="BR35" i="14"/>
  <c r="BJ35" i="14"/>
  <c r="BL35" i="14"/>
  <c r="BI35" i="14"/>
  <c r="BK35" i="14"/>
  <c r="BC35" i="14"/>
  <c r="BE35" i="14"/>
  <c r="BB35" i="14"/>
  <c r="BD35" i="14"/>
  <c r="AG35" i="14"/>
  <c r="AI35" i="14"/>
  <c r="AK35" i="14"/>
  <c r="AM35" i="14"/>
  <c r="AO35" i="14"/>
  <c r="AQ35" i="14"/>
  <c r="AF35" i="14"/>
  <c r="AH35" i="14"/>
  <c r="AJ35" i="14"/>
  <c r="AL35" i="14"/>
  <c r="AN35" i="14"/>
  <c r="AP35" i="14"/>
  <c r="BX34" i="14"/>
  <c r="BZ34" i="14"/>
  <c r="BW34" i="14"/>
  <c r="BY34" i="14"/>
  <c r="CH34" i="14"/>
  <c r="CG34" i="14"/>
  <c r="CF34" i="14"/>
  <c r="CE34" i="14"/>
  <c r="CD34" i="14"/>
  <c r="CC34" i="14"/>
  <c r="CB34" i="14"/>
  <c r="CA34" i="14"/>
  <c r="BQ34" i="14"/>
  <c r="BS34" i="14"/>
  <c r="BU34" i="14"/>
  <c r="BP34" i="14"/>
  <c r="BR34" i="14"/>
  <c r="BJ34" i="14"/>
  <c r="BL34" i="14"/>
  <c r="BI34" i="14"/>
  <c r="BK34" i="14"/>
  <c r="BC34" i="14"/>
  <c r="BE34" i="14"/>
  <c r="BB34" i="14"/>
  <c r="BD34" i="14"/>
  <c r="AG34" i="14"/>
  <c r="AI34" i="14"/>
  <c r="AK34" i="14"/>
  <c r="AM34" i="14"/>
  <c r="AO34" i="14"/>
  <c r="AQ34" i="14"/>
  <c r="AF34" i="14"/>
  <c r="AH34" i="14"/>
  <c r="AJ34" i="14"/>
  <c r="AL34" i="14"/>
  <c r="AN34" i="14"/>
  <c r="AP34" i="14"/>
  <c r="BX33" i="14"/>
  <c r="BZ33" i="14"/>
  <c r="BW33" i="14"/>
  <c r="BY33" i="14"/>
  <c r="CH33" i="14"/>
  <c r="CG33" i="14"/>
  <c r="CF33" i="14"/>
  <c r="CE33" i="14"/>
  <c r="CD33" i="14"/>
  <c r="CC33" i="14"/>
  <c r="CB33" i="14"/>
  <c r="CA33" i="14"/>
  <c r="BQ33" i="14"/>
  <c r="BS33" i="14"/>
  <c r="BP33" i="14"/>
  <c r="BR33" i="14"/>
  <c r="BJ33" i="14"/>
  <c r="BL33" i="14"/>
  <c r="BI33" i="14"/>
  <c r="BK33" i="14"/>
  <c r="BC33" i="14"/>
  <c r="BE33" i="14"/>
  <c r="BB33" i="14"/>
  <c r="BD33" i="14"/>
  <c r="AG33" i="14"/>
  <c r="AI33" i="14"/>
  <c r="AK33" i="14"/>
  <c r="AM33" i="14"/>
  <c r="AO33" i="14"/>
  <c r="AQ33" i="14"/>
  <c r="AF33" i="14"/>
  <c r="AH33" i="14"/>
  <c r="AJ33" i="14"/>
  <c r="AL33" i="14"/>
  <c r="AN33" i="14"/>
  <c r="AP33" i="14"/>
  <c r="BX32" i="14"/>
  <c r="BZ32" i="14"/>
  <c r="BW32" i="14"/>
  <c r="BY32" i="14"/>
  <c r="CH32" i="14"/>
  <c r="CG32" i="14"/>
  <c r="CF32" i="14"/>
  <c r="CE32" i="14"/>
  <c r="CD32" i="14"/>
  <c r="CC32" i="14"/>
  <c r="CB32" i="14"/>
  <c r="CA32" i="14"/>
  <c r="BQ32" i="14"/>
  <c r="BS32" i="14"/>
  <c r="BP32" i="14"/>
  <c r="BR32" i="14"/>
  <c r="BJ32" i="14"/>
  <c r="BL32" i="14"/>
  <c r="BI32" i="14"/>
  <c r="BK32" i="14"/>
  <c r="BC32" i="14"/>
  <c r="BE32" i="14"/>
  <c r="BB32" i="14"/>
  <c r="BD32" i="14"/>
  <c r="AG32" i="14"/>
  <c r="AI32" i="14"/>
  <c r="AK32" i="14"/>
  <c r="AM32" i="14"/>
  <c r="AO32" i="14"/>
  <c r="AQ32" i="14"/>
  <c r="AF32" i="14"/>
  <c r="AH32" i="14"/>
  <c r="AJ32" i="14"/>
  <c r="AL32" i="14"/>
  <c r="AN32" i="14"/>
  <c r="AP32" i="14"/>
  <c r="BX31" i="14"/>
  <c r="BZ31" i="14"/>
  <c r="BW31" i="14"/>
  <c r="BY31" i="14"/>
  <c r="CH31" i="14"/>
  <c r="CG31" i="14"/>
  <c r="CF31" i="14"/>
  <c r="CE31" i="14"/>
  <c r="CD31" i="14"/>
  <c r="CC31" i="14"/>
  <c r="CB31" i="14"/>
  <c r="CA31" i="14"/>
  <c r="BQ31" i="14"/>
  <c r="BS31" i="14"/>
  <c r="BU31" i="14"/>
  <c r="BP31" i="14"/>
  <c r="BR31" i="14"/>
  <c r="BJ31" i="14"/>
  <c r="BL31" i="14"/>
  <c r="BN31" i="14"/>
  <c r="BI31" i="14"/>
  <c r="BK31" i="14"/>
  <c r="BC31" i="14"/>
  <c r="BE31" i="14"/>
  <c r="BB31" i="14"/>
  <c r="BD31" i="14"/>
  <c r="AG31" i="14"/>
  <c r="AI31" i="14"/>
  <c r="AK31" i="14"/>
  <c r="AM31" i="14"/>
  <c r="AO31" i="14"/>
  <c r="AQ31" i="14"/>
  <c r="AF31" i="14"/>
  <c r="AH31" i="14"/>
  <c r="AJ31" i="14"/>
  <c r="AL31" i="14"/>
  <c r="AN31" i="14"/>
  <c r="AP31" i="14"/>
  <c r="BX30" i="14"/>
  <c r="BZ30" i="14"/>
  <c r="BW30" i="14"/>
  <c r="BY30" i="14"/>
  <c r="CH30" i="14"/>
  <c r="CG30" i="14"/>
  <c r="CF30" i="14"/>
  <c r="CE30" i="14"/>
  <c r="CD30" i="14"/>
  <c r="CC30" i="14"/>
  <c r="CB30" i="14"/>
  <c r="CA30" i="14"/>
  <c r="BQ30" i="14"/>
  <c r="BS30" i="14"/>
  <c r="BP30" i="14"/>
  <c r="BR30" i="14"/>
  <c r="BJ30" i="14"/>
  <c r="BL30" i="14"/>
  <c r="BN30" i="14"/>
  <c r="BI30" i="14"/>
  <c r="BK30" i="14"/>
  <c r="BC30" i="14"/>
  <c r="BE30" i="14"/>
  <c r="BB30" i="14"/>
  <c r="BD30" i="14"/>
  <c r="AG30" i="14"/>
  <c r="AI30" i="14"/>
  <c r="AK30" i="14"/>
  <c r="AM30" i="14"/>
  <c r="AO30" i="14"/>
  <c r="AQ30" i="14"/>
  <c r="AF30" i="14"/>
  <c r="AH30" i="14"/>
  <c r="AJ30" i="14"/>
  <c r="AL30" i="14"/>
  <c r="AN30" i="14"/>
  <c r="AP30" i="14"/>
  <c r="BX29" i="14"/>
  <c r="BZ29" i="14"/>
  <c r="BW29" i="14"/>
  <c r="BY29" i="14"/>
  <c r="CH29" i="14"/>
  <c r="CG29" i="14"/>
  <c r="CF29" i="14"/>
  <c r="CE29" i="14"/>
  <c r="CD29" i="14"/>
  <c r="CC29" i="14"/>
  <c r="CB29" i="14"/>
  <c r="CA29" i="14"/>
  <c r="BQ29" i="14"/>
  <c r="BS29" i="14"/>
  <c r="BP29" i="14"/>
  <c r="BR29" i="14"/>
  <c r="BJ29" i="14"/>
  <c r="BL29" i="14"/>
  <c r="BI29" i="14"/>
  <c r="BK29" i="14"/>
  <c r="BC29" i="14"/>
  <c r="BE29" i="14"/>
  <c r="BB29" i="14"/>
  <c r="BD29" i="14"/>
  <c r="AG29" i="14"/>
  <c r="AI29" i="14"/>
  <c r="AK29" i="14"/>
  <c r="AM29" i="14"/>
  <c r="AO29" i="14"/>
  <c r="AQ29" i="14"/>
  <c r="AF29" i="14"/>
  <c r="AH29" i="14"/>
  <c r="AJ29" i="14"/>
  <c r="AL29" i="14"/>
  <c r="AN29" i="14"/>
  <c r="AP29" i="14"/>
  <c r="BX28" i="14"/>
  <c r="BZ28" i="14"/>
  <c r="BW28" i="14"/>
  <c r="BY28" i="14"/>
  <c r="CH28" i="14"/>
  <c r="CG28" i="14"/>
  <c r="CF28" i="14"/>
  <c r="CE28" i="14"/>
  <c r="CD28" i="14"/>
  <c r="CC28" i="14"/>
  <c r="CB28" i="14"/>
  <c r="CA28" i="14"/>
  <c r="BQ28" i="14"/>
  <c r="BS28" i="14"/>
  <c r="BP28" i="14"/>
  <c r="BR28" i="14"/>
  <c r="BJ28" i="14"/>
  <c r="BL28" i="14"/>
  <c r="BI28" i="14"/>
  <c r="BK28" i="14"/>
  <c r="BC28" i="14"/>
  <c r="BE28" i="14"/>
  <c r="BB28" i="14"/>
  <c r="BD28" i="14"/>
  <c r="BF28" i="14"/>
  <c r="AG28" i="14"/>
  <c r="AI28" i="14"/>
  <c r="AK28" i="14"/>
  <c r="AM28" i="14"/>
  <c r="AO28" i="14"/>
  <c r="AQ28" i="14"/>
  <c r="AF28" i="14"/>
  <c r="AH28" i="14"/>
  <c r="AJ28" i="14"/>
  <c r="AL28" i="14"/>
  <c r="AN28" i="14"/>
  <c r="AP28" i="14"/>
  <c r="BW21" i="14"/>
  <c r="BY21" i="14"/>
  <c r="BW22" i="14"/>
  <c r="BY22" i="14"/>
  <c r="BW23" i="14"/>
  <c r="BY23" i="14"/>
  <c r="BW24" i="14"/>
  <c r="BY24" i="14"/>
  <c r="BW25" i="14"/>
  <c r="BY25" i="14"/>
  <c r="BW26" i="14"/>
  <c r="BY26" i="14"/>
  <c r="BW27" i="14"/>
  <c r="BY27" i="14"/>
  <c r="BX27" i="14"/>
  <c r="BZ27" i="14"/>
  <c r="CH27" i="14"/>
  <c r="CG27" i="14"/>
  <c r="CF27" i="14"/>
  <c r="CE27" i="14"/>
  <c r="CD27" i="14"/>
  <c r="CC27" i="14"/>
  <c r="CB27" i="14"/>
  <c r="CA27" i="14"/>
  <c r="BQ27" i="14"/>
  <c r="BS27" i="14"/>
  <c r="BP27" i="14"/>
  <c r="BR27" i="14"/>
  <c r="BJ27" i="14"/>
  <c r="BL27" i="14"/>
  <c r="BN27" i="14"/>
  <c r="BI27" i="14"/>
  <c r="BK27" i="14"/>
  <c r="BC27" i="14"/>
  <c r="BE27" i="14"/>
  <c r="BB27" i="14"/>
  <c r="BD27" i="14"/>
  <c r="AG27" i="14"/>
  <c r="AI27" i="14"/>
  <c r="AK27" i="14"/>
  <c r="AM27" i="14"/>
  <c r="AO27" i="14"/>
  <c r="AQ27" i="14"/>
  <c r="AF27" i="14"/>
  <c r="AH27" i="14"/>
  <c r="AJ27" i="14"/>
  <c r="AL27" i="14"/>
  <c r="AN27" i="14"/>
  <c r="AP27" i="14"/>
  <c r="BX26" i="14"/>
  <c r="BZ26" i="14"/>
  <c r="CH26" i="14"/>
  <c r="CG26" i="14"/>
  <c r="CF26" i="14"/>
  <c r="CE26" i="14"/>
  <c r="CD26" i="14"/>
  <c r="CC26" i="14"/>
  <c r="CB26" i="14"/>
  <c r="CA26" i="14"/>
  <c r="BQ26" i="14"/>
  <c r="BS26" i="14"/>
  <c r="BP26" i="14"/>
  <c r="BR26" i="14"/>
  <c r="BJ26" i="14"/>
  <c r="BL26" i="14"/>
  <c r="BI26" i="14"/>
  <c r="BK26" i="14"/>
  <c r="BC26" i="14"/>
  <c r="BE26" i="14"/>
  <c r="BB26" i="14"/>
  <c r="BD26" i="14"/>
  <c r="AG26" i="14"/>
  <c r="AI26" i="14"/>
  <c r="AK26" i="14"/>
  <c r="AM26" i="14"/>
  <c r="AO26" i="14"/>
  <c r="AQ26" i="14"/>
  <c r="AF26" i="14"/>
  <c r="AH26" i="14"/>
  <c r="AJ26" i="14"/>
  <c r="AL26" i="14"/>
  <c r="AN26" i="14"/>
  <c r="AP26" i="14"/>
  <c r="BX25" i="14"/>
  <c r="BZ25" i="14"/>
  <c r="CH25" i="14"/>
  <c r="CG25" i="14"/>
  <c r="CF25" i="14"/>
  <c r="CE25" i="14"/>
  <c r="CD25" i="14"/>
  <c r="CC25" i="14"/>
  <c r="CB25" i="14"/>
  <c r="CA25" i="14"/>
  <c r="BQ25" i="14"/>
  <c r="BS25" i="14"/>
  <c r="BP25" i="14"/>
  <c r="BR25" i="14"/>
  <c r="BJ25" i="14"/>
  <c r="BL25" i="14"/>
  <c r="BN25" i="14"/>
  <c r="BI25" i="14"/>
  <c r="BK25" i="14"/>
  <c r="BC25" i="14"/>
  <c r="BE25" i="14"/>
  <c r="BB25" i="14"/>
  <c r="BD25" i="14"/>
  <c r="AG25" i="14"/>
  <c r="AI25" i="14"/>
  <c r="AK25" i="14"/>
  <c r="AM25" i="14"/>
  <c r="AO25" i="14"/>
  <c r="AQ25" i="14"/>
  <c r="AF25" i="14"/>
  <c r="AH25" i="14"/>
  <c r="AJ25" i="14"/>
  <c r="AL25" i="14"/>
  <c r="AN25" i="14"/>
  <c r="AP25" i="14"/>
  <c r="BW11" i="14"/>
  <c r="BY11" i="14"/>
  <c r="BW12" i="14"/>
  <c r="BY12" i="14"/>
  <c r="BW13" i="14"/>
  <c r="BY13" i="14"/>
  <c r="BW14" i="14"/>
  <c r="BY14" i="14"/>
  <c r="BW15" i="14"/>
  <c r="BY15" i="14"/>
  <c r="BW16" i="14"/>
  <c r="BY16" i="14"/>
  <c r="BW17" i="14"/>
  <c r="BY17" i="14"/>
  <c r="BW18" i="14"/>
  <c r="BY18" i="14"/>
  <c r="BW19" i="14"/>
  <c r="BY19" i="14"/>
  <c r="BW20" i="14"/>
  <c r="BY20" i="14"/>
  <c r="BX24" i="14"/>
  <c r="BZ24" i="14"/>
  <c r="CH24" i="14"/>
  <c r="CG24" i="14"/>
  <c r="CF24" i="14"/>
  <c r="CE24" i="14"/>
  <c r="CD24" i="14"/>
  <c r="CC24" i="14"/>
  <c r="CB24" i="14"/>
  <c r="CA24" i="14"/>
  <c r="BQ24" i="14"/>
  <c r="BS24" i="14"/>
  <c r="BP24" i="14"/>
  <c r="BR24" i="14"/>
  <c r="BJ24" i="14"/>
  <c r="BL24" i="14"/>
  <c r="BI24" i="14"/>
  <c r="BK24" i="14"/>
  <c r="BM24" i="14"/>
  <c r="BC24" i="14"/>
  <c r="BE24" i="14"/>
  <c r="BB24" i="14"/>
  <c r="BD24" i="14"/>
  <c r="AG24" i="14"/>
  <c r="AI24" i="14"/>
  <c r="AK24" i="14"/>
  <c r="AM24" i="14"/>
  <c r="AO24" i="14"/>
  <c r="AQ24" i="14"/>
  <c r="AF24" i="14"/>
  <c r="AH24" i="14"/>
  <c r="AJ24" i="14"/>
  <c r="AL24" i="14"/>
  <c r="AN24" i="14"/>
  <c r="AP24" i="14"/>
  <c r="BX23" i="14"/>
  <c r="BZ23" i="14"/>
  <c r="CH23" i="14"/>
  <c r="CG23" i="14"/>
  <c r="CF23" i="14"/>
  <c r="CE23" i="14"/>
  <c r="CD23" i="14"/>
  <c r="CC23" i="14"/>
  <c r="CB23" i="14"/>
  <c r="CA23" i="14"/>
  <c r="BQ23" i="14"/>
  <c r="BS23" i="14"/>
  <c r="BP23" i="14"/>
  <c r="BR23" i="14"/>
  <c r="BJ23" i="14"/>
  <c r="BL23" i="14"/>
  <c r="BI23" i="14"/>
  <c r="BK23" i="14"/>
  <c r="BC23" i="14"/>
  <c r="BE23" i="14"/>
  <c r="BB23" i="14"/>
  <c r="BD23" i="14"/>
  <c r="AG23" i="14"/>
  <c r="AI23" i="14"/>
  <c r="AK23" i="14"/>
  <c r="AM23" i="14"/>
  <c r="AO23" i="14"/>
  <c r="AQ23" i="14"/>
  <c r="AF23" i="14"/>
  <c r="AH23" i="14"/>
  <c r="AJ23" i="14"/>
  <c r="AL23" i="14"/>
  <c r="AN23" i="14"/>
  <c r="AP23" i="14"/>
  <c r="BX22" i="14"/>
  <c r="BZ22" i="14"/>
  <c r="CH22" i="14"/>
  <c r="CG22" i="14"/>
  <c r="CF22" i="14"/>
  <c r="CE22" i="14"/>
  <c r="CD22" i="14"/>
  <c r="CC22" i="14"/>
  <c r="CB22" i="14"/>
  <c r="CA22" i="14"/>
  <c r="BQ22" i="14"/>
  <c r="BS22" i="14"/>
  <c r="BP22" i="14"/>
  <c r="BR22" i="14"/>
  <c r="BT22" i="14"/>
  <c r="BJ22" i="14"/>
  <c r="BL22" i="14"/>
  <c r="BI22" i="14"/>
  <c r="BK22" i="14"/>
  <c r="BC22" i="14"/>
  <c r="BE22" i="14"/>
  <c r="BB22" i="14"/>
  <c r="BD22" i="14"/>
  <c r="AG22" i="14"/>
  <c r="AI22" i="14"/>
  <c r="AK22" i="14"/>
  <c r="AM22" i="14"/>
  <c r="AO22" i="14"/>
  <c r="AQ22" i="14"/>
  <c r="AF22" i="14"/>
  <c r="AH22" i="14"/>
  <c r="AJ22" i="14"/>
  <c r="AL22" i="14"/>
  <c r="AN22" i="14"/>
  <c r="AP22" i="14"/>
  <c r="BX21" i="14"/>
  <c r="BZ21" i="14"/>
  <c r="CH21" i="14"/>
  <c r="CG21" i="14"/>
  <c r="CF21" i="14"/>
  <c r="CE21" i="14"/>
  <c r="CD21" i="14"/>
  <c r="CC21" i="14"/>
  <c r="CB21" i="14"/>
  <c r="CA21" i="14"/>
  <c r="BQ21" i="14"/>
  <c r="BS21" i="14"/>
  <c r="BP21" i="14"/>
  <c r="BR21" i="14"/>
  <c r="BJ21" i="14"/>
  <c r="BL21" i="14"/>
  <c r="BN21" i="14"/>
  <c r="BI21" i="14"/>
  <c r="BK21" i="14"/>
  <c r="BC21" i="14"/>
  <c r="BE21" i="14"/>
  <c r="BG21" i="14"/>
  <c r="BB21" i="14"/>
  <c r="BD21" i="14"/>
  <c r="AG21" i="14"/>
  <c r="AI21" i="14"/>
  <c r="AK21" i="14"/>
  <c r="AM21" i="14"/>
  <c r="AO21" i="14"/>
  <c r="AQ21" i="14"/>
  <c r="AF21" i="14"/>
  <c r="AH21" i="14"/>
  <c r="AJ21" i="14"/>
  <c r="AL21" i="14"/>
  <c r="AN21" i="14"/>
  <c r="AP21" i="14"/>
  <c r="BX20" i="14"/>
  <c r="BZ20" i="14"/>
  <c r="CH20" i="14"/>
  <c r="CG20" i="14"/>
  <c r="CF20" i="14"/>
  <c r="CE20" i="14"/>
  <c r="CD20" i="14"/>
  <c r="CC20" i="14"/>
  <c r="CB20" i="14"/>
  <c r="CA20" i="14"/>
  <c r="BQ20" i="14"/>
  <c r="BS20" i="14"/>
  <c r="BP20" i="14"/>
  <c r="BR20" i="14"/>
  <c r="BJ20" i="14"/>
  <c r="BL20" i="14"/>
  <c r="BI20" i="14"/>
  <c r="BK20" i="14"/>
  <c r="BM20" i="14"/>
  <c r="BC20" i="14"/>
  <c r="BE20" i="14"/>
  <c r="BB20" i="14"/>
  <c r="BD20" i="14"/>
  <c r="AG20" i="14"/>
  <c r="AI20" i="14"/>
  <c r="AK20" i="14"/>
  <c r="AM20" i="14"/>
  <c r="AO20" i="14"/>
  <c r="AQ20" i="14"/>
  <c r="AF20" i="14"/>
  <c r="AH20" i="14"/>
  <c r="AJ20" i="14"/>
  <c r="AL20" i="14"/>
  <c r="AN20" i="14"/>
  <c r="AP20" i="14"/>
  <c r="BX19" i="14"/>
  <c r="BZ19" i="14"/>
  <c r="CH19" i="14"/>
  <c r="CG19" i="14"/>
  <c r="CF19" i="14"/>
  <c r="CE19" i="14"/>
  <c r="CD19" i="14"/>
  <c r="CC19" i="14"/>
  <c r="CB19" i="14"/>
  <c r="CA19" i="14"/>
  <c r="BQ19" i="14"/>
  <c r="BS19" i="14"/>
  <c r="BP19" i="14"/>
  <c r="BR19" i="14"/>
  <c r="BJ19" i="14"/>
  <c r="BL19" i="14"/>
  <c r="BI19" i="14"/>
  <c r="BK19" i="14"/>
  <c r="BC19" i="14"/>
  <c r="BE19" i="14"/>
  <c r="BB19" i="14"/>
  <c r="BD19" i="14"/>
  <c r="AG19" i="14"/>
  <c r="AI19" i="14"/>
  <c r="AK19" i="14"/>
  <c r="AM19" i="14"/>
  <c r="AO19" i="14"/>
  <c r="AQ19" i="14"/>
  <c r="AF19" i="14"/>
  <c r="AH19" i="14"/>
  <c r="AJ19" i="14"/>
  <c r="AL19" i="14"/>
  <c r="AN19" i="14"/>
  <c r="AP19" i="14"/>
  <c r="BX18" i="14"/>
  <c r="BZ18" i="14"/>
  <c r="CH18" i="14"/>
  <c r="CG18" i="14"/>
  <c r="CF18" i="14"/>
  <c r="CE18" i="14"/>
  <c r="CD18" i="14"/>
  <c r="CC18" i="14"/>
  <c r="CB18" i="14"/>
  <c r="CA18" i="14"/>
  <c r="BQ18" i="14"/>
  <c r="BS18" i="14"/>
  <c r="BP18" i="14"/>
  <c r="BR18" i="14"/>
  <c r="BJ18" i="14"/>
  <c r="BL18" i="14"/>
  <c r="BI18" i="14"/>
  <c r="BK18" i="14"/>
  <c r="BC18" i="14"/>
  <c r="BE18" i="14"/>
  <c r="BB18" i="14"/>
  <c r="BD18" i="14"/>
  <c r="AG18" i="14"/>
  <c r="AI18" i="14"/>
  <c r="AK18" i="14"/>
  <c r="AM18" i="14"/>
  <c r="AO18" i="14"/>
  <c r="AQ18" i="14"/>
  <c r="AF18" i="14"/>
  <c r="AH18" i="14"/>
  <c r="AJ18" i="14"/>
  <c r="AL18" i="14"/>
  <c r="AN18" i="14"/>
  <c r="AP18" i="14"/>
  <c r="BX17" i="14"/>
  <c r="BZ17" i="14"/>
  <c r="CH17" i="14"/>
  <c r="CG17" i="14"/>
  <c r="CF17" i="14"/>
  <c r="CE17" i="14"/>
  <c r="CD17" i="14"/>
  <c r="CC17" i="14"/>
  <c r="CB17" i="14"/>
  <c r="CA17" i="14"/>
  <c r="BQ17" i="14"/>
  <c r="BS17" i="14"/>
  <c r="BU17" i="14"/>
  <c r="BP17" i="14"/>
  <c r="BR17" i="14"/>
  <c r="BJ17" i="14"/>
  <c r="BL17" i="14"/>
  <c r="BI17" i="14"/>
  <c r="BK17" i="14"/>
  <c r="BC17" i="14"/>
  <c r="BE17" i="14"/>
  <c r="BB17" i="14"/>
  <c r="BD17" i="14"/>
  <c r="AG17" i="14"/>
  <c r="AI17" i="14"/>
  <c r="AK17" i="14"/>
  <c r="AM17" i="14"/>
  <c r="AO17" i="14"/>
  <c r="AQ17" i="14"/>
  <c r="AF17" i="14"/>
  <c r="AH17" i="14"/>
  <c r="AJ17" i="14"/>
  <c r="AL17" i="14"/>
  <c r="AN17" i="14"/>
  <c r="AP17" i="14"/>
  <c r="BX16" i="14"/>
  <c r="BZ16" i="14"/>
  <c r="CH16" i="14"/>
  <c r="CG16" i="14"/>
  <c r="CF16" i="14"/>
  <c r="CE16" i="14"/>
  <c r="CD16" i="14"/>
  <c r="CC16" i="14"/>
  <c r="CB16" i="14"/>
  <c r="CA16" i="14"/>
  <c r="BQ16" i="14"/>
  <c r="BS16" i="14"/>
  <c r="BP16" i="14"/>
  <c r="BR16" i="14"/>
  <c r="BJ16" i="14"/>
  <c r="BL16" i="14"/>
  <c r="BI16" i="14"/>
  <c r="BK16" i="14"/>
  <c r="BC16" i="14"/>
  <c r="BE16" i="14"/>
  <c r="BG16" i="14"/>
  <c r="BB16" i="14"/>
  <c r="BD16" i="14"/>
  <c r="AG16" i="14"/>
  <c r="AI16" i="14"/>
  <c r="AK16" i="14"/>
  <c r="AM16" i="14"/>
  <c r="AO16" i="14"/>
  <c r="AQ16" i="14"/>
  <c r="AF16" i="14"/>
  <c r="AH16" i="14"/>
  <c r="AJ16" i="14"/>
  <c r="AL16" i="14"/>
  <c r="AN16" i="14"/>
  <c r="AP16" i="14"/>
  <c r="BX15" i="14"/>
  <c r="BZ15" i="14"/>
  <c r="CH15" i="14"/>
  <c r="CG15" i="14"/>
  <c r="CF15" i="14"/>
  <c r="CE15" i="14"/>
  <c r="CD15" i="14"/>
  <c r="CC15" i="14"/>
  <c r="CB15" i="14"/>
  <c r="CA15" i="14"/>
  <c r="BQ15" i="14"/>
  <c r="BS15" i="14"/>
  <c r="BU15" i="14"/>
  <c r="BP15" i="14"/>
  <c r="BR15" i="14"/>
  <c r="BJ15" i="14"/>
  <c r="BL15" i="14"/>
  <c r="BI15" i="14"/>
  <c r="BK15" i="14"/>
  <c r="BC15" i="14"/>
  <c r="BE15" i="14"/>
  <c r="BB15" i="14"/>
  <c r="BD15" i="14"/>
  <c r="AG15" i="14"/>
  <c r="AI15" i="14"/>
  <c r="AK15" i="14"/>
  <c r="AM15" i="14"/>
  <c r="AO15" i="14"/>
  <c r="AQ15" i="14"/>
  <c r="AF15" i="14"/>
  <c r="AH15" i="14"/>
  <c r="AJ15" i="14"/>
  <c r="AL15" i="14"/>
  <c r="AN15" i="14"/>
  <c r="AP15" i="14"/>
  <c r="BX14" i="14"/>
  <c r="BZ14" i="14"/>
  <c r="CH14" i="14"/>
  <c r="CG14" i="14"/>
  <c r="CF14" i="14"/>
  <c r="CE14" i="14"/>
  <c r="CD14" i="14"/>
  <c r="CC14" i="14"/>
  <c r="CB14" i="14"/>
  <c r="CA14" i="14"/>
  <c r="BQ14" i="14"/>
  <c r="BS14" i="14"/>
  <c r="BP14" i="14"/>
  <c r="BR14" i="14"/>
  <c r="BJ14" i="14"/>
  <c r="BL14" i="14"/>
  <c r="BI14" i="14"/>
  <c r="BK14" i="14"/>
  <c r="BC14" i="14"/>
  <c r="BE14" i="14"/>
  <c r="BB14" i="14"/>
  <c r="BD14" i="14"/>
  <c r="AG14" i="14"/>
  <c r="AI14" i="14"/>
  <c r="AK14" i="14"/>
  <c r="AM14" i="14"/>
  <c r="AO14" i="14"/>
  <c r="AQ14" i="14"/>
  <c r="AF14" i="14"/>
  <c r="AH14" i="14"/>
  <c r="AJ14" i="14"/>
  <c r="AL14" i="14"/>
  <c r="AN14" i="14"/>
  <c r="AP14" i="14"/>
  <c r="BX13" i="14"/>
  <c r="BZ13" i="14"/>
  <c r="CH13" i="14"/>
  <c r="CG13" i="14"/>
  <c r="CF13" i="14"/>
  <c r="CE13" i="14"/>
  <c r="CD13" i="14"/>
  <c r="CC13" i="14"/>
  <c r="CB13" i="14"/>
  <c r="CA13" i="14"/>
  <c r="BQ13" i="14"/>
  <c r="BS13" i="14"/>
  <c r="BP13" i="14"/>
  <c r="BR13" i="14"/>
  <c r="BJ13" i="14"/>
  <c r="BL13" i="14"/>
  <c r="BN13" i="14"/>
  <c r="BI13" i="14"/>
  <c r="BK13" i="14"/>
  <c r="BC13" i="14"/>
  <c r="BE13" i="14"/>
  <c r="BB13" i="14"/>
  <c r="BD13" i="14"/>
  <c r="AG13" i="14"/>
  <c r="AI13" i="14"/>
  <c r="AK13" i="14"/>
  <c r="AM13" i="14"/>
  <c r="AO13" i="14"/>
  <c r="AQ13" i="14"/>
  <c r="AF13" i="14"/>
  <c r="AH13" i="14"/>
  <c r="AJ13" i="14"/>
  <c r="AL13" i="14"/>
  <c r="AN13" i="14"/>
  <c r="AP13" i="14"/>
  <c r="BX12" i="14"/>
  <c r="BZ12" i="14"/>
  <c r="CH12" i="14"/>
  <c r="CG12" i="14"/>
  <c r="CF12" i="14"/>
  <c r="CE12" i="14"/>
  <c r="CD12" i="14"/>
  <c r="CC12" i="14"/>
  <c r="CB12" i="14"/>
  <c r="CA12" i="14"/>
  <c r="BQ12" i="14"/>
  <c r="BS12" i="14"/>
  <c r="BP12" i="14"/>
  <c r="BR12" i="14"/>
  <c r="BJ12" i="14"/>
  <c r="BL12" i="14"/>
  <c r="BI12" i="14"/>
  <c r="BI6" i="14"/>
  <c r="BI7" i="14"/>
  <c r="BI8" i="14"/>
  <c r="BI9" i="14"/>
  <c r="BI10" i="14"/>
  <c r="BI11" i="14"/>
  <c r="BI5" i="14"/>
  <c r="BK12" i="14"/>
  <c r="BC12" i="14"/>
  <c r="BE12" i="14"/>
  <c r="BB12" i="14"/>
  <c r="BD12" i="14"/>
  <c r="AG12" i="14"/>
  <c r="AI12" i="14"/>
  <c r="AK12" i="14"/>
  <c r="AM12" i="14"/>
  <c r="AO12" i="14"/>
  <c r="AQ12" i="14"/>
  <c r="AF12" i="14"/>
  <c r="AH12" i="14"/>
  <c r="AJ12" i="14"/>
  <c r="AL12" i="14"/>
  <c r="AN12" i="14"/>
  <c r="AP12" i="14"/>
  <c r="BX11" i="14"/>
  <c r="BZ11" i="14"/>
  <c r="CH11" i="14"/>
  <c r="CG11" i="14"/>
  <c r="CF11" i="14"/>
  <c r="CE11" i="14"/>
  <c r="CD11" i="14"/>
  <c r="CC11" i="14"/>
  <c r="CB11" i="14"/>
  <c r="CA11" i="14"/>
  <c r="BQ11" i="14"/>
  <c r="BS11" i="14"/>
  <c r="BP11" i="14"/>
  <c r="BR11" i="14"/>
  <c r="BJ11" i="14"/>
  <c r="BL11" i="14"/>
  <c r="BK11" i="14"/>
  <c r="BC11" i="14"/>
  <c r="BE11" i="14"/>
  <c r="BG11" i="14"/>
  <c r="BB11" i="14"/>
  <c r="BD11" i="14"/>
  <c r="AG11" i="14"/>
  <c r="AI11" i="14"/>
  <c r="AK11" i="14"/>
  <c r="AM11" i="14"/>
  <c r="AO11" i="14"/>
  <c r="AQ11" i="14"/>
  <c r="AF11" i="14"/>
  <c r="AH11" i="14"/>
  <c r="AJ11" i="14"/>
  <c r="AL11" i="14"/>
  <c r="AN11" i="14"/>
  <c r="AP11" i="14"/>
  <c r="BX10" i="14"/>
  <c r="BZ10" i="14"/>
  <c r="BW10" i="14"/>
  <c r="BY10" i="14"/>
  <c r="CH10" i="14"/>
  <c r="CG10" i="14"/>
  <c r="CF10" i="14"/>
  <c r="CE10" i="14"/>
  <c r="CD10" i="14"/>
  <c r="CC10" i="14"/>
  <c r="CB10" i="14"/>
  <c r="CA10" i="14"/>
  <c r="BQ10" i="14"/>
  <c r="BS10" i="14"/>
  <c r="BU10" i="14"/>
  <c r="BP10" i="14"/>
  <c r="BR10" i="14"/>
  <c r="BJ10" i="14"/>
  <c r="BL10" i="14"/>
  <c r="BK10" i="14"/>
  <c r="BC10" i="14"/>
  <c r="BE10" i="14"/>
  <c r="BB10" i="14"/>
  <c r="BD10" i="14"/>
  <c r="AG10" i="14"/>
  <c r="AI10" i="14"/>
  <c r="AK10" i="14"/>
  <c r="AM10" i="14"/>
  <c r="AO10" i="14"/>
  <c r="AQ10" i="14"/>
  <c r="AF10" i="14"/>
  <c r="AH10" i="14"/>
  <c r="AJ10" i="14"/>
  <c r="AL10" i="14"/>
  <c r="AN10" i="14"/>
  <c r="AP10" i="14"/>
  <c r="BX9" i="14"/>
  <c r="BZ9" i="14"/>
  <c r="BW9" i="14"/>
  <c r="BY9" i="14"/>
  <c r="CH9" i="14"/>
  <c r="CG9" i="14"/>
  <c r="CF9" i="14"/>
  <c r="CE9" i="14"/>
  <c r="CD9" i="14"/>
  <c r="CC9" i="14"/>
  <c r="CB9" i="14"/>
  <c r="CA9" i="14"/>
  <c r="BQ9" i="14"/>
  <c r="BS9" i="14"/>
  <c r="BP9" i="14"/>
  <c r="BR9" i="14"/>
  <c r="BJ9" i="14"/>
  <c r="BL9" i="14"/>
  <c r="BK9" i="14"/>
  <c r="BC9" i="14"/>
  <c r="BE9" i="14"/>
  <c r="BB9" i="14"/>
  <c r="BD9" i="14"/>
  <c r="BF9" i="14"/>
  <c r="AG9" i="14"/>
  <c r="AI9" i="14"/>
  <c r="AK9" i="14"/>
  <c r="AM9" i="14"/>
  <c r="AO9" i="14"/>
  <c r="AQ9" i="14"/>
  <c r="AF9" i="14"/>
  <c r="AH9" i="14"/>
  <c r="AJ9" i="14"/>
  <c r="AL9" i="14"/>
  <c r="AN9" i="14"/>
  <c r="AP9" i="14"/>
  <c r="BX8" i="14"/>
  <c r="BZ8" i="14"/>
  <c r="BW8" i="14"/>
  <c r="BY8" i="14"/>
  <c r="CH8" i="14"/>
  <c r="CG8" i="14"/>
  <c r="CF8" i="14"/>
  <c r="CE8" i="14"/>
  <c r="CD8" i="14"/>
  <c r="CC8" i="14"/>
  <c r="CB8" i="14"/>
  <c r="CA8" i="14"/>
  <c r="BQ8" i="14"/>
  <c r="BS8" i="14"/>
  <c r="BU8" i="14"/>
  <c r="BP8" i="14"/>
  <c r="BR8" i="14"/>
  <c r="BJ8" i="14"/>
  <c r="BL8" i="14"/>
  <c r="BK8" i="14"/>
  <c r="BC8" i="14"/>
  <c r="BE8" i="14"/>
  <c r="BB8" i="14"/>
  <c r="BD8" i="14"/>
  <c r="AG8" i="14"/>
  <c r="AI8" i="14"/>
  <c r="AK8" i="14"/>
  <c r="AM8" i="14"/>
  <c r="AO8" i="14"/>
  <c r="AQ8" i="14"/>
  <c r="AF8" i="14"/>
  <c r="AH8" i="14"/>
  <c r="AJ8" i="14"/>
  <c r="AL8" i="14"/>
  <c r="AN8" i="14"/>
  <c r="AP8" i="14"/>
  <c r="BX7" i="14"/>
  <c r="BZ7" i="14"/>
  <c r="BW7" i="14"/>
  <c r="BY7" i="14"/>
  <c r="CH7" i="14"/>
  <c r="CG7" i="14"/>
  <c r="CF7" i="14"/>
  <c r="CE7" i="14"/>
  <c r="CD7" i="14"/>
  <c r="CC7" i="14"/>
  <c r="CB7" i="14"/>
  <c r="CA7" i="14"/>
  <c r="BQ7" i="14"/>
  <c r="BS7" i="14"/>
  <c r="BU7" i="14"/>
  <c r="BP7" i="14"/>
  <c r="BR7" i="14"/>
  <c r="BJ7" i="14"/>
  <c r="BL7" i="14"/>
  <c r="BK7" i="14"/>
  <c r="BC7" i="14"/>
  <c r="BE7" i="14"/>
  <c r="BB7" i="14"/>
  <c r="BD7" i="14"/>
  <c r="AG7" i="14"/>
  <c r="AI7" i="14"/>
  <c r="AK7" i="14"/>
  <c r="AM7" i="14"/>
  <c r="AO7" i="14"/>
  <c r="AQ7" i="14"/>
  <c r="AF7" i="14"/>
  <c r="AH7" i="14"/>
  <c r="AJ7" i="14"/>
  <c r="AL7" i="14"/>
  <c r="AN7" i="14"/>
  <c r="AP7" i="14"/>
  <c r="BX6" i="14"/>
  <c r="BZ6" i="14"/>
  <c r="BW6" i="14"/>
  <c r="BY6" i="14"/>
  <c r="CH6" i="14"/>
  <c r="CG6" i="14"/>
  <c r="CF6" i="14"/>
  <c r="CE6" i="14"/>
  <c r="CD6" i="14"/>
  <c r="CC6" i="14"/>
  <c r="CB6" i="14"/>
  <c r="CA6" i="14"/>
  <c r="BQ6" i="14"/>
  <c r="BQ5" i="14"/>
  <c r="BS6" i="14"/>
  <c r="BP6" i="14"/>
  <c r="BR6" i="14"/>
  <c r="BJ6" i="14"/>
  <c r="BJ5" i="14"/>
  <c r="BL6" i="14"/>
  <c r="BK6" i="14"/>
  <c r="BC6" i="14"/>
  <c r="BE6" i="14"/>
  <c r="BB6" i="14"/>
  <c r="BD6" i="14"/>
  <c r="AG6" i="14"/>
  <c r="AI6" i="14"/>
  <c r="AK6" i="14"/>
  <c r="AM6" i="14"/>
  <c r="AO6" i="14"/>
  <c r="AQ6" i="14"/>
  <c r="AF6" i="14"/>
  <c r="AH6" i="14"/>
  <c r="AJ6" i="14"/>
  <c r="AL6" i="14"/>
  <c r="AN6" i="14"/>
  <c r="AP6" i="14"/>
  <c r="BX36" i="7"/>
  <c r="BZ36" i="7"/>
  <c r="BQ36" i="7"/>
  <c r="BS36" i="7"/>
  <c r="BJ36" i="7"/>
  <c r="BL36" i="7"/>
  <c r="BC36" i="7"/>
  <c r="BE36" i="7"/>
  <c r="AV36" i="7"/>
  <c r="AX36" i="7"/>
  <c r="AG36" i="7"/>
  <c r="AI36" i="7"/>
  <c r="AK36" i="7"/>
  <c r="AM36" i="7"/>
  <c r="AO36" i="7"/>
  <c r="AQ36" i="7"/>
  <c r="R36" i="7"/>
  <c r="T36" i="7"/>
  <c r="AB36" i="7"/>
  <c r="AA36" i="7"/>
  <c r="Z36" i="7"/>
  <c r="Y36" i="7"/>
  <c r="X36" i="7"/>
  <c r="W36" i="7"/>
  <c r="V36" i="7"/>
  <c r="U36" i="7"/>
  <c r="C36" i="7"/>
  <c r="E36" i="7"/>
  <c r="G36" i="7"/>
  <c r="I36" i="7"/>
  <c r="K36" i="7"/>
  <c r="M36" i="7"/>
  <c r="BX35" i="7"/>
  <c r="BZ35" i="7"/>
  <c r="BQ35" i="7"/>
  <c r="BS35" i="7"/>
  <c r="BU35" i="7"/>
  <c r="BJ35" i="7"/>
  <c r="BL35" i="7"/>
  <c r="BC35" i="7"/>
  <c r="BE35" i="7"/>
  <c r="AV35" i="7"/>
  <c r="AX35" i="7"/>
  <c r="AG35" i="7"/>
  <c r="AI35" i="7"/>
  <c r="AK35" i="7"/>
  <c r="AM35" i="7"/>
  <c r="AO35" i="7"/>
  <c r="AQ35" i="7"/>
  <c r="R35" i="7"/>
  <c r="T35" i="7"/>
  <c r="AB35" i="7"/>
  <c r="AA35" i="7"/>
  <c r="Z35" i="7"/>
  <c r="Y35" i="7"/>
  <c r="X35" i="7"/>
  <c r="W35" i="7"/>
  <c r="V35" i="7"/>
  <c r="U35" i="7"/>
  <c r="C35" i="7"/>
  <c r="E35" i="7"/>
  <c r="G35" i="7"/>
  <c r="I35" i="7"/>
  <c r="K35" i="7"/>
  <c r="M35" i="7"/>
  <c r="BX34" i="7"/>
  <c r="BZ34" i="7"/>
  <c r="CB34" i="7"/>
  <c r="BQ34" i="7"/>
  <c r="BS34" i="7"/>
  <c r="BU34" i="7"/>
  <c r="BJ34" i="7"/>
  <c r="BL34" i="7"/>
  <c r="BC34" i="7"/>
  <c r="BE34" i="7"/>
  <c r="AV34" i="7"/>
  <c r="AX34" i="7"/>
  <c r="AG34" i="7"/>
  <c r="AI34" i="7"/>
  <c r="AK34" i="7"/>
  <c r="AM34" i="7"/>
  <c r="AO34" i="7"/>
  <c r="AQ34" i="7"/>
  <c r="R34" i="7"/>
  <c r="T34" i="7"/>
  <c r="AB34" i="7"/>
  <c r="AA34" i="7"/>
  <c r="Z34" i="7"/>
  <c r="Y34" i="7"/>
  <c r="X34" i="7"/>
  <c r="W34" i="7"/>
  <c r="V34" i="7"/>
  <c r="U34" i="7"/>
  <c r="C34" i="7"/>
  <c r="E34" i="7"/>
  <c r="G34" i="7"/>
  <c r="I34" i="7"/>
  <c r="K34" i="7"/>
  <c r="M34" i="7"/>
  <c r="BX33" i="7"/>
  <c r="BZ33" i="7"/>
  <c r="CB33" i="7"/>
  <c r="BQ33" i="7"/>
  <c r="BS33" i="7"/>
  <c r="BU33" i="7"/>
  <c r="BJ33" i="7"/>
  <c r="BL33" i="7"/>
  <c r="BC33" i="7"/>
  <c r="BE33" i="7"/>
  <c r="AV33" i="7"/>
  <c r="AX33" i="7"/>
  <c r="AG33" i="7"/>
  <c r="AI33" i="7"/>
  <c r="AK33" i="7"/>
  <c r="AM33" i="7"/>
  <c r="AO33" i="7"/>
  <c r="AQ33" i="7"/>
  <c r="R33" i="7"/>
  <c r="T33" i="7"/>
  <c r="AB33" i="7"/>
  <c r="AA33" i="7"/>
  <c r="Z33" i="7"/>
  <c r="Y33" i="7"/>
  <c r="X33" i="7"/>
  <c r="W33" i="7"/>
  <c r="V33" i="7"/>
  <c r="U33" i="7"/>
  <c r="C33" i="7"/>
  <c r="E33" i="7"/>
  <c r="G33" i="7"/>
  <c r="I33" i="7"/>
  <c r="K33" i="7"/>
  <c r="M33" i="7"/>
  <c r="BX32" i="7"/>
  <c r="BZ32" i="7"/>
  <c r="BQ32" i="7"/>
  <c r="BS32" i="7"/>
  <c r="BJ32" i="7"/>
  <c r="BL32" i="7"/>
  <c r="BC32" i="7"/>
  <c r="BE32" i="7"/>
  <c r="AV32" i="7"/>
  <c r="AX32" i="7"/>
  <c r="AZ32" i="7"/>
  <c r="AG32" i="7"/>
  <c r="AI32" i="7"/>
  <c r="AK32" i="7"/>
  <c r="AM32" i="7"/>
  <c r="AO32" i="7"/>
  <c r="AQ32" i="7"/>
  <c r="R32" i="7"/>
  <c r="T32" i="7"/>
  <c r="AB32" i="7"/>
  <c r="AA32" i="7"/>
  <c r="Z32" i="7"/>
  <c r="Y32" i="7"/>
  <c r="X32" i="7"/>
  <c r="W32" i="7"/>
  <c r="V32" i="7"/>
  <c r="U32" i="7"/>
  <c r="C32" i="7"/>
  <c r="E32" i="7"/>
  <c r="G32" i="7"/>
  <c r="I32" i="7"/>
  <c r="K32" i="7"/>
  <c r="M32" i="7"/>
  <c r="BX31" i="7"/>
  <c r="BZ31" i="7"/>
  <c r="BQ31" i="7"/>
  <c r="BS31" i="7"/>
  <c r="BJ31" i="7"/>
  <c r="BL31" i="7"/>
  <c r="BC31" i="7"/>
  <c r="BE31" i="7"/>
  <c r="AV31" i="7"/>
  <c r="AX31" i="7"/>
  <c r="AG31" i="7"/>
  <c r="AI31" i="7"/>
  <c r="AK31" i="7"/>
  <c r="AM31" i="7"/>
  <c r="AO31" i="7"/>
  <c r="AQ31" i="7"/>
  <c r="R31" i="7"/>
  <c r="T31" i="7"/>
  <c r="AD31" i="7"/>
  <c r="AB31" i="7"/>
  <c r="AA31" i="7"/>
  <c r="Z31" i="7"/>
  <c r="Y31" i="7"/>
  <c r="X31" i="7"/>
  <c r="W31" i="7"/>
  <c r="V31" i="7"/>
  <c r="U31" i="7"/>
  <c r="C31" i="7"/>
  <c r="E31" i="7"/>
  <c r="G31" i="7"/>
  <c r="I31" i="7"/>
  <c r="K31" i="7"/>
  <c r="M31" i="7"/>
  <c r="BX30" i="7"/>
  <c r="BZ30" i="7"/>
  <c r="CB30" i="7"/>
  <c r="CA30" i="7"/>
  <c r="BQ30" i="7"/>
  <c r="BS30" i="7"/>
  <c r="BJ30" i="7"/>
  <c r="BL30" i="7"/>
  <c r="BC30" i="7"/>
  <c r="BE30" i="7"/>
  <c r="AV30" i="7"/>
  <c r="AX30" i="7"/>
  <c r="AG30" i="7"/>
  <c r="AI30" i="7"/>
  <c r="AK30" i="7"/>
  <c r="AM30" i="7"/>
  <c r="AO30" i="7"/>
  <c r="AQ30" i="7"/>
  <c r="R30" i="7"/>
  <c r="T30" i="7"/>
  <c r="AB30" i="7"/>
  <c r="AA30" i="7"/>
  <c r="Z30" i="7"/>
  <c r="Y30" i="7"/>
  <c r="X30" i="7"/>
  <c r="W30" i="7"/>
  <c r="V30" i="7"/>
  <c r="U30" i="7"/>
  <c r="C30" i="7"/>
  <c r="E30" i="7"/>
  <c r="G30" i="7"/>
  <c r="I30" i="7"/>
  <c r="K30" i="7"/>
  <c r="M30" i="7"/>
  <c r="BX29" i="7"/>
  <c r="BZ29" i="7"/>
  <c r="CB29" i="7"/>
  <c r="BQ29" i="7"/>
  <c r="BS29" i="7"/>
  <c r="BJ29" i="7"/>
  <c r="BL29" i="7"/>
  <c r="BC29" i="7"/>
  <c r="BE29" i="7"/>
  <c r="AV29" i="7"/>
  <c r="AX29" i="7"/>
  <c r="AG29" i="7"/>
  <c r="AI29" i="7"/>
  <c r="AK29" i="7"/>
  <c r="AM29" i="7"/>
  <c r="AO29" i="7"/>
  <c r="AQ29" i="7"/>
  <c r="R29" i="7"/>
  <c r="T29" i="7"/>
  <c r="AB29" i="7"/>
  <c r="AA29" i="7"/>
  <c r="Z29" i="7"/>
  <c r="Y29" i="7"/>
  <c r="X29" i="7"/>
  <c r="W29" i="7"/>
  <c r="V29" i="7"/>
  <c r="U29" i="7"/>
  <c r="C29" i="7"/>
  <c r="E29" i="7"/>
  <c r="G29" i="7"/>
  <c r="I29" i="7"/>
  <c r="K29" i="7"/>
  <c r="M29" i="7"/>
  <c r="BX28" i="7"/>
  <c r="BZ28" i="7"/>
  <c r="BQ28" i="7"/>
  <c r="BS28" i="7"/>
  <c r="BU28" i="7"/>
  <c r="BJ28" i="7"/>
  <c r="BL28" i="7"/>
  <c r="BC28" i="7"/>
  <c r="BE28" i="7"/>
  <c r="AV28" i="7"/>
  <c r="AX28" i="7"/>
  <c r="AG28" i="7"/>
  <c r="AI28" i="7"/>
  <c r="AK28" i="7"/>
  <c r="AM28" i="7"/>
  <c r="AO28" i="7"/>
  <c r="AQ28" i="7"/>
  <c r="R28" i="7"/>
  <c r="T28" i="7"/>
  <c r="AB28" i="7"/>
  <c r="AA28" i="7"/>
  <c r="Z28" i="7"/>
  <c r="Y28" i="7"/>
  <c r="X28" i="7"/>
  <c r="W28" i="7"/>
  <c r="V28" i="7"/>
  <c r="U28" i="7"/>
  <c r="C28" i="7"/>
  <c r="E28" i="7"/>
  <c r="G28" i="7"/>
  <c r="I28" i="7"/>
  <c r="K28" i="7"/>
  <c r="M28" i="7"/>
  <c r="BX27" i="7"/>
  <c r="BZ27" i="7"/>
  <c r="CB27" i="7"/>
  <c r="BQ27" i="7"/>
  <c r="BS27" i="7"/>
  <c r="BU27" i="7"/>
  <c r="BJ27" i="7"/>
  <c r="BL27" i="7"/>
  <c r="BC27" i="7"/>
  <c r="BE27" i="7"/>
  <c r="AV27" i="7"/>
  <c r="AX27" i="7"/>
  <c r="AG27" i="7"/>
  <c r="AI27" i="7"/>
  <c r="AK27" i="7"/>
  <c r="AM27" i="7"/>
  <c r="AO27" i="7"/>
  <c r="AQ27" i="7"/>
  <c r="R27" i="7"/>
  <c r="T27" i="7"/>
  <c r="AB27" i="7"/>
  <c r="AA27" i="7"/>
  <c r="Z27" i="7"/>
  <c r="Y27" i="7"/>
  <c r="X27" i="7"/>
  <c r="W27" i="7"/>
  <c r="V27" i="7"/>
  <c r="U27" i="7"/>
  <c r="C27" i="7"/>
  <c r="E27" i="7"/>
  <c r="G27" i="7"/>
  <c r="I27" i="7"/>
  <c r="K27" i="7"/>
  <c r="M27" i="7"/>
  <c r="BX26" i="7"/>
  <c r="BZ26" i="7"/>
  <c r="CB26" i="7"/>
  <c r="CA26" i="7"/>
  <c r="BQ26" i="7"/>
  <c r="BS26" i="7"/>
  <c r="BJ26" i="7"/>
  <c r="BL26" i="7"/>
  <c r="BN26" i="7"/>
  <c r="BC26" i="7"/>
  <c r="BE26" i="7"/>
  <c r="AV26" i="7"/>
  <c r="AX26" i="7"/>
  <c r="AG26" i="7"/>
  <c r="AI26" i="7"/>
  <c r="AK26" i="7"/>
  <c r="AM26" i="7"/>
  <c r="AO26" i="7"/>
  <c r="AQ26" i="7"/>
  <c r="R26" i="7"/>
  <c r="T26" i="7"/>
  <c r="AB26" i="7"/>
  <c r="AA26" i="7"/>
  <c r="Z26" i="7"/>
  <c r="Y26" i="7"/>
  <c r="X26" i="7"/>
  <c r="W26" i="7"/>
  <c r="V26" i="7"/>
  <c r="U26" i="7"/>
  <c r="C26" i="7"/>
  <c r="E26" i="7"/>
  <c r="G26" i="7"/>
  <c r="I26" i="7"/>
  <c r="K26" i="7"/>
  <c r="M26" i="7"/>
  <c r="BX25" i="7"/>
  <c r="BZ25" i="7"/>
  <c r="BQ25" i="7"/>
  <c r="BS25" i="7"/>
  <c r="BJ25" i="7"/>
  <c r="BL25" i="7"/>
  <c r="BN25" i="7"/>
  <c r="BC25" i="7"/>
  <c r="BE25" i="7"/>
  <c r="AV25" i="7"/>
  <c r="AX25" i="7"/>
  <c r="AG25" i="7"/>
  <c r="AI25" i="7"/>
  <c r="AK25" i="7"/>
  <c r="AM25" i="7"/>
  <c r="AO25" i="7"/>
  <c r="AQ25" i="7"/>
  <c r="R25" i="7"/>
  <c r="T25" i="7"/>
  <c r="AB25" i="7"/>
  <c r="AA25" i="7"/>
  <c r="Z25" i="7"/>
  <c r="Y25" i="7"/>
  <c r="X25" i="7"/>
  <c r="W25" i="7"/>
  <c r="V25" i="7"/>
  <c r="U25" i="7"/>
  <c r="C25" i="7"/>
  <c r="E25" i="7"/>
  <c r="G25" i="7"/>
  <c r="I25" i="7"/>
  <c r="K25" i="7"/>
  <c r="M25" i="7"/>
  <c r="BX24" i="7"/>
  <c r="BZ24" i="7"/>
  <c r="BQ24" i="7"/>
  <c r="BS24" i="7"/>
  <c r="BU24" i="7"/>
  <c r="BJ24" i="7"/>
  <c r="BL24" i="7"/>
  <c r="BN24" i="7"/>
  <c r="BC24" i="7"/>
  <c r="BE24" i="7"/>
  <c r="AV24" i="7"/>
  <c r="AX24" i="7"/>
  <c r="AG24" i="7"/>
  <c r="AI24" i="7"/>
  <c r="AK24" i="7"/>
  <c r="AM24" i="7"/>
  <c r="AO24" i="7"/>
  <c r="AQ24" i="7"/>
  <c r="R24" i="7"/>
  <c r="T24" i="7"/>
  <c r="AB24" i="7"/>
  <c r="AA24" i="7"/>
  <c r="Z24" i="7"/>
  <c r="Y24" i="7"/>
  <c r="X24" i="7"/>
  <c r="W24" i="7"/>
  <c r="V24" i="7"/>
  <c r="U24" i="7"/>
  <c r="C24" i="7"/>
  <c r="E24" i="7"/>
  <c r="G24" i="7"/>
  <c r="I24" i="7"/>
  <c r="K24" i="7"/>
  <c r="M24" i="7"/>
  <c r="BX23" i="7"/>
  <c r="BZ23" i="7"/>
  <c r="CB23" i="7"/>
  <c r="CA23" i="7"/>
  <c r="BQ23" i="7"/>
  <c r="BS23" i="7"/>
  <c r="BJ23" i="7"/>
  <c r="BL23" i="7"/>
  <c r="BC23" i="7"/>
  <c r="BE23" i="7"/>
  <c r="AV23" i="7"/>
  <c r="AX23" i="7"/>
  <c r="AG23" i="7"/>
  <c r="AI23" i="7"/>
  <c r="AK23" i="7"/>
  <c r="AM23" i="7"/>
  <c r="AO23" i="7"/>
  <c r="AQ23" i="7"/>
  <c r="R23" i="7"/>
  <c r="T23" i="7"/>
  <c r="AB23" i="7"/>
  <c r="AA23" i="7"/>
  <c r="Z23" i="7"/>
  <c r="Y23" i="7"/>
  <c r="X23" i="7"/>
  <c r="W23" i="7"/>
  <c r="V23" i="7"/>
  <c r="U23" i="7"/>
  <c r="C23" i="7"/>
  <c r="E23" i="7"/>
  <c r="G23" i="7"/>
  <c r="I23" i="7"/>
  <c r="K23" i="7"/>
  <c r="M23" i="7"/>
  <c r="BX22" i="7"/>
  <c r="BZ22" i="7"/>
  <c r="BQ22" i="7"/>
  <c r="BS22" i="7"/>
  <c r="BU22" i="7"/>
  <c r="BJ22" i="7"/>
  <c r="BL22" i="7"/>
  <c r="BC22" i="7"/>
  <c r="BE22" i="7"/>
  <c r="AV22" i="7"/>
  <c r="AX22" i="7"/>
  <c r="AG22" i="7"/>
  <c r="AI22" i="7"/>
  <c r="AK22" i="7"/>
  <c r="AM22" i="7"/>
  <c r="AO22" i="7"/>
  <c r="AQ22" i="7"/>
  <c r="R22" i="7"/>
  <c r="T22" i="7"/>
  <c r="AB22" i="7"/>
  <c r="AA22" i="7"/>
  <c r="Z22" i="7"/>
  <c r="Y22" i="7"/>
  <c r="X22" i="7"/>
  <c r="W22" i="7"/>
  <c r="V22" i="7"/>
  <c r="U22" i="7"/>
  <c r="C22" i="7"/>
  <c r="E22" i="7"/>
  <c r="G22" i="7"/>
  <c r="I22" i="7"/>
  <c r="K22" i="7"/>
  <c r="M22" i="7"/>
  <c r="BX21" i="7"/>
  <c r="BZ21" i="7"/>
  <c r="BQ21" i="7"/>
  <c r="BS21" i="7"/>
  <c r="BU21" i="7"/>
  <c r="BJ21" i="7"/>
  <c r="BL21" i="7"/>
  <c r="BN21" i="7"/>
  <c r="BC21" i="7"/>
  <c r="BE21" i="7"/>
  <c r="AV21" i="7"/>
  <c r="AX21" i="7"/>
  <c r="AG21" i="7"/>
  <c r="AI21" i="7"/>
  <c r="AK21" i="7"/>
  <c r="AM21" i="7"/>
  <c r="AO21" i="7"/>
  <c r="AQ21" i="7"/>
  <c r="R21" i="7"/>
  <c r="T21" i="7"/>
  <c r="AB21" i="7"/>
  <c r="AA21" i="7"/>
  <c r="Z21" i="7"/>
  <c r="Y21" i="7"/>
  <c r="X21" i="7"/>
  <c r="W21" i="7"/>
  <c r="V21" i="7"/>
  <c r="U21" i="7"/>
  <c r="C21" i="7"/>
  <c r="E21" i="7"/>
  <c r="G21" i="7"/>
  <c r="I21" i="7"/>
  <c r="K21" i="7"/>
  <c r="M21" i="7"/>
  <c r="BX20" i="7"/>
  <c r="BZ20" i="7"/>
  <c r="BQ20" i="7"/>
  <c r="BS20" i="7"/>
  <c r="BU20" i="7"/>
  <c r="BJ20" i="7"/>
  <c r="BL20" i="7"/>
  <c r="BC20" i="7"/>
  <c r="BE20" i="7"/>
  <c r="AV20" i="7"/>
  <c r="AX20" i="7"/>
  <c r="AZ20" i="7"/>
  <c r="AG20" i="7"/>
  <c r="AI20" i="7"/>
  <c r="AK20" i="7"/>
  <c r="AM20" i="7"/>
  <c r="AO20" i="7"/>
  <c r="AQ20" i="7"/>
  <c r="R20" i="7"/>
  <c r="T20" i="7"/>
  <c r="AB20" i="7"/>
  <c r="AA20" i="7"/>
  <c r="Z20" i="7"/>
  <c r="Y20" i="7"/>
  <c r="X20" i="7"/>
  <c r="W20" i="7"/>
  <c r="V20" i="7"/>
  <c r="U20" i="7"/>
  <c r="C20" i="7"/>
  <c r="E20" i="7"/>
  <c r="G20" i="7"/>
  <c r="I20" i="7"/>
  <c r="K20" i="7"/>
  <c r="M20" i="7"/>
  <c r="BX19" i="7"/>
  <c r="BX6" i="7"/>
  <c r="BX7" i="7"/>
  <c r="BX8" i="7"/>
  <c r="BX9" i="7"/>
  <c r="BX10" i="7"/>
  <c r="BX11" i="7"/>
  <c r="BX12" i="7"/>
  <c r="BZ12" i="7"/>
  <c r="CB12" i="7"/>
  <c r="BX13" i="7"/>
  <c r="BX14" i="7"/>
  <c r="BX15" i="7"/>
  <c r="BX16" i="7"/>
  <c r="BZ16" i="7"/>
  <c r="CB16" i="7"/>
  <c r="BX17" i="7"/>
  <c r="BX18" i="7"/>
  <c r="BZ19" i="7"/>
  <c r="CA19" i="7"/>
  <c r="BQ19" i="7"/>
  <c r="BS19" i="7"/>
  <c r="BJ19" i="7"/>
  <c r="BL19" i="7"/>
  <c r="BN19" i="7"/>
  <c r="BC19" i="7"/>
  <c r="BE19" i="7"/>
  <c r="AV19" i="7"/>
  <c r="AX19" i="7"/>
  <c r="AG19" i="7"/>
  <c r="AI19" i="7"/>
  <c r="AK19" i="7"/>
  <c r="AM19" i="7"/>
  <c r="AO19" i="7"/>
  <c r="AQ19" i="7"/>
  <c r="R19" i="7"/>
  <c r="T19" i="7"/>
  <c r="AB19" i="7"/>
  <c r="AA19" i="7"/>
  <c r="Z19" i="7"/>
  <c r="Y19" i="7"/>
  <c r="X19" i="7"/>
  <c r="W19" i="7"/>
  <c r="V19" i="7"/>
  <c r="U19" i="7"/>
  <c r="C19" i="7"/>
  <c r="E19" i="7"/>
  <c r="G19" i="7"/>
  <c r="I19" i="7"/>
  <c r="K19" i="7"/>
  <c r="M19" i="7"/>
  <c r="BZ18" i="7"/>
  <c r="BQ18" i="7"/>
  <c r="BS18" i="7"/>
  <c r="BU18" i="7"/>
  <c r="BJ18" i="7"/>
  <c r="BL18" i="7"/>
  <c r="BN18" i="7"/>
  <c r="BC18" i="7"/>
  <c r="BE18" i="7"/>
  <c r="AV18" i="7"/>
  <c r="AX18" i="7"/>
  <c r="AG18" i="7"/>
  <c r="AI18" i="7"/>
  <c r="AK18" i="7"/>
  <c r="AM18" i="7"/>
  <c r="AO18" i="7"/>
  <c r="AQ18" i="7"/>
  <c r="R18" i="7"/>
  <c r="T18" i="7"/>
  <c r="AD18" i="7"/>
  <c r="AB18" i="7"/>
  <c r="AA18" i="7"/>
  <c r="Z18" i="7"/>
  <c r="Y18" i="7"/>
  <c r="X18" i="7"/>
  <c r="W18" i="7"/>
  <c r="V18" i="7"/>
  <c r="U18" i="7"/>
  <c r="C18" i="7"/>
  <c r="E18" i="7"/>
  <c r="G18" i="7"/>
  <c r="I18" i="7"/>
  <c r="K18" i="7"/>
  <c r="M18" i="7"/>
  <c r="BZ17" i="7"/>
  <c r="BQ17" i="7"/>
  <c r="BS17" i="7"/>
  <c r="BU17" i="7"/>
  <c r="BJ17" i="7"/>
  <c r="BL17" i="7"/>
  <c r="BN17" i="7"/>
  <c r="BC17" i="7"/>
  <c r="BE17" i="7"/>
  <c r="AV17" i="7"/>
  <c r="AX17" i="7"/>
  <c r="AG17" i="7"/>
  <c r="AI17" i="7"/>
  <c r="AK17" i="7"/>
  <c r="AM17" i="7"/>
  <c r="AO17" i="7"/>
  <c r="AQ17" i="7"/>
  <c r="R17" i="7"/>
  <c r="T17" i="7"/>
  <c r="AB17" i="7"/>
  <c r="AA17" i="7"/>
  <c r="Z17" i="7"/>
  <c r="Y17" i="7"/>
  <c r="X17" i="7"/>
  <c r="W17" i="7"/>
  <c r="V17" i="7"/>
  <c r="U17" i="7"/>
  <c r="C17" i="7"/>
  <c r="E17" i="7"/>
  <c r="G17" i="7"/>
  <c r="I17" i="7"/>
  <c r="K17" i="7"/>
  <c r="M17" i="7"/>
  <c r="CA16" i="7"/>
  <c r="BQ16" i="7"/>
  <c r="BS16" i="7"/>
  <c r="BJ16" i="7"/>
  <c r="BL16" i="7"/>
  <c r="BC16" i="7"/>
  <c r="BE16" i="7"/>
  <c r="AV16" i="7"/>
  <c r="AX16" i="7"/>
  <c r="AZ16" i="7"/>
  <c r="AG16" i="7"/>
  <c r="AI16" i="7"/>
  <c r="AK16" i="7"/>
  <c r="AM16" i="7"/>
  <c r="AO16" i="7"/>
  <c r="AQ16" i="7"/>
  <c r="R16" i="7"/>
  <c r="T16" i="7"/>
  <c r="AB16" i="7"/>
  <c r="AA16" i="7"/>
  <c r="Z16" i="7"/>
  <c r="Y16" i="7"/>
  <c r="X16" i="7"/>
  <c r="W16" i="7"/>
  <c r="V16" i="7"/>
  <c r="U16" i="7"/>
  <c r="C16" i="7"/>
  <c r="E16" i="7"/>
  <c r="G16" i="7"/>
  <c r="I16" i="7"/>
  <c r="K16" i="7"/>
  <c r="M16" i="7"/>
  <c r="BZ15" i="7"/>
  <c r="BQ15" i="7"/>
  <c r="BS15" i="7"/>
  <c r="BU15" i="7"/>
  <c r="BJ15" i="7"/>
  <c r="BL15" i="7"/>
  <c r="BN15" i="7"/>
  <c r="BC15" i="7"/>
  <c r="BE15" i="7"/>
  <c r="AV15" i="7"/>
  <c r="AX15" i="7"/>
  <c r="AZ15" i="7"/>
  <c r="AG15" i="7"/>
  <c r="AI15" i="7"/>
  <c r="AK15" i="7"/>
  <c r="AM15" i="7"/>
  <c r="AO15" i="7"/>
  <c r="AQ15" i="7"/>
  <c r="R15" i="7"/>
  <c r="T15" i="7"/>
  <c r="AB15" i="7"/>
  <c r="AA15" i="7"/>
  <c r="Z15" i="7"/>
  <c r="Y15" i="7"/>
  <c r="X15" i="7"/>
  <c r="W15" i="7"/>
  <c r="V15" i="7"/>
  <c r="U15" i="7"/>
  <c r="C15" i="7"/>
  <c r="E15" i="7"/>
  <c r="G15" i="7"/>
  <c r="I15" i="7"/>
  <c r="K15" i="7"/>
  <c r="M15" i="7"/>
  <c r="BZ14" i="7"/>
  <c r="BQ14" i="7"/>
  <c r="BS14" i="7"/>
  <c r="BJ14" i="7"/>
  <c r="BL14" i="7"/>
  <c r="BN14" i="7"/>
  <c r="BC14" i="7"/>
  <c r="BE14" i="7"/>
  <c r="AV14" i="7"/>
  <c r="AX14" i="7"/>
  <c r="AG14" i="7"/>
  <c r="AI14" i="7"/>
  <c r="AK14" i="7"/>
  <c r="AM14" i="7"/>
  <c r="AO14" i="7"/>
  <c r="AQ14" i="7"/>
  <c r="R14" i="7"/>
  <c r="T14" i="7"/>
  <c r="AB14" i="7"/>
  <c r="AA14" i="7"/>
  <c r="Z14" i="7"/>
  <c r="Y14" i="7"/>
  <c r="X14" i="7"/>
  <c r="W14" i="7"/>
  <c r="V14" i="7"/>
  <c r="U14" i="7"/>
  <c r="C14" i="7"/>
  <c r="E14" i="7"/>
  <c r="G14" i="7"/>
  <c r="I14" i="7"/>
  <c r="K14" i="7"/>
  <c r="M14" i="7"/>
  <c r="BZ13" i="7"/>
  <c r="BQ13" i="7"/>
  <c r="BS13" i="7"/>
  <c r="BU13" i="7"/>
  <c r="BJ13" i="7"/>
  <c r="BL13" i="7"/>
  <c r="BC13" i="7"/>
  <c r="BE13" i="7"/>
  <c r="AV13" i="7"/>
  <c r="AX13" i="7"/>
  <c r="AG13" i="7"/>
  <c r="AI13" i="7"/>
  <c r="AK13" i="7"/>
  <c r="AM13" i="7"/>
  <c r="AO13" i="7"/>
  <c r="AQ13" i="7"/>
  <c r="R13" i="7"/>
  <c r="T13" i="7"/>
  <c r="AB13" i="7"/>
  <c r="AA13" i="7"/>
  <c r="Z13" i="7"/>
  <c r="Y13" i="7"/>
  <c r="X13" i="7"/>
  <c r="W13" i="7"/>
  <c r="V13" i="7"/>
  <c r="U13" i="7"/>
  <c r="C13" i="7"/>
  <c r="E13" i="7"/>
  <c r="G13" i="7"/>
  <c r="I13" i="7"/>
  <c r="K13" i="7"/>
  <c r="M13" i="7"/>
  <c r="BQ12" i="7"/>
  <c r="BS12" i="7"/>
  <c r="BJ12" i="7"/>
  <c r="BL12" i="7"/>
  <c r="BN12" i="7"/>
  <c r="BC12" i="7"/>
  <c r="BE12" i="7"/>
  <c r="BG12" i="7"/>
  <c r="AV12" i="7"/>
  <c r="AX12" i="7"/>
  <c r="AG12" i="7"/>
  <c r="AI12" i="7"/>
  <c r="AK12" i="7"/>
  <c r="AM12" i="7"/>
  <c r="AO12" i="7"/>
  <c r="AQ12" i="7"/>
  <c r="R12" i="7"/>
  <c r="T12" i="7"/>
  <c r="AB12" i="7"/>
  <c r="AA12" i="7"/>
  <c r="Z12" i="7"/>
  <c r="Y12" i="7"/>
  <c r="X12" i="7"/>
  <c r="W12" i="7"/>
  <c r="V12" i="7"/>
  <c r="U12" i="7"/>
  <c r="C12" i="7"/>
  <c r="E12" i="7"/>
  <c r="G12" i="7"/>
  <c r="I12" i="7"/>
  <c r="K12" i="7"/>
  <c r="M12" i="7"/>
  <c r="BZ11" i="7"/>
  <c r="CB11" i="7"/>
  <c r="BQ11" i="7"/>
  <c r="BS11" i="7"/>
  <c r="BJ11" i="7"/>
  <c r="BL11" i="7"/>
  <c r="BN11" i="7"/>
  <c r="BC11" i="7"/>
  <c r="BE11" i="7"/>
  <c r="BG11" i="7"/>
  <c r="AV11" i="7"/>
  <c r="AX11" i="7"/>
  <c r="AG11" i="7"/>
  <c r="AI11" i="7"/>
  <c r="AK11" i="7"/>
  <c r="AM11" i="7"/>
  <c r="AO11" i="7"/>
  <c r="AQ11" i="7"/>
  <c r="R11" i="7"/>
  <c r="T11" i="7"/>
  <c r="AB11" i="7"/>
  <c r="AA11" i="7"/>
  <c r="Z11" i="7"/>
  <c r="Y11" i="7"/>
  <c r="X11" i="7"/>
  <c r="W11" i="7"/>
  <c r="V11" i="7"/>
  <c r="U11" i="7"/>
  <c r="C11" i="7"/>
  <c r="E11" i="7"/>
  <c r="G11" i="7"/>
  <c r="I11" i="7"/>
  <c r="K11" i="7"/>
  <c r="M11" i="7"/>
  <c r="BZ10" i="7"/>
  <c r="CB10" i="7"/>
  <c r="BQ10" i="7"/>
  <c r="BS10" i="7"/>
  <c r="BU10" i="7"/>
  <c r="BJ10" i="7"/>
  <c r="BL10" i="7"/>
  <c r="BC10" i="7"/>
  <c r="BE10" i="7"/>
  <c r="AV10" i="7"/>
  <c r="AX10" i="7"/>
  <c r="AG10" i="7"/>
  <c r="AI10" i="7"/>
  <c r="AK10" i="7"/>
  <c r="AM10" i="7"/>
  <c r="AO10" i="7"/>
  <c r="AQ10" i="7"/>
  <c r="R10" i="7"/>
  <c r="T10" i="7"/>
  <c r="AB10" i="7"/>
  <c r="AA10" i="7"/>
  <c r="Z10" i="7"/>
  <c r="Y10" i="7"/>
  <c r="X10" i="7"/>
  <c r="W10" i="7"/>
  <c r="V10" i="7"/>
  <c r="U10" i="7"/>
  <c r="C10" i="7"/>
  <c r="E10" i="7"/>
  <c r="G10" i="7"/>
  <c r="I10" i="7"/>
  <c r="K10" i="7"/>
  <c r="M10" i="7"/>
  <c r="BZ9" i="7"/>
  <c r="CB9" i="7"/>
  <c r="BQ9" i="7"/>
  <c r="BS9" i="7"/>
  <c r="BJ9" i="7"/>
  <c r="BL9" i="7"/>
  <c r="BC9" i="7"/>
  <c r="BE9" i="7"/>
  <c r="AV9" i="7"/>
  <c r="AX9" i="7"/>
  <c r="AG9" i="7"/>
  <c r="AI9" i="7"/>
  <c r="AK9" i="7"/>
  <c r="AM9" i="7"/>
  <c r="AO9" i="7"/>
  <c r="AQ9" i="7"/>
  <c r="R9" i="7"/>
  <c r="T9" i="7"/>
  <c r="AB9" i="7"/>
  <c r="AA9" i="7"/>
  <c r="Z9" i="7"/>
  <c r="Y9" i="7"/>
  <c r="X9" i="7"/>
  <c r="W9" i="7"/>
  <c r="V9" i="7"/>
  <c r="U9" i="7"/>
  <c r="C9" i="7"/>
  <c r="E9" i="7"/>
  <c r="G9" i="7"/>
  <c r="I9" i="7"/>
  <c r="K9" i="7"/>
  <c r="M9" i="7"/>
  <c r="BZ8" i="7"/>
  <c r="CB8" i="7"/>
  <c r="BQ8" i="7"/>
  <c r="BS8" i="7"/>
  <c r="BU8" i="7"/>
  <c r="BJ8" i="7"/>
  <c r="BL8" i="7"/>
  <c r="BN8" i="7"/>
  <c r="BC8" i="7"/>
  <c r="BE8" i="7"/>
  <c r="BG8" i="7"/>
  <c r="AV8" i="7"/>
  <c r="AX8" i="7"/>
  <c r="AG8" i="7"/>
  <c r="AI8" i="7"/>
  <c r="AK8" i="7"/>
  <c r="AM8" i="7"/>
  <c r="AO8" i="7"/>
  <c r="AQ8" i="7"/>
  <c r="R8" i="7"/>
  <c r="T8" i="7"/>
  <c r="AB8" i="7"/>
  <c r="AA8" i="7"/>
  <c r="Z8" i="7"/>
  <c r="Y8" i="7"/>
  <c r="X8" i="7"/>
  <c r="W8" i="7"/>
  <c r="V8" i="7"/>
  <c r="U8" i="7"/>
  <c r="C8" i="7"/>
  <c r="E8" i="7"/>
  <c r="G8" i="7"/>
  <c r="I8" i="7"/>
  <c r="K8" i="7"/>
  <c r="M8" i="7"/>
  <c r="BZ7" i="7"/>
  <c r="CB7" i="7"/>
  <c r="BQ7" i="7"/>
  <c r="BS7" i="7"/>
  <c r="BU7" i="7"/>
  <c r="BJ7" i="7"/>
  <c r="BL7" i="7"/>
  <c r="BN7" i="7"/>
  <c r="BC7" i="7"/>
  <c r="BE7" i="7"/>
  <c r="AV7" i="7"/>
  <c r="AX7" i="7"/>
  <c r="AG7" i="7"/>
  <c r="AI7" i="7"/>
  <c r="AK7" i="7"/>
  <c r="AM7" i="7"/>
  <c r="AO7" i="7"/>
  <c r="AQ7" i="7"/>
  <c r="R7" i="7"/>
  <c r="T7" i="7"/>
  <c r="AB7" i="7"/>
  <c r="AA7" i="7"/>
  <c r="Z7" i="7"/>
  <c r="Y7" i="7"/>
  <c r="X7" i="7"/>
  <c r="W7" i="7"/>
  <c r="V7" i="7"/>
  <c r="U7" i="7"/>
  <c r="C7" i="7"/>
  <c r="E7" i="7"/>
  <c r="G7" i="7"/>
  <c r="I7" i="7"/>
  <c r="K7" i="7"/>
  <c r="M7" i="7"/>
  <c r="BZ6" i="7"/>
  <c r="BQ6" i="7"/>
  <c r="BQ5" i="7"/>
  <c r="BS6" i="7"/>
  <c r="BS5" i="7"/>
  <c r="BU5" i="7"/>
  <c r="BJ6" i="7"/>
  <c r="BL6" i="7"/>
  <c r="BN6" i="7"/>
  <c r="BC6" i="7"/>
  <c r="BE6" i="7"/>
  <c r="AV6" i="7"/>
  <c r="AX6" i="7"/>
  <c r="AG6" i="7"/>
  <c r="AI6" i="7"/>
  <c r="AK6" i="7"/>
  <c r="AM6" i="7"/>
  <c r="AO6" i="7"/>
  <c r="AQ6" i="7"/>
  <c r="R6" i="7"/>
  <c r="T6" i="7"/>
  <c r="AB6" i="7"/>
  <c r="AA6" i="7"/>
  <c r="Z6" i="7"/>
  <c r="Y6" i="7"/>
  <c r="X6" i="7"/>
  <c r="W6" i="7"/>
  <c r="V6" i="7"/>
  <c r="U6" i="7"/>
  <c r="C6" i="7"/>
  <c r="E6" i="7"/>
  <c r="G6" i="7"/>
  <c r="I6" i="7"/>
  <c r="K6" i="7"/>
  <c r="M6" i="7"/>
  <c r="J62" i="5"/>
  <c r="N23" i="16"/>
  <c r="CA25" i="7"/>
  <c r="CA13" i="7"/>
  <c r="CA21" i="7"/>
  <c r="N6" i="16"/>
  <c r="CA18" i="7"/>
  <c r="N30" i="16"/>
  <c r="O15" i="16"/>
  <c r="CA12" i="7"/>
  <c r="CA33" i="7"/>
  <c r="BY5" i="7"/>
  <c r="CA6" i="7"/>
  <c r="CB14" i="7"/>
  <c r="CA10" i="7"/>
  <c r="O32" i="16"/>
  <c r="CA34" i="7"/>
  <c r="CB18" i="7"/>
  <c r="CB35" i="7"/>
  <c r="CA14" i="7"/>
  <c r="CG16" i="7"/>
  <c r="CB36" i="7"/>
  <c r="F15" i="16"/>
  <c r="G32" i="17"/>
  <c r="D32" i="17"/>
  <c r="F12" i="16"/>
  <c r="AB29" i="14"/>
  <c r="N4" i="16"/>
  <c r="BW5" i="7"/>
  <c r="CA5" i="7"/>
  <c r="CA29" i="7"/>
  <c r="N27" i="16"/>
  <c r="N34" i="16"/>
  <c r="CA36" i="7"/>
  <c r="CB15" i="7"/>
  <c r="BM14" i="7"/>
  <c r="B12" i="11"/>
  <c r="N25" i="16"/>
  <c r="CA27" i="7"/>
  <c r="CB32" i="7"/>
  <c r="BM27" i="7"/>
  <c r="B25" i="11"/>
  <c r="AB20" i="14"/>
  <c r="AB32" i="14"/>
  <c r="BU33" i="14"/>
  <c r="BN35" i="14"/>
  <c r="AB30" i="14"/>
  <c r="AB25" i="14"/>
  <c r="BM10" i="7"/>
  <c r="B8" i="11"/>
  <c r="BM20" i="7"/>
  <c r="B18" i="11"/>
  <c r="BT32" i="7"/>
  <c r="C30" i="11"/>
  <c r="BT30" i="7"/>
  <c r="C28" i="11"/>
  <c r="BM15" i="7"/>
  <c r="B13" i="11"/>
  <c r="AB35" i="14"/>
  <c r="BM32" i="7"/>
  <c r="B30" i="11"/>
  <c r="AB10" i="14"/>
  <c r="BM12" i="7"/>
  <c r="B10" i="11"/>
  <c r="BM34" i="7"/>
  <c r="B32" i="11"/>
  <c r="BT15" i="7"/>
  <c r="C13" i="11"/>
  <c r="BT33" i="7"/>
  <c r="C31" i="11"/>
  <c r="BT7" i="7"/>
  <c r="C5" i="11"/>
  <c r="AB31" i="14"/>
  <c r="F31" i="17"/>
  <c r="C31" i="17"/>
  <c r="BN27" i="7"/>
  <c r="BN6" i="14"/>
  <c r="BT12" i="14"/>
  <c r="BN15" i="14"/>
  <c r="BM18" i="14"/>
  <c r="BN34" i="14"/>
  <c r="BU35" i="14"/>
  <c r="BU36" i="14"/>
  <c r="BM23" i="7"/>
  <c r="B21" i="11"/>
  <c r="BM21" i="7"/>
  <c r="B19" i="11"/>
  <c r="BS5" i="14"/>
  <c r="BT17" i="14"/>
  <c r="BU26" i="14"/>
  <c r="BT32" i="14"/>
  <c r="AB24" i="14"/>
  <c r="AB16" i="14"/>
  <c r="AB12" i="14"/>
  <c r="AB8" i="14"/>
  <c r="AC35" i="14"/>
  <c r="AC29" i="14"/>
  <c r="BM18" i="7"/>
  <c r="B16" i="11"/>
  <c r="AB17" i="14"/>
  <c r="AB13" i="14"/>
  <c r="AC36" i="14"/>
  <c r="BU32" i="7"/>
  <c r="AC24" i="14"/>
  <c r="AC20" i="14"/>
  <c r="AC16" i="14"/>
  <c r="AC12" i="14"/>
  <c r="AC8" i="14"/>
  <c r="AB27" i="14"/>
  <c r="AB23" i="14"/>
  <c r="AB19" i="14"/>
  <c r="AC32" i="14"/>
  <c r="BM9" i="7"/>
  <c r="B7" i="11"/>
  <c r="BM36" i="7"/>
  <c r="B34" i="11"/>
  <c r="BT34" i="7"/>
  <c r="C32" i="11"/>
  <c r="BT31" i="7"/>
  <c r="C29" i="11"/>
  <c r="BM16" i="7"/>
  <c r="B14" i="11"/>
  <c r="H12" i="16"/>
  <c r="BT12" i="7"/>
  <c r="C10" i="11"/>
  <c r="BM29" i="7"/>
  <c r="B27" i="11"/>
  <c r="BU25" i="7"/>
  <c r="BN28" i="7"/>
  <c r="BR5" i="14"/>
  <c r="BU14" i="7"/>
  <c r="BN29" i="7"/>
  <c r="BT6" i="14"/>
  <c r="BT8" i="14"/>
  <c r="BM9" i="14"/>
  <c r="BT9" i="14"/>
  <c r="BN12" i="14"/>
  <c r="BU16" i="7"/>
  <c r="BU23" i="7"/>
  <c r="BN31" i="7"/>
  <c r="BN32" i="7"/>
  <c r="BN33" i="7"/>
  <c r="BN34" i="7"/>
  <c r="BN35" i="7"/>
  <c r="BN14" i="14"/>
  <c r="BM15" i="14"/>
  <c r="BN16" i="14"/>
  <c r="BM17" i="14"/>
  <c r="BU18" i="14"/>
  <c r="BM19" i="14"/>
  <c r="BU20" i="14"/>
  <c r="BT21" i="14"/>
  <c r="BU22" i="14"/>
  <c r="BN24" i="14"/>
  <c r="BU24" i="14"/>
  <c r="BN26" i="14"/>
  <c r="BM28" i="14"/>
  <c r="BT28" i="14"/>
  <c r="BM29" i="14"/>
  <c r="BM33" i="14"/>
  <c r="BM34" i="14"/>
  <c r="BT35" i="14"/>
  <c r="BN9" i="7"/>
  <c r="BN13" i="7"/>
  <c r="BN20" i="7"/>
  <c r="BU29" i="7"/>
  <c r="BU30" i="7"/>
  <c r="BN36" i="7"/>
  <c r="BN7" i="14"/>
  <c r="BN8" i="14"/>
  <c r="BN9" i="14"/>
  <c r="BU9" i="14"/>
  <c r="BN10" i="14"/>
  <c r="BN11" i="14"/>
  <c r="BU11" i="14"/>
  <c r="BM12" i="14"/>
  <c r="BU13" i="14"/>
  <c r="BM14" i="14"/>
  <c r="BT14" i="14"/>
  <c r="BM16" i="14"/>
  <c r="BT16" i="14"/>
  <c r="BN17" i="14"/>
  <c r="BT18" i="14"/>
  <c r="BN19" i="14"/>
  <c r="BU19" i="14"/>
  <c r="BT20" i="14"/>
  <c r="BU21" i="14"/>
  <c r="BM22" i="14"/>
  <c r="BN23" i="14"/>
  <c r="BU23" i="14"/>
  <c r="BT24" i="14"/>
  <c r="BU25" i="14"/>
  <c r="BM26" i="14"/>
  <c r="BT26" i="14"/>
  <c r="BU27" i="14"/>
  <c r="BN28" i="14"/>
  <c r="BU28" i="14"/>
  <c r="BN29" i="14"/>
  <c r="BU29" i="14"/>
  <c r="BU30" i="14"/>
  <c r="AB34" i="14"/>
  <c r="AB26" i="14"/>
  <c r="AB22" i="14"/>
  <c r="AB15" i="14"/>
  <c r="AB11" i="14"/>
  <c r="AB7" i="14"/>
  <c r="AC34" i="14"/>
  <c r="BL5" i="14"/>
  <c r="BN5" i="14"/>
  <c r="BP5" i="14"/>
  <c r="BM13" i="7"/>
  <c r="B11" i="11"/>
  <c r="BN32" i="14"/>
  <c r="BU32" i="14"/>
  <c r="BN33" i="14"/>
  <c r="BN36" i="14"/>
  <c r="K4" i="16"/>
  <c r="BM6" i="7"/>
  <c r="B4" i="11"/>
  <c r="BT25" i="7"/>
  <c r="C23" i="11"/>
  <c r="BT23" i="7"/>
  <c r="C21" i="11"/>
  <c r="K9" i="16"/>
  <c r="BM11" i="7"/>
  <c r="B9" i="11"/>
  <c r="H5" i="16"/>
  <c r="BM7" i="7"/>
  <c r="B5" i="11"/>
  <c r="F27" i="17"/>
  <c r="C27" i="17"/>
  <c r="H19" i="17"/>
  <c r="BT21" i="7"/>
  <c r="C19" i="11"/>
  <c r="H15" i="16"/>
  <c r="BM17" i="7"/>
  <c r="B15" i="11"/>
  <c r="K22" i="16"/>
  <c r="BM24" i="7"/>
  <c r="B22" i="11"/>
  <c r="BJ5" i="7"/>
  <c r="BU9" i="7"/>
  <c r="BU11" i="7"/>
  <c r="BN16" i="7"/>
  <c r="BU19" i="7"/>
  <c r="BN23" i="7"/>
  <c r="BU26" i="7"/>
  <c r="BN30" i="7"/>
  <c r="BU31" i="7"/>
  <c r="BU36" i="7"/>
  <c r="BM7" i="14"/>
  <c r="BT7" i="14"/>
  <c r="BM8" i="14"/>
  <c r="BM10" i="14"/>
  <c r="BT10" i="14"/>
  <c r="BM11" i="14"/>
  <c r="BT11" i="14"/>
  <c r="BU12" i="14"/>
  <c r="BM13" i="14"/>
  <c r="BT13" i="14"/>
  <c r="BU14" i="14"/>
  <c r="BT15" i="14"/>
  <c r="BU16" i="14"/>
  <c r="BN18" i="14"/>
  <c r="BT19" i="14"/>
  <c r="BN20" i="14"/>
  <c r="BM21" i="14"/>
  <c r="BN22" i="14"/>
  <c r="BM23" i="14"/>
  <c r="BT23" i="14"/>
  <c r="BM25" i="14"/>
  <c r="BT25" i="14"/>
  <c r="BM27" i="14"/>
  <c r="BT27" i="14"/>
  <c r="BT29" i="14"/>
  <c r="BM30" i="14"/>
  <c r="BT30" i="14"/>
  <c r="BM31" i="14"/>
  <c r="BT31" i="14"/>
  <c r="BM32" i="14"/>
  <c r="BT33" i="14"/>
  <c r="BT34" i="14"/>
  <c r="BM35" i="14"/>
  <c r="BM36" i="14"/>
  <c r="BT36" i="14"/>
  <c r="BT13" i="7"/>
  <c r="C11" i="11"/>
  <c r="AB36" i="14"/>
  <c r="AB33" i="14"/>
  <c r="AB21" i="14"/>
  <c r="AB14" i="14"/>
  <c r="K17" i="16"/>
  <c r="BK5" i="7"/>
  <c r="BN22" i="7"/>
  <c r="BU6" i="14"/>
  <c r="H4" i="16"/>
  <c r="H11" i="16"/>
  <c r="K33" i="16"/>
  <c r="BM35" i="7"/>
  <c r="B33" i="11"/>
  <c r="AC31" i="14"/>
  <c r="AC23" i="14"/>
  <c r="AC11" i="14"/>
  <c r="BM6" i="14"/>
  <c r="BK5" i="14"/>
  <c r="F14" i="17"/>
  <c r="C14" i="17"/>
  <c r="BT16" i="7"/>
  <c r="F15" i="17"/>
  <c r="BT17" i="7"/>
  <c r="C15" i="11"/>
  <c r="BT18" i="7"/>
  <c r="C16" i="11"/>
  <c r="F16" i="17"/>
  <c r="C16" i="17"/>
  <c r="F17" i="17"/>
  <c r="BT19" i="7"/>
  <c r="H34" i="17"/>
  <c r="BT36" i="7"/>
  <c r="C34" i="11"/>
  <c r="AB6" i="14"/>
  <c r="AC22" i="14"/>
  <c r="BT14" i="7"/>
  <c r="C12" i="11"/>
  <c r="BT35" i="7"/>
  <c r="C33" i="11"/>
  <c r="BM8" i="7"/>
  <c r="B6" i="11"/>
  <c r="BM30" i="7"/>
  <c r="B28" i="11"/>
  <c r="BM25" i="7"/>
  <c r="B23" i="11"/>
  <c r="F4" i="17"/>
  <c r="BT6" i="7"/>
  <c r="C4" i="11"/>
  <c r="H6" i="17"/>
  <c r="H7" i="17"/>
  <c r="D7" i="17"/>
  <c r="BT9" i="7"/>
  <c r="C7" i="11"/>
  <c r="H8" i="17"/>
  <c r="D8" i="17"/>
  <c r="BT10" i="7"/>
  <c r="H11" i="17"/>
  <c r="D11" i="17"/>
  <c r="F20" i="17"/>
  <c r="BT22" i="7"/>
  <c r="C20" i="11"/>
  <c r="F22" i="17"/>
  <c r="C22" i="17"/>
  <c r="BT24" i="7"/>
  <c r="C22" i="11"/>
  <c r="BT26" i="7"/>
  <c r="C24" i="11"/>
  <c r="BT27" i="7"/>
  <c r="C25" i="11"/>
  <c r="F26" i="17"/>
  <c r="BT28" i="7"/>
  <c r="C26" i="11"/>
  <c r="AC19" i="14"/>
  <c r="AC15" i="14"/>
  <c r="CB13" i="7"/>
  <c r="CB19" i="7"/>
  <c r="CA17" i="7"/>
  <c r="CB21" i="7"/>
  <c r="AC27" i="14"/>
  <c r="BU5" i="14"/>
  <c r="BT5" i="14"/>
  <c r="BM5" i="14"/>
  <c r="C8" i="11"/>
  <c r="C14" i="11"/>
  <c r="C17" i="11"/>
  <c r="U26" i="14"/>
  <c r="U22" i="14"/>
  <c r="V31" i="14"/>
  <c r="V27" i="14"/>
  <c r="V7" i="14"/>
  <c r="V34" i="14"/>
  <c r="V30" i="14"/>
  <c r="V26" i="14"/>
  <c r="V22" i="14"/>
  <c r="V18" i="14"/>
  <c r="V14" i="14"/>
  <c r="V10" i="14"/>
  <c r="V6" i="14"/>
  <c r="BD5" i="7"/>
  <c r="BF27" i="7"/>
  <c r="C25" i="10"/>
  <c r="U34" i="14"/>
  <c r="U30" i="14"/>
  <c r="U18" i="14"/>
  <c r="U14" i="14"/>
  <c r="U10" i="14"/>
  <c r="U6" i="14"/>
  <c r="V35" i="14"/>
  <c r="V23" i="14"/>
  <c r="V19" i="14"/>
  <c r="V15" i="14"/>
  <c r="V11" i="14"/>
  <c r="U33" i="14"/>
  <c r="U29" i="14"/>
  <c r="U25" i="14"/>
  <c r="U21" i="14"/>
  <c r="U17" i="14"/>
  <c r="U13" i="14"/>
  <c r="U9" i="14"/>
  <c r="BF12" i="7"/>
  <c r="C10" i="10"/>
  <c r="AY6" i="7"/>
  <c r="B4" i="10"/>
  <c r="BF29" i="7"/>
  <c r="C27" i="10"/>
  <c r="AY11" i="7"/>
  <c r="B9" i="10"/>
  <c r="BF34" i="7"/>
  <c r="C32" i="10"/>
  <c r="U32" i="14"/>
  <c r="U24" i="14"/>
  <c r="U16" i="14"/>
  <c r="U8" i="14"/>
  <c r="V29" i="14"/>
  <c r="V21" i="14"/>
  <c r="V13" i="14"/>
  <c r="U36" i="14"/>
  <c r="U28" i="14"/>
  <c r="U20" i="14"/>
  <c r="U12" i="14"/>
  <c r="V33" i="14"/>
  <c r="V25" i="14"/>
  <c r="V17" i="14"/>
  <c r="V9" i="14"/>
  <c r="BF28" i="7"/>
  <c r="C26" i="10"/>
  <c r="BF15" i="7"/>
  <c r="C13" i="10"/>
  <c r="BF10" i="7"/>
  <c r="C8" i="10"/>
  <c r="F25" i="18"/>
  <c r="BF13" i="7"/>
  <c r="C11" i="10"/>
  <c r="BF19" i="7"/>
  <c r="C17" i="10"/>
  <c r="BF11" i="7"/>
  <c r="C9" i="10"/>
  <c r="BF23" i="7"/>
  <c r="C21" i="10"/>
  <c r="BF30" i="7"/>
  <c r="C28" i="10"/>
  <c r="BF36" i="7"/>
  <c r="C34" i="10"/>
  <c r="BF31" i="7"/>
  <c r="C29" i="10"/>
  <c r="BF33" i="7"/>
  <c r="C31" i="10"/>
  <c r="BF21" i="7"/>
  <c r="C19" i="10"/>
  <c r="BF22" i="7"/>
  <c r="C20" i="10"/>
  <c r="BF17" i="7"/>
  <c r="C15" i="10"/>
  <c r="BF35" i="7"/>
  <c r="C33" i="10"/>
  <c r="BF24" i="7"/>
  <c r="C22" i="10"/>
  <c r="BF9" i="7"/>
  <c r="C7" i="10"/>
  <c r="BF16" i="7"/>
  <c r="C14" i="10"/>
  <c r="BF14" i="7"/>
  <c r="C12" i="10"/>
  <c r="BF20" i="7"/>
  <c r="C18" i="10"/>
  <c r="BF18" i="7"/>
  <c r="C16" i="10"/>
  <c r="BF32" i="7"/>
  <c r="C30" i="10"/>
  <c r="BF26" i="7"/>
  <c r="C24" i="10"/>
  <c r="BF25" i="7"/>
  <c r="C23" i="10"/>
  <c r="BM31" i="7"/>
  <c r="B29" i="11"/>
  <c r="H29" i="16"/>
  <c r="BT29" i="7"/>
  <c r="C27" i="11"/>
  <c r="H27" i="17"/>
  <c r="D27" i="17"/>
  <c r="Y5" i="14"/>
  <c r="AC5" i="14"/>
  <c r="BR5" i="7"/>
  <c r="X5" i="14"/>
  <c r="BL5" i="7"/>
  <c r="N13" i="16"/>
  <c r="CA20" i="7"/>
  <c r="T5" i="14"/>
  <c r="CA31" i="7"/>
  <c r="BX5" i="7"/>
  <c r="G16" i="16"/>
  <c r="AY18" i="7"/>
  <c r="B16" i="10"/>
  <c r="CA22" i="7"/>
  <c r="N20" i="16"/>
  <c r="O26" i="16"/>
  <c r="CA28" i="7"/>
  <c r="BT8" i="7"/>
  <c r="C6" i="11"/>
  <c r="BP5" i="7"/>
  <c r="BM28" i="7"/>
  <c r="B26" i="11"/>
  <c r="BM22" i="7"/>
  <c r="B20" i="11"/>
  <c r="BI5" i="7"/>
  <c r="BM5" i="7"/>
  <c r="BU6" i="7"/>
  <c r="BM26" i="7"/>
  <c r="B24" i="11"/>
  <c r="S5" i="14"/>
  <c r="CB17" i="7"/>
  <c r="CB20" i="7"/>
  <c r="CB22" i="7"/>
  <c r="CA24" i="7"/>
  <c r="G12" i="16"/>
  <c r="J13" i="16"/>
  <c r="AY15" i="7"/>
  <c r="B13" i="10"/>
  <c r="BT11" i="7"/>
  <c r="C9" i="11"/>
  <c r="H9" i="17"/>
  <c r="D9" i="17"/>
  <c r="N9" i="16"/>
  <c r="CA11" i="7"/>
  <c r="CB6" i="7"/>
  <c r="AC6" i="14"/>
  <c r="R5" i="14"/>
  <c r="V5" i="14"/>
  <c r="CA7" i="7"/>
  <c r="CA9" i="7"/>
  <c r="BZ5" i="7"/>
  <c r="BN10" i="7"/>
  <c r="BU12" i="7"/>
  <c r="F4" i="18"/>
  <c r="C4" i="18"/>
  <c r="Z5" i="14"/>
  <c r="BN5" i="7"/>
  <c r="BM33" i="7"/>
  <c r="B31" i="11"/>
  <c r="H31" i="16"/>
  <c r="BT20" i="7"/>
  <c r="C18" i="11"/>
  <c r="F18" i="17"/>
  <c r="C18" i="17"/>
  <c r="Q5" i="14"/>
  <c r="CB28" i="7"/>
  <c r="CB24" i="7"/>
  <c r="CB25" i="7"/>
  <c r="CB31" i="7"/>
  <c r="CA8" i="7"/>
  <c r="CA32" i="7"/>
  <c r="CG23" i="7"/>
  <c r="CG27" i="7"/>
  <c r="CG31" i="7"/>
  <c r="CG35" i="7"/>
  <c r="CH13" i="7"/>
  <c r="CH17" i="7"/>
  <c r="CH21" i="7"/>
  <c r="CH25" i="7"/>
  <c r="CH29" i="7"/>
  <c r="CH33" i="7"/>
  <c r="BF19" i="14"/>
  <c r="BF31" i="14"/>
  <c r="AY33" i="7"/>
  <c r="B31" i="10"/>
  <c r="AZ28" i="7"/>
  <c r="AY22" i="7"/>
  <c r="B20" i="10"/>
  <c r="AY13" i="7"/>
  <c r="B11" i="10"/>
  <c r="AY10" i="7"/>
  <c r="B8" i="10"/>
  <c r="AY17" i="7"/>
  <c r="B15" i="10"/>
  <c r="AY27" i="7"/>
  <c r="B25" i="10"/>
  <c r="AY35" i="7"/>
  <c r="B33" i="10"/>
  <c r="BF8" i="7"/>
  <c r="C6" i="10"/>
  <c r="BF7" i="7"/>
  <c r="C5" i="10"/>
  <c r="BG8" i="14"/>
  <c r="BG35" i="14"/>
  <c r="BG36" i="14"/>
  <c r="AY8" i="7"/>
  <c r="B6" i="10"/>
  <c r="AY34" i="7"/>
  <c r="B32" i="10"/>
  <c r="AY25" i="7"/>
  <c r="B23" i="10"/>
  <c r="AY28" i="7"/>
  <c r="B26" i="10"/>
  <c r="AY7" i="7"/>
  <c r="B5" i="10"/>
  <c r="AY32" i="7"/>
  <c r="B30" i="10"/>
  <c r="AY31" i="7"/>
  <c r="B29" i="10"/>
  <c r="CI10" i="14"/>
  <c r="CJ13" i="14"/>
  <c r="CJ15" i="14"/>
  <c r="CJ17" i="14"/>
  <c r="D7" i="18"/>
  <c r="C7" i="18"/>
  <c r="B7" i="18"/>
  <c r="AC31" i="7"/>
  <c r="C29" i="9"/>
  <c r="AR30" i="14"/>
  <c r="D33" i="18"/>
  <c r="C33" i="18"/>
  <c r="B33" i="18"/>
  <c r="N11" i="14"/>
  <c r="CG22" i="7"/>
  <c r="CG26" i="7"/>
  <c r="CG30" i="7"/>
  <c r="CG34" i="7"/>
  <c r="CH12" i="7"/>
  <c r="CH16" i="7"/>
  <c r="CH20" i="7"/>
  <c r="CH24" i="7"/>
  <c r="CH32" i="7"/>
  <c r="CH36" i="7"/>
  <c r="G9" i="18"/>
  <c r="D9" i="18"/>
  <c r="C9" i="18"/>
  <c r="B9" i="18"/>
  <c r="AC13" i="7"/>
  <c r="C11" i="9"/>
  <c r="CH5" i="14"/>
  <c r="AN5" i="14"/>
  <c r="AK5" i="14"/>
  <c r="AL5" i="7"/>
  <c r="AC9" i="7"/>
  <c r="C7" i="9"/>
  <c r="CJ7" i="14"/>
  <c r="AS15" i="14"/>
  <c r="AR31" i="14"/>
  <c r="L31" i="16"/>
  <c r="M31" i="16"/>
  <c r="AP5" i="14"/>
  <c r="CA5" i="14"/>
  <c r="N33" i="14"/>
  <c r="AC32" i="7"/>
  <c r="C30" i="9"/>
  <c r="AH5" i="14"/>
  <c r="AM5" i="14"/>
  <c r="AC24" i="7"/>
  <c r="C22" i="9"/>
  <c r="AS20" i="14"/>
  <c r="CI18" i="14"/>
  <c r="CI14" i="14"/>
  <c r="CI12" i="14"/>
  <c r="CJ27" i="14"/>
  <c r="CI32" i="14"/>
  <c r="CI33" i="14"/>
  <c r="AR35" i="14"/>
  <c r="AR36" i="14"/>
  <c r="AP5" i="7"/>
  <c r="AJ5" i="7"/>
  <c r="AR15" i="7"/>
  <c r="D13" i="9"/>
  <c r="AR20" i="7"/>
  <c r="AR30" i="7"/>
  <c r="AR32" i="7"/>
  <c r="M7" i="16"/>
  <c r="M8" i="16"/>
  <c r="J5" i="7"/>
  <c r="M10" i="16"/>
  <c r="M11" i="16"/>
  <c r="L13" i="16"/>
  <c r="L15" i="16"/>
  <c r="L32" i="16"/>
  <c r="M32" i="16"/>
  <c r="E32" i="16"/>
  <c r="L33" i="16"/>
  <c r="M33" i="16"/>
  <c r="E33" i="16"/>
  <c r="D13" i="17"/>
  <c r="D17" i="17"/>
  <c r="D22" i="17"/>
  <c r="D24" i="17"/>
  <c r="D31" i="17"/>
  <c r="N24" i="14"/>
  <c r="AF5" i="14"/>
  <c r="CF5" i="14"/>
  <c r="O16" i="14"/>
  <c r="CG20" i="7"/>
  <c r="CG24" i="7"/>
  <c r="CG28" i="7"/>
  <c r="CG32" i="7"/>
  <c r="CG36" i="7"/>
  <c r="CH10" i="7"/>
  <c r="CH14" i="7"/>
  <c r="CH18" i="7"/>
  <c r="CH22" i="7"/>
  <c r="CH26" i="7"/>
  <c r="CH30" i="7"/>
  <c r="CH34" i="7"/>
  <c r="AC18" i="7"/>
  <c r="C16" i="9"/>
  <c r="AC29" i="7"/>
  <c r="C27" i="9"/>
  <c r="CB5" i="14"/>
  <c r="BW5" i="14"/>
  <c r="AC27" i="7"/>
  <c r="C25" i="9"/>
  <c r="AR10" i="7"/>
  <c r="AC16" i="7"/>
  <c r="C14" i="9"/>
  <c r="CJ9" i="14"/>
  <c r="CJ10" i="14"/>
  <c r="CJ12" i="14"/>
  <c r="CJ16" i="14"/>
  <c r="CJ18" i="14"/>
  <c r="CJ20" i="14"/>
  <c r="CJ22" i="14"/>
  <c r="CJ24" i="14"/>
  <c r="CI19" i="14"/>
  <c r="CI17" i="14"/>
  <c r="CI13" i="14"/>
  <c r="CI11" i="14"/>
  <c r="CJ26" i="14"/>
  <c r="CI25" i="14"/>
  <c r="CI23" i="14"/>
  <c r="CI21" i="14"/>
  <c r="CJ28" i="14"/>
  <c r="CJ30" i="14"/>
  <c r="CJ31" i="14"/>
  <c r="CJ32" i="14"/>
  <c r="CJ33" i="14"/>
  <c r="AS34" i="14"/>
  <c r="CJ34" i="14"/>
  <c r="CJ35" i="14"/>
  <c r="L6" i="16"/>
  <c r="L7" i="16"/>
  <c r="L8" i="16"/>
  <c r="M13" i="16"/>
  <c r="M34" i="16"/>
  <c r="C5" i="17"/>
  <c r="AC14" i="7"/>
  <c r="C12" i="9"/>
  <c r="D14" i="17"/>
  <c r="C23" i="17"/>
  <c r="D23" i="17"/>
  <c r="D26" i="17"/>
  <c r="CE5" i="14"/>
  <c r="AS26" i="14"/>
  <c r="N7" i="7"/>
  <c r="AS10" i="14"/>
  <c r="AS25" i="14"/>
  <c r="AR26" i="14"/>
  <c r="N30" i="14"/>
  <c r="N29" i="14"/>
  <c r="N6" i="14"/>
  <c r="O26" i="14"/>
  <c r="O18" i="14"/>
  <c r="O25" i="14"/>
  <c r="O13" i="14"/>
  <c r="O32" i="14"/>
  <c r="CE5" i="7"/>
  <c r="C17" i="17"/>
  <c r="I18" i="16"/>
  <c r="L27" i="16"/>
  <c r="D13" i="18"/>
  <c r="C13" i="18"/>
  <c r="B13" i="18"/>
  <c r="AS11" i="14"/>
  <c r="AR24" i="14"/>
  <c r="AS30" i="14"/>
  <c r="AS31" i="14"/>
  <c r="AS32" i="14"/>
  <c r="CI6" i="14"/>
  <c r="N27" i="7"/>
  <c r="AC17" i="7"/>
  <c r="C15" i="9"/>
  <c r="M14" i="16"/>
  <c r="M16" i="16"/>
  <c r="M18" i="16"/>
  <c r="M20" i="16"/>
  <c r="M21" i="16"/>
  <c r="M22" i="16"/>
  <c r="M24" i="16"/>
  <c r="L25" i="16"/>
  <c r="L26" i="16"/>
  <c r="D28" i="16"/>
  <c r="L28" i="16"/>
  <c r="AS18" i="14"/>
  <c r="N32" i="14"/>
  <c r="N16" i="14"/>
  <c r="O19" i="14"/>
  <c r="AC36" i="7"/>
  <c r="C34" i="9"/>
  <c r="AC20" i="7"/>
  <c r="C18" i="9"/>
  <c r="L14" i="16"/>
  <c r="M17" i="16"/>
  <c r="L18" i="16"/>
  <c r="L19" i="16"/>
  <c r="L20" i="16"/>
  <c r="L21" i="16"/>
  <c r="L23" i="16"/>
  <c r="M26" i="16"/>
  <c r="M28" i="16"/>
  <c r="M30" i="16"/>
  <c r="CG5" i="14"/>
  <c r="BZ5" i="14"/>
  <c r="AR16" i="14"/>
  <c r="AS19" i="14"/>
  <c r="AS21" i="14"/>
  <c r="AS35" i="14"/>
  <c r="C11" i="17"/>
  <c r="E28" i="17"/>
  <c r="C28" i="17"/>
  <c r="AC30" i="7"/>
  <c r="C28" i="9"/>
  <c r="AR11" i="7"/>
  <c r="G10" i="18"/>
  <c r="D12" i="18"/>
  <c r="C12" i="18"/>
  <c r="B12" i="18"/>
  <c r="AC19" i="7"/>
  <c r="C17" i="9"/>
  <c r="N17" i="7"/>
  <c r="B15" i="16"/>
  <c r="AR9" i="14"/>
  <c r="AS16" i="14"/>
  <c r="AR25" i="14"/>
  <c r="AR33" i="14"/>
  <c r="I4" i="16"/>
  <c r="N6" i="7"/>
  <c r="E11" i="18"/>
  <c r="AR13" i="7"/>
  <c r="N14" i="14"/>
  <c r="I5" i="14"/>
  <c r="O8" i="14"/>
  <c r="O7" i="14"/>
  <c r="CG6" i="7"/>
  <c r="CC5" i="7"/>
  <c r="CD5" i="7"/>
  <c r="CH9" i="7"/>
  <c r="AC15" i="7"/>
  <c r="C13" i="9"/>
  <c r="I22" i="16"/>
  <c r="N24" i="7"/>
  <c r="E15" i="18"/>
  <c r="AR17" i="7"/>
  <c r="CJ14" i="14"/>
  <c r="CI15" i="14"/>
  <c r="CI27" i="14"/>
  <c r="CJ29" i="14"/>
  <c r="CJ36" i="14"/>
  <c r="AR33" i="7"/>
  <c r="L4" i="16"/>
  <c r="M12" i="16"/>
  <c r="M15" i="16"/>
  <c r="C27" i="16"/>
  <c r="N20" i="14"/>
  <c r="N12" i="14"/>
  <c r="N8" i="14"/>
  <c r="AS7" i="14"/>
  <c r="CI7" i="14"/>
  <c r="AS8" i="14"/>
  <c r="CI8" i="14"/>
  <c r="CI9" i="14"/>
  <c r="AR12" i="14"/>
  <c r="AS13" i="14"/>
  <c r="AR14" i="14"/>
  <c r="AR18" i="14"/>
  <c r="CJ19" i="14"/>
  <c r="AR20" i="14"/>
  <c r="CJ21" i="14"/>
  <c r="AR22" i="14"/>
  <c r="AS23" i="14"/>
  <c r="CJ23" i="14"/>
  <c r="CI20" i="14"/>
  <c r="CI16" i="14"/>
  <c r="CJ25" i="14"/>
  <c r="AS27" i="14"/>
  <c r="CI26" i="14"/>
  <c r="CI24" i="14"/>
  <c r="CI22" i="14"/>
  <c r="CI28" i="14"/>
  <c r="AS29" i="14"/>
  <c r="CI29" i="14"/>
  <c r="CI30" i="14"/>
  <c r="CI31" i="14"/>
  <c r="AS33" i="14"/>
  <c r="CI34" i="14"/>
  <c r="CI35" i="14"/>
  <c r="AS36" i="14"/>
  <c r="CI36" i="14"/>
  <c r="AR8" i="7"/>
  <c r="AR12" i="7"/>
  <c r="AR16" i="7"/>
  <c r="AR24" i="7"/>
  <c r="C12" i="17"/>
  <c r="D11" i="18"/>
  <c r="I8" i="16"/>
  <c r="N10" i="7"/>
  <c r="L9" i="16"/>
  <c r="F5" i="7"/>
  <c r="I16" i="16"/>
  <c r="N18" i="7"/>
  <c r="D19" i="16"/>
  <c r="I20" i="16"/>
  <c r="N22" i="7"/>
  <c r="E4" i="17"/>
  <c r="AC6" i="7"/>
  <c r="C4" i="9"/>
  <c r="C7" i="17"/>
  <c r="E9" i="17"/>
  <c r="C9" i="17"/>
  <c r="AC11" i="7"/>
  <c r="C9" i="9"/>
  <c r="AC22" i="7"/>
  <c r="N20" i="7"/>
  <c r="N16" i="7"/>
  <c r="D10" i="17"/>
  <c r="AC7" i="7"/>
  <c r="C5" i="9"/>
  <c r="N25" i="7"/>
  <c r="L5" i="7"/>
  <c r="M5" i="16"/>
  <c r="N31" i="7"/>
  <c r="L29" i="16"/>
  <c r="F30" i="16"/>
  <c r="C30" i="16"/>
  <c r="N32" i="7"/>
  <c r="G6" i="17"/>
  <c r="AC8" i="7"/>
  <c r="C6" i="9"/>
  <c r="E10" i="17"/>
  <c r="C10" i="17"/>
  <c r="AC12" i="7"/>
  <c r="C10" i="9"/>
  <c r="G19" i="17"/>
  <c r="AC21" i="7"/>
  <c r="C19" i="9"/>
  <c r="E24" i="17"/>
  <c r="C24" i="17"/>
  <c r="AC26" i="7"/>
  <c r="C24" i="9"/>
  <c r="E33" i="17"/>
  <c r="C33" i="17"/>
  <c r="AC35" i="7"/>
  <c r="C33" i="9"/>
  <c r="E19" i="18"/>
  <c r="AR21" i="7"/>
  <c r="B5" i="7"/>
  <c r="AS9" i="14"/>
  <c r="AS17" i="14"/>
  <c r="AS28" i="14"/>
  <c r="AR18" i="7"/>
  <c r="D16" i="9"/>
  <c r="F6" i="16"/>
  <c r="N8" i="7"/>
  <c r="N35" i="14"/>
  <c r="N34" i="14"/>
  <c r="N26" i="14"/>
  <c r="N18" i="14"/>
  <c r="N10" i="14"/>
  <c r="N36" i="14"/>
  <c r="O35" i="14"/>
  <c r="O31" i="14"/>
  <c r="O27" i="14"/>
  <c r="O15" i="14"/>
  <c r="O11" i="14"/>
  <c r="O34" i="14"/>
  <c r="O30" i="14"/>
  <c r="O22" i="14"/>
  <c r="O10" i="14"/>
  <c r="O29" i="14"/>
  <c r="O36" i="14"/>
  <c r="C5" i="14"/>
  <c r="CF5" i="7"/>
  <c r="AR14" i="7"/>
  <c r="D12" i="9"/>
  <c r="AC25" i="7"/>
  <c r="C23" i="9"/>
  <c r="AS36" i="7"/>
  <c r="AR11" i="14"/>
  <c r="AO5" i="14"/>
  <c r="AS14" i="14"/>
  <c r="AR15" i="14"/>
  <c r="AR19" i="14"/>
  <c r="AS22" i="14"/>
  <c r="AR23" i="14"/>
  <c r="AS24" i="14"/>
  <c r="AR27" i="14"/>
  <c r="AR28" i="14"/>
  <c r="AR32" i="14"/>
  <c r="AR34" i="14"/>
  <c r="AR25" i="7"/>
  <c r="AR26" i="7"/>
  <c r="AR31" i="7"/>
  <c r="AC10" i="7"/>
  <c r="C8" i="9"/>
  <c r="E8" i="17"/>
  <c r="C8" i="17"/>
  <c r="G6" i="18"/>
  <c r="D6" i="18"/>
  <c r="AH5" i="7"/>
  <c r="O23" i="14"/>
  <c r="O14" i="14"/>
  <c r="N14" i="7"/>
  <c r="L12" i="16"/>
  <c r="M19" i="16"/>
  <c r="D29" i="16"/>
  <c r="N33" i="7"/>
  <c r="L34" i="16"/>
  <c r="E34" i="16"/>
  <c r="D5" i="17"/>
  <c r="AC33" i="7"/>
  <c r="C31" i="9"/>
  <c r="CH8" i="7"/>
  <c r="CH28" i="7"/>
  <c r="AD32" i="7"/>
  <c r="AD33" i="7"/>
  <c r="AL5" i="14"/>
  <c r="AQ5" i="14"/>
  <c r="AI5" i="14"/>
  <c r="M4" i="16"/>
  <c r="L5" i="16"/>
  <c r="M6" i="16"/>
  <c r="L22" i="16"/>
  <c r="L24" i="16"/>
  <c r="M29" i="16"/>
  <c r="D4" i="17"/>
  <c r="C6" i="17"/>
  <c r="D15" i="17"/>
  <c r="D25" i="17"/>
  <c r="D16" i="18"/>
  <c r="E26" i="17"/>
  <c r="AC28" i="7"/>
  <c r="C26" i="9"/>
  <c r="G21" i="17"/>
  <c r="D21" i="17"/>
  <c r="AC23" i="7"/>
  <c r="C21" i="9"/>
  <c r="G25" i="18"/>
  <c r="D25" i="18"/>
  <c r="C25" i="18"/>
  <c r="B25" i="18"/>
  <c r="AR27" i="7"/>
  <c r="L5" i="14"/>
  <c r="H5" i="14"/>
  <c r="F5" i="14"/>
  <c r="N25" i="14"/>
  <c r="N21" i="14"/>
  <c r="N17" i="14"/>
  <c r="N13" i="14"/>
  <c r="D5" i="14"/>
  <c r="N9" i="14"/>
  <c r="N28" i="14"/>
  <c r="N23" i="14"/>
  <c r="N19" i="14"/>
  <c r="N15" i="14"/>
  <c r="B5" i="14"/>
  <c r="N7" i="14"/>
  <c r="M5" i="14"/>
  <c r="K5" i="14"/>
  <c r="G5" i="14"/>
  <c r="O33" i="14"/>
  <c r="O21" i="14"/>
  <c r="O17" i="14"/>
  <c r="O28" i="14"/>
  <c r="O20" i="14"/>
  <c r="O12" i="14"/>
  <c r="E32" i="17"/>
  <c r="C32" i="17"/>
  <c r="AC34" i="7"/>
  <c r="C32" i="9"/>
  <c r="E20" i="17"/>
  <c r="Q5" i="7"/>
  <c r="AR36" i="7"/>
  <c r="J5" i="14"/>
  <c r="I7" i="16"/>
  <c r="N9" i="7"/>
  <c r="I9" i="16"/>
  <c r="N11" i="7"/>
  <c r="L11" i="16"/>
  <c r="N13" i="7"/>
  <c r="N19" i="7"/>
  <c r="L17" i="16"/>
  <c r="F19" i="16"/>
  <c r="N21" i="7"/>
  <c r="I26" i="16"/>
  <c r="N28" i="7"/>
  <c r="B26" i="9"/>
  <c r="M27" i="16"/>
  <c r="N29" i="7"/>
  <c r="I34" i="16"/>
  <c r="N36" i="7"/>
  <c r="S5" i="7"/>
  <c r="G12" i="17"/>
  <c r="D12" i="17"/>
  <c r="E16" i="18"/>
  <c r="AF5" i="7"/>
  <c r="O9" i="14"/>
  <c r="O24" i="14"/>
  <c r="CH6" i="7"/>
  <c r="H5" i="7"/>
  <c r="M9" i="16"/>
  <c r="I13" i="16"/>
  <c r="N15" i="7"/>
  <c r="L16" i="16"/>
  <c r="G21" i="18"/>
  <c r="D21" i="18"/>
  <c r="AR23" i="7"/>
  <c r="D22" i="18"/>
  <c r="C22" i="18"/>
  <c r="B22" i="18"/>
  <c r="G27" i="18"/>
  <c r="D27" i="18"/>
  <c r="AR29" i="7"/>
  <c r="CG11" i="7"/>
  <c r="AR6" i="14"/>
  <c r="AR7" i="14"/>
  <c r="AR10" i="14"/>
  <c r="BX5" i="14"/>
  <c r="CJ11" i="14"/>
  <c r="AS12" i="14"/>
  <c r="AR13" i="14"/>
  <c r="AR17" i="14"/>
  <c r="AR21" i="14"/>
  <c r="AR29" i="14"/>
  <c r="AN5" i="7"/>
  <c r="AR6" i="7"/>
  <c r="D5" i="7"/>
  <c r="F21" i="16"/>
  <c r="N23" i="7"/>
  <c r="I32" i="16"/>
  <c r="D32" i="16"/>
  <c r="N34" i="7"/>
  <c r="AR19" i="7"/>
  <c r="E20" i="18"/>
  <c r="AR22" i="7"/>
  <c r="AJ5" i="14"/>
  <c r="AR35" i="7"/>
  <c r="G17" i="18"/>
  <c r="AR28" i="7"/>
  <c r="E5" i="14"/>
  <c r="C13" i="17"/>
  <c r="L10" i="16"/>
  <c r="N12" i="7"/>
  <c r="F24" i="16"/>
  <c r="N26" i="7"/>
  <c r="M25" i="16"/>
  <c r="N30" i="7"/>
  <c r="N35" i="7"/>
  <c r="D16" i="17"/>
  <c r="AR9" i="7"/>
  <c r="D18" i="18"/>
  <c r="C18" i="18"/>
  <c r="B18" i="18"/>
  <c r="AR34" i="7"/>
  <c r="E32" i="18"/>
  <c r="N27" i="14"/>
  <c r="N31" i="14"/>
  <c r="N22" i="14"/>
  <c r="O6" i="14"/>
  <c r="CG15" i="7"/>
  <c r="C25" i="17"/>
  <c r="M23" i="16"/>
  <c r="L30" i="16"/>
  <c r="E30" i="16"/>
  <c r="AR7" i="7"/>
  <c r="D32" i="18"/>
  <c r="CG7" i="7"/>
  <c r="D4" i="18"/>
  <c r="D8" i="18"/>
  <c r="C8" i="18"/>
  <c r="B8" i="18"/>
  <c r="D14" i="18"/>
  <c r="C14" i="18"/>
  <c r="B14" i="18"/>
  <c r="D19" i="18"/>
  <c r="D23" i="18"/>
  <c r="C23" i="18"/>
  <c r="B23" i="18"/>
  <c r="C32" i="16"/>
  <c r="BF25" i="14"/>
  <c r="BG23" i="14"/>
  <c r="BG30" i="14"/>
  <c r="D31" i="16"/>
  <c r="AZ24" i="7"/>
  <c r="BG32" i="14"/>
  <c r="BG33" i="14"/>
  <c r="BG26" i="14"/>
  <c r="BF27" i="14"/>
  <c r="BF30" i="14"/>
  <c r="AY26" i="7"/>
  <c r="AY36" i="7"/>
  <c r="B34" i="10"/>
  <c r="BF24" i="14"/>
  <c r="BG25" i="14"/>
  <c r="BF29" i="14"/>
  <c r="AY29" i="7"/>
  <c r="B27" i="10"/>
  <c r="AY23" i="7"/>
  <c r="B21" i="10"/>
  <c r="AY19" i="7"/>
  <c r="B17" i="10"/>
  <c r="BG14" i="14"/>
  <c r="BG20" i="14"/>
  <c r="BG27" i="14"/>
  <c r="BG34" i="14"/>
  <c r="B18" i="10"/>
  <c r="AB5" i="14"/>
  <c r="BT5" i="7"/>
  <c r="CB5" i="7"/>
  <c r="B24" i="10"/>
  <c r="D15" i="9"/>
  <c r="D27" i="9"/>
  <c r="BG32" i="7"/>
  <c r="BD5" i="14"/>
  <c r="BG7" i="14"/>
  <c r="BF11" i="14"/>
  <c r="BG13" i="14"/>
  <c r="BF14" i="14"/>
  <c r="BF16" i="14"/>
  <c r="BG17" i="14"/>
  <c r="BF20" i="14"/>
  <c r="BG22" i="14"/>
  <c r="BF23" i="14"/>
  <c r="BG24" i="14"/>
  <c r="BF26" i="14"/>
  <c r="BG28" i="14"/>
  <c r="BG31" i="14"/>
  <c r="BF32" i="14"/>
  <c r="BF34" i="14"/>
  <c r="BF35" i="14"/>
  <c r="BF36" i="14"/>
  <c r="D10" i="16"/>
  <c r="AY14" i="7"/>
  <c r="B12" i="10"/>
  <c r="BB5" i="7"/>
  <c r="BF5" i="7"/>
  <c r="AU5" i="7"/>
  <c r="D22" i="9"/>
  <c r="AX5" i="7"/>
  <c r="BG20" i="7"/>
  <c r="BG27" i="7"/>
  <c r="BG28" i="7"/>
  <c r="BF18" i="14"/>
  <c r="BG19" i="14"/>
  <c r="BC5" i="7"/>
  <c r="AZ8" i="7"/>
  <c r="AY12" i="7"/>
  <c r="B10" i="10"/>
  <c r="G7" i="16"/>
  <c r="B6" i="16"/>
  <c r="B20" i="9"/>
  <c r="D14" i="9"/>
  <c r="AY30" i="7"/>
  <c r="B28" i="10"/>
  <c r="BF6" i="7"/>
  <c r="C4" i="10"/>
  <c r="G18" i="16"/>
  <c r="B18" i="16"/>
  <c r="AW5" i="7"/>
  <c r="AY21" i="7"/>
  <c r="B19" i="10"/>
  <c r="AY24" i="7"/>
  <c r="B22" i="10"/>
  <c r="AY16" i="7"/>
  <c r="B14" i="10"/>
  <c r="C23" i="16"/>
  <c r="C9" i="16"/>
  <c r="C25" i="16"/>
  <c r="V28" i="14"/>
  <c r="V12" i="14"/>
  <c r="B30" i="16"/>
  <c r="V36" i="14"/>
  <c r="V20" i="14"/>
  <c r="U11" i="14"/>
  <c r="B29" i="9"/>
  <c r="U23" i="14"/>
  <c r="BE5" i="14"/>
  <c r="D14" i="16"/>
  <c r="U19" i="14"/>
  <c r="U15" i="14"/>
  <c r="U5" i="14"/>
  <c r="AV5" i="7"/>
  <c r="BE5" i="7"/>
  <c r="BG5" i="7"/>
  <c r="D27" i="16"/>
  <c r="B32" i="16"/>
  <c r="D34" i="9"/>
  <c r="D24" i="9"/>
  <c r="D6" i="9"/>
  <c r="C4" i="16"/>
  <c r="BG6" i="7"/>
  <c r="D5" i="9"/>
  <c r="D26" i="9"/>
  <c r="D33" i="9"/>
  <c r="D20" i="9"/>
  <c r="D17" i="9"/>
  <c r="D21" i="9"/>
  <c r="B11" i="9"/>
  <c r="B9" i="16"/>
  <c r="D25" i="9"/>
  <c r="B8" i="16"/>
  <c r="D31" i="9"/>
  <c r="B22" i="9"/>
  <c r="B5" i="16"/>
  <c r="D18" i="9"/>
  <c r="D5" i="16"/>
  <c r="D17" i="18"/>
  <c r="C17" i="18"/>
  <c r="B17" i="18"/>
  <c r="C11" i="16"/>
  <c r="AZ6" i="7"/>
  <c r="AZ7" i="7"/>
  <c r="BG7" i="7"/>
  <c r="AZ9" i="7"/>
  <c r="BG9" i="7"/>
  <c r="AZ10" i="7"/>
  <c r="BG10" i="7"/>
  <c r="AZ11" i="7"/>
  <c r="AZ12" i="7"/>
  <c r="AZ13" i="7"/>
  <c r="BG13" i="7"/>
  <c r="AZ14" i="7"/>
  <c r="BG14" i="7"/>
  <c r="BG15" i="7"/>
  <c r="BG16" i="7"/>
  <c r="AZ17" i="7"/>
  <c r="BG17" i="7"/>
  <c r="AZ18" i="7"/>
  <c r="BG18" i="7"/>
  <c r="AZ19" i="7"/>
  <c r="BG19" i="7"/>
  <c r="AZ21" i="7"/>
  <c r="BG21" i="7"/>
  <c r="AZ22" i="7"/>
  <c r="BG22" i="7"/>
  <c r="AZ23" i="7"/>
  <c r="BG23" i="7"/>
  <c r="BG24" i="7"/>
  <c r="AZ25" i="7"/>
  <c r="BG25" i="7"/>
  <c r="AZ26" i="7"/>
  <c r="BG26" i="7"/>
  <c r="AZ27" i="7"/>
  <c r="AZ29" i="7"/>
  <c r="BG29" i="7"/>
  <c r="AZ30" i="7"/>
  <c r="BG30" i="7"/>
  <c r="AZ31" i="7"/>
  <c r="BG31" i="7"/>
  <c r="AZ33" i="7"/>
  <c r="BG33" i="7"/>
  <c r="AZ34" i="7"/>
  <c r="BG34" i="7"/>
  <c r="AZ35" i="7"/>
  <c r="BG35" i="7"/>
  <c r="AZ36" i="7"/>
  <c r="BG36" i="7"/>
  <c r="BF6" i="14"/>
  <c r="BC5" i="14"/>
  <c r="BF7" i="14"/>
  <c r="BF8" i="14"/>
  <c r="BG9" i="14"/>
  <c r="BF10" i="14"/>
  <c r="BG10" i="14"/>
  <c r="BF12" i="14"/>
  <c r="BG12" i="14"/>
  <c r="BF13" i="14"/>
  <c r="BF15" i="14"/>
  <c r="BG15" i="14"/>
  <c r="BF17" i="14"/>
  <c r="BG18" i="14"/>
  <c r="BF21" i="14"/>
  <c r="BF22" i="14"/>
  <c r="BG29" i="14"/>
  <c r="BF33" i="14"/>
  <c r="D6" i="16"/>
  <c r="B24" i="9"/>
  <c r="C21" i="16"/>
  <c r="B27" i="16"/>
  <c r="D16" i="16"/>
  <c r="D25" i="16"/>
  <c r="U35" i="14"/>
  <c r="U31" i="14"/>
  <c r="U27" i="14"/>
  <c r="BB5" i="14"/>
  <c r="BG6" i="14"/>
  <c r="D8" i="9"/>
  <c r="D30" i="9"/>
  <c r="D32" i="9"/>
  <c r="D7" i="9"/>
  <c r="B33" i="16"/>
  <c r="B31" i="9"/>
  <c r="D29" i="9"/>
  <c r="D23" i="9"/>
  <c r="D19" i="9"/>
  <c r="B23" i="9"/>
  <c r="B16" i="9"/>
  <c r="D10" i="9"/>
  <c r="D11" i="9"/>
  <c r="B4" i="16"/>
  <c r="D9" i="9"/>
  <c r="B25" i="9"/>
  <c r="D28" i="9"/>
  <c r="C31" i="16"/>
  <c r="C28" i="16"/>
  <c r="U7" i="14"/>
  <c r="B34" i="9"/>
  <c r="B7" i="9"/>
  <c r="C24" i="16"/>
  <c r="B21" i="16"/>
  <c r="D34" i="16"/>
  <c r="D26" i="16"/>
  <c r="C19" i="16"/>
  <c r="B17" i="9"/>
  <c r="D7" i="16"/>
  <c r="C6" i="16"/>
  <c r="D20" i="16"/>
  <c r="V32" i="14"/>
  <c r="V16" i="14"/>
  <c r="D8" i="16"/>
  <c r="D10" i="18"/>
  <c r="C10" i="18"/>
  <c r="B10" i="18"/>
  <c r="D33" i="16"/>
  <c r="V24" i="14"/>
  <c r="V8" i="14"/>
  <c r="AS24" i="7"/>
  <c r="O34" i="7"/>
  <c r="AS22" i="7"/>
  <c r="AD24" i="7"/>
  <c r="B5" i="9"/>
  <c r="E25" i="16"/>
  <c r="AS23" i="7"/>
  <c r="O24" i="7"/>
  <c r="AD27" i="7"/>
  <c r="AS33" i="7"/>
  <c r="AG5" i="14"/>
  <c r="AR8" i="14"/>
  <c r="AD22" i="7"/>
  <c r="AD25" i="7"/>
  <c r="AD29" i="7"/>
  <c r="O22" i="7"/>
  <c r="AS25" i="7"/>
  <c r="AS26" i="7"/>
  <c r="O28" i="7"/>
  <c r="O30" i="7"/>
  <c r="O32" i="7"/>
  <c r="AS32" i="7"/>
  <c r="AD34" i="7"/>
  <c r="AD35" i="7"/>
  <c r="E8" i="16"/>
  <c r="AD8" i="7"/>
  <c r="AD14" i="7"/>
  <c r="AS18" i="7"/>
  <c r="E16" i="16"/>
  <c r="B25" i="17"/>
  <c r="B22" i="16"/>
  <c r="AD20" i="7"/>
  <c r="B23" i="16"/>
  <c r="C19" i="18"/>
  <c r="B19" i="18"/>
  <c r="B5" i="17"/>
  <c r="B17" i="16"/>
  <c r="AD10" i="7"/>
  <c r="AD11" i="7"/>
  <c r="D18" i="17"/>
  <c r="B18" i="17"/>
  <c r="D15" i="18"/>
  <c r="C15" i="18"/>
  <c r="B15" i="18"/>
  <c r="D26" i="18"/>
  <c r="C26" i="18"/>
  <c r="B26" i="18"/>
  <c r="AO5" i="7"/>
  <c r="AS16" i="7"/>
  <c r="O19" i="7"/>
  <c r="O21" i="7"/>
  <c r="B4" i="9"/>
  <c r="B25" i="16"/>
  <c r="E17" i="16"/>
  <c r="E12" i="16"/>
  <c r="CG5" i="7"/>
  <c r="AD9" i="7"/>
  <c r="AD12" i="7"/>
  <c r="AD17" i="7"/>
  <c r="AD26" i="7"/>
  <c r="B16" i="16"/>
  <c r="E15" i="16"/>
  <c r="B31" i="17"/>
  <c r="T5" i="7"/>
  <c r="AD13" i="7"/>
  <c r="C26" i="17"/>
  <c r="B26" i="17"/>
  <c r="D22" i="16"/>
  <c r="E13" i="16"/>
  <c r="E29" i="16"/>
  <c r="B34" i="16"/>
  <c r="B18" i="9"/>
  <c r="B32" i="9"/>
  <c r="E22" i="16"/>
  <c r="R5" i="7"/>
  <c r="O9" i="7"/>
  <c r="O10" i="7"/>
  <c r="AS10" i="7"/>
  <c r="AS12" i="7"/>
  <c r="AS13" i="7"/>
  <c r="AS15" i="7"/>
  <c r="O16" i="7"/>
  <c r="AD16" i="7"/>
  <c r="AD19" i="7"/>
  <c r="B29" i="16"/>
  <c r="E19" i="16"/>
  <c r="E28" i="16"/>
  <c r="E20" i="16"/>
  <c r="E14" i="16"/>
  <c r="N5" i="14"/>
  <c r="B2" i="15"/>
  <c r="D19" i="17"/>
  <c r="E9" i="16"/>
  <c r="D4" i="16"/>
  <c r="E27" i="16"/>
  <c r="X5" i="7"/>
  <c r="Y5" i="7"/>
  <c r="AD7" i="7"/>
  <c r="O11" i="7"/>
  <c r="AS11" i="7"/>
  <c r="O13" i="7"/>
  <c r="AD15" i="7"/>
  <c r="O20" i="7"/>
  <c r="AS20" i="7"/>
  <c r="AS21" i="7"/>
  <c r="O23" i="7"/>
  <c r="O25" i="7"/>
  <c r="O27" i="7"/>
  <c r="AS27" i="7"/>
  <c r="AS28" i="7"/>
  <c r="O29" i="7"/>
  <c r="AS29" i="7"/>
  <c r="AD30" i="7"/>
  <c r="AS34" i="7"/>
  <c r="C33" i="16"/>
  <c r="C19" i="17"/>
  <c r="B19" i="17"/>
  <c r="C21" i="17"/>
  <c r="B21" i="17"/>
  <c r="B8" i="9"/>
  <c r="B4" i="18"/>
  <c r="E11" i="16"/>
  <c r="AG5" i="7"/>
  <c r="B24" i="17"/>
  <c r="CH5" i="7"/>
  <c r="C15" i="16"/>
  <c r="V5" i="7"/>
  <c r="Z5" i="7"/>
  <c r="AK5" i="7"/>
  <c r="AA5" i="7"/>
  <c r="AS7" i="7"/>
  <c r="AI5" i="7"/>
  <c r="AS8" i="7"/>
  <c r="AS9" i="7"/>
  <c r="O12" i="7"/>
  <c r="O14" i="7"/>
  <c r="AS14" i="7"/>
  <c r="O15" i="7"/>
  <c r="O17" i="7"/>
  <c r="AS17" i="7"/>
  <c r="O18" i="7"/>
  <c r="AS19" i="7"/>
  <c r="AD21" i="7"/>
  <c r="AD23" i="7"/>
  <c r="O26" i="7"/>
  <c r="AD28" i="7"/>
  <c r="AS30" i="7"/>
  <c r="O31" i="7"/>
  <c r="AS31" i="7"/>
  <c r="O33" i="7"/>
  <c r="O35" i="7"/>
  <c r="AS35" i="7"/>
  <c r="O36" i="7"/>
  <c r="AD36" i="7"/>
  <c r="AS6" i="14"/>
  <c r="CC5" i="14"/>
  <c r="CJ6" i="14"/>
  <c r="CJ8" i="14"/>
  <c r="CD5" i="14"/>
  <c r="BY5" i="14"/>
  <c r="CI5" i="14"/>
  <c r="CG21" i="7"/>
  <c r="CG25" i="7"/>
  <c r="CG29" i="7"/>
  <c r="CG33" i="7"/>
  <c r="CH11" i="7"/>
  <c r="CH15" i="7"/>
  <c r="CH19" i="7"/>
  <c r="CH27" i="7"/>
  <c r="CH31" i="7"/>
  <c r="CH35" i="7"/>
  <c r="E18" i="16"/>
  <c r="E21" i="16"/>
  <c r="E7" i="16"/>
  <c r="AS5" i="14"/>
  <c r="B30" i="9"/>
  <c r="B6" i="9"/>
  <c r="D13" i="16"/>
  <c r="B27" i="9"/>
  <c r="B11" i="16"/>
  <c r="CJ5" i="14"/>
  <c r="D9" i="16"/>
  <c r="E6" i="16"/>
  <c r="D6" i="17"/>
  <c r="B6" i="17"/>
  <c r="B21" i="9"/>
  <c r="B15" i="9"/>
  <c r="B13" i="17"/>
  <c r="C20" i="17"/>
  <c r="E24" i="16"/>
  <c r="B8" i="17"/>
  <c r="C4" i="17"/>
  <c r="W5" i="7"/>
  <c r="B24" i="16"/>
  <c r="C11" i="18"/>
  <c r="B11" i="18"/>
  <c r="E26" i="16"/>
  <c r="B23" i="17"/>
  <c r="C20" i="16"/>
  <c r="C16" i="18"/>
  <c r="B16" i="18"/>
  <c r="B4" i="17"/>
  <c r="E23" i="16"/>
  <c r="AE27" i="7"/>
  <c r="B7" i="17"/>
  <c r="E10" i="16"/>
  <c r="B27" i="17"/>
  <c r="B22" i="17"/>
  <c r="O6" i="7"/>
  <c r="K5" i="7"/>
  <c r="C5" i="7"/>
  <c r="AB5" i="7"/>
  <c r="O8" i="7"/>
  <c r="U5" i="7"/>
  <c r="D30" i="16"/>
  <c r="C15" i="17"/>
  <c r="B15" i="17"/>
  <c r="CK27" i="14"/>
  <c r="CK24" i="14"/>
  <c r="B7" i="16"/>
  <c r="B19" i="16"/>
  <c r="B33" i="9"/>
  <c r="B32" i="17"/>
  <c r="C20" i="9"/>
  <c r="B9" i="17"/>
  <c r="G5" i="7"/>
  <c r="M5" i="7"/>
  <c r="E5" i="7"/>
  <c r="D20" i="18"/>
  <c r="C20" i="18"/>
  <c r="B20" i="18"/>
  <c r="C5" i="16"/>
  <c r="D34" i="17"/>
  <c r="B9" i="9"/>
  <c r="B31" i="16"/>
  <c r="C32" i="18"/>
  <c r="B32" i="18"/>
  <c r="B16" i="17"/>
  <c r="AC5" i="7"/>
  <c r="C10" i="16"/>
  <c r="C14" i="16"/>
  <c r="C30" i="17"/>
  <c r="C7" i="16"/>
  <c r="AE17" i="7"/>
  <c r="B20" i="16"/>
  <c r="N5" i="7"/>
  <c r="E4" i="16"/>
  <c r="I5" i="7"/>
  <c r="AR5" i="14"/>
  <c r="AD6" i="7"/>
  <c r="AS6" i="7"/>
  <c r="O7" i="7"/>
  <c r="AQ5" i="7"/>
  <c r="C8" i="16"/>
  <c r="D15" i="16"/>
  <c r="D23" i="16"/>
  <c r="D20" i="17"/>
  <c r="D30" i="17"/>
  <c r="D30" i="18"/>
  <c r="C30" i="18"/>
  <c r="B30" i="18"/>
  <c r="D31" i="18"/>
  <c r="C31" i="18"/>
  <c r="B31" i="18"/>
  <c r="P24" i="14"/>
  <c r="AR5" i="7"/>
  <c r="E5" i="16"/>
  <c r="CK17" i="14"/>
  <c r="C29" i="17"/>
  <c r="D33" i="17"/>
  <c r="B33" i="17"/>
  <c r="D5" i="18"/>
  <c r="C5" i="18"/>
  <c r="B5" i="18"/>
  <c r="C6" i="18"/>
  <c r="B6" i="18"/>
  <c r="B17" i="17"/>
  <c r="B14" i="17"/>
  <c r="P24" i="7"/>
  <c r="D17" i="16"/>
  <c r="C22" i="16"/>
  <c r="C34" i="16"/>
  <c r="D28" i="17"/>
  <c r="B28" i="17"/>
  <c r="D29" i="17"/>
  <c r="C34" i="17"/>
  <c r="D28" i="18"/>
  <c r="C28" i="18"/>
  <c r="B28" i="18"/>
  <c r="D29" i="18"/>
  <c r="C29" i="18"/>
  <c r="B29" i="18"/>
  <c r="CG8" i="7"/>
  <c r="CG12" i="7"/>
  <c r="B12" i="17"/>
  <c r="B11" i="17"/>
  <c r="B10" i="9"/>
  <c r="B26" i="16"/>
  <c r="B13" i="16"/>
  <c r="B13" i="9"/>
  <c r="O5" i="14"/>
  <c r="C2" i="15"/>
  <c r="D11" i="16"/>
  <c r="C13" i="16"/>
  <c r="C18" i="16"/>
  <c r="C29" i="16"/>
  <c r="CH7" i="7"/>
  <c r="CH23" i="7"/>
  <c r="D12" i="16"/>
  <c r="C27" i="18"/>
  <c r="B27" i="18"/>
  <c r="C21" i="18"/>
  <c r="B21" i="18"/>
  <c r="AM5" i="7"/>
  <c r="B10" i="17"/>
  <c r="E31" i="16"/>
  <c r="C12" i="16"/>
  <c r="C16" i="16"/>
  <c r="D18" i="16"/>
  <c r="C26" i="16"/>
  <c r="D24" i="16"/>
  <c r="H17" i="16"/>
  <c r="C17" i="16"/>
  <c r="B28" i="16"/>
  <c r="B28" i="9"/>
  <c r="BF5" i="14"/>
  <c r="B12" i="16"/>
  <c r="B10" i="16"/>
  <c r="B14" i="9"/>
  <c r="B12" i="9"/>
  <c r="B14" i="16"/>
  <c r="AZ5" i="7"/>
  <c r="B19" i="9"/>
  <c r="D4" i="9"/>
  <c r="AY5" i="7"/>
  <c r="BG5" i="14"/>
  <c r="AD5" i="7"/>
  <c r="B20" i="17"/>
  <c r="O5" i="7"/>
  <c r="B30" i="17"/>
  <c r="B34" i="17"/>
  <c r="AS5" i="7"/>
  <c r="B29" i="17"/>
</calcChain>
</file>

<file path=xl/sharedStrings.xml><?xml version="1.0" encoding="utf-8"?>
<sst xmlns="http://schemas.openxmlformats.org/spreadsheetml/2006/main" count="1060" uniqueCount="259">
  <si>
    <t>Bánh Đa Shop cơ sở 1</t>
  </si>
  <si>
    <t>Bánh Bao Shop CS1</t>
  </si>
  <si>
    <t>Bánh Cuốn Shop CS1</t>
  </si>
  <si>
    <t>Bánh Đa Shop CS3</t>
  </si>
  <si>
    <t>Bánh Cuốn Shop CS3</t>
  </si>
  <si>
    <t>Bánh Đa Shop cơ sở 4</t>
  </si>
  <si>
    <t>Bánh Bao Shop CS4</t>
  </si>
  <si>
    <t>Shop</t>
  </si>
  <si>
    <t>HN</t>
  </si>
  <si>
    <t>Tỉnh</t>
  </si>
  <si>
    <t>Ngày</t>
  </si>
  <si>
    <t>Sáng</t>
  </si>
  <si>
    <t>Chiều</t>
  </si>
  <si>
    <t>Tổng doanh thu</t>
  </si>
  <si>
    <t>Tổng đơn hàng</t>
  </si>
  <si>
    <t>Ghi chú</t>
  </si>
  <si>
    <t>DT</t>
  </si>
  <si>
    <t>Đ</t>
  </si>
  <si>
    <t>Mã nhân viên</t>
  </si>
  <si>
    <t>Buổi</t>
  </si>
  <si>
    <t>Số đơn</t>
  </si>
  <si>
    <t>BDS - Shop</t>
  </si>
  <si>
    <t>BDS - Tỉnh</t>
  </si>
  <si>
    <t>BDS - HN</t>
  </si>
  <si>
    <t>BCS - Shop</t>
  </si>
  <si>
    <t>BCS - HN</t>
  </si>
  <si>
    <t>BCS - Tỉnh</t>
  </si>
  <si>
    <t>BBS - Shop</t>
  </si>
  <si>
    <t>BBS - HN</t>
  </si>
  <si>
    <t>BBS - Tỉnh</t>
  </si>
  <si>
    <t>ID</t>
  </si>
  <si>
    <t>BDS Shop</t>
  </si>
  <si>
    <t>BDS Tỉnh</t>
  </si>
  <si>
    <t>BDS HN</t>
  </si>
  <si>
    <t>BCS Shop</t>
  </si>
  <si>
    <t>BCS HN</t>
  </si>
  <si>
    <t>BCS Tỉnh</t>
  </si>
  <si>
    <t>BBS Shop</t>
  </si>
  <si>
    <t>BBS HN</t>
  </si>
  <si>
    <t>BBS Tỉnh</t>
  </si>
  <si>
    <t>Ca trực</t>
  </si>
  <si>
    <t>Doanh thu</t>
  </si>
  <si>
    <t>4handy - Doanh thu theo ngày CS1</t>
  </si>
  <si>
    <t>Ghi Chú</t>
  </si>
  <si>
    <t>Số đơn2</t>
  </si>
  <si>
    <t>Số đơn3</t>
  </si>
  <si>
    <t>Số đơn4</t>
  </si>
  <si>
    <t>Số đơn5</t>
  </si>
  <si>
    <t>Số đơn7</t>
  </si>
  <si>
    <t>Số đơn8</t>
  </si>
  <si>
    <t>Số đơn9</t>
  </si>
  <si>
    <t>4handy - Doanh thu theo ngày CS3</t>
  </si>
  <si>
    <t>4handy - Doanh thu theo ngày CS4</t>
  </si>
  <si>
    <t>Chú ý cho thu ngân:
- Sau khi trực điền vào form này trước 12h trưa ngày hôm sau.
- Tự đảm bảo file của mình không conflicted với người khác khi save vào dropbox.</t>
  </si>
  <si>
    <t>D23</t>
  </si>
  <si>
    <t>D16</t>
  </si>
  <si>
    <t>D09</t>
  </si>
  <si>
    <t>D19</t>
  </si>
  <si>
    <t>D13</t>
  </si>
  <si>
    <t>D18</t>
  </si>
  <si>
    <t>D03</t>
  </si>
  <si>
    <t>D15</t>
  </si>
  <si>
    <t>D05</t>
  </si>
  <si>
    <t>D25</t>
  </si>
  <si>
    <t>D17</t>
  </si>
  <si>
    <t>D22</t>
  </si>
  <si>
    <t>D21</t>
  </si>
  <si>
    <t>D08</t>
  </si>
  <si>
    <t>D20</t>
  </si>
  <si>
    <t>D04</t>
  </si>
  <si>
    <t>Bánh Đa Shop</t>
  </si>
  <si>
    <t>Bánh Bao Shop</t>
  </si>
  <si>
    <t>Bánh Cuốn Shop</t>
  </si>
  <si>
    <t>STT</t>
  </si>
  <si>
    <t>Nhóm</t>
  </si>
  <si>
    <t>Họ tên</t>
  </si>
  <si>
    <t>Mã số</t>
  </si>
  <si>
    <t>Vị trí công việc</t>
  </si>
  <si>
    <t>Năm sinh</t>
  </si>
  <si>
    <t>Số ĐT</t>
  </si>
  <si>
    <t>Email</t>
  </si>
  <si>
    <t>Link Facebook</t>
  </si>
  <si>
    <t>Bùi Thị Huyền Trang</t>
  </si>
  <si>
    <t>D01</t>
  </si>
  <si>
    <t>Trực ĐT</t>
  </si>
  <si>
    <t>oclengteng94@gmail.com</t>
  </si>
  <si>
    <t>https://www.facebook.com/oclee.lengteng</t>
  </si>
  <si>
    <t>Nguyễn Thu Thảo</t>
  </si>
  <si>
    <t>D02</t>
  </si>
  <si>
    <t>Trực ĐT &amp; Bán sỉ</t>
  </si>
  <si>
    <t>nthuthao2205@gmail.com</t>
  </si>
  <si>
    <t>https://www.facebook.com/thuthao.nguyen.142035</t>
  </si>
  <si>
    <t>Nguyễn Hương Quỳnh</t>
  </si>
  <si>
    <t>Thu ngân</t>
  </si>
  <si>
    <t>meoyeumua410@gmail.com</t>
  </si>
  <si>
    <t>https://www.facebook.com/meoyeumua.410</t>
  </si>
  <si>
    <t>Phạm Thị Minh Hiền</t>
  </si>
  <si>
    <t>phamhien81293@gmail.com</t>
  </si>
  <si>
    <t>https://www.facebook.com/moon.ngo.5477</t>
  </si>
  <si>
    <t>Võ Phương Anh</t>
  </si>
  <si>
    <t>Bán hàng</t>
  </si>
  <si>
    <t>G.zelos0@gmail.com</t>
  </si>
  <si>
    <t>Bùi Tuyết Nhung</t>
  </si>
  <si>
    <t>D07</t>
  </si>
  <si>
    <t>nhungneige95@gmail.com</t>
  </si>
  <si>
    <t>https://www.facebook.com/nhung.bui.796774</t>
  </si>
  <si>
    <t>Phạm Mai Huyền</t>
  </si>
  <si>
    <t>huyenphamk49@gmail.com</t>
  </si>
  <si>
    <t>https://www.facebook.com/keobanhmut</t>
  </si>
  <si>
    <t>Lương Kiều Oanh</t>
  </si>
  <si>
    <t>oanhluong0810@gmail.com</t>
  </si>
  <si>
    <t>Phạm Phương Dung</t>
  </si>
  <si>
    <t>D10</t>
  </si>
  <si>
    <t>Bán Hàng</t>
  </si>
  <si>
    <t>papuzu15@gmail.com</t>
  </si>
  <si>
    <t>https://www.facebook.com/mei.shinonome.3</t>
  </si>
  <si>
    <t>Trần Thị Minh Thủy</t>
  </si>
  <si>
    <t>D11</t>
  </si>
  <si>
    <t>seobmiulovebeast@gmail.com</t>
  </si>
  <si>
    <t>https://www.facebook.com/tran.thuy.73</t>
  </si>
  <si>
    <t>Hoàng Thị Phương Thảo</t>
  </si>
  <si>
    <t>D12</t>
  </si>
  <si>
    <t>thao.tytt@gmail.com</t>
  </si>
  <si>
    <t>https://www.facebook.com/tytt.thao?fref=ts</t>
  </si>
  <si>
    <t>Vũ Kim Anh</t>
  </si>
  <si>
    <t>Bán hàng &amp; Thu ngân</t>
  </si>
  <si>
    <t>kimanhvu1502@gmail.com</t>
  </si>
  <si>
    <t>https://www.facebook.com/kanhh93</t>
  </si>
  <si>
    <t>Bùi Ngọc Hà</t>
  </si>
  <si>
    <t>D14</t>
  </si>
  <si>
    <t>buingocha8793@gmail.com</t>
  </si>
  <si>
    <t>https://www.facebook.com/vu.vo.980</t>
  </si>
  <si>
    <t>Trần Nam Anh</t>
  </si>
  <si>
    <t>zuizui0910@gmail.com</t>
  </si>
  <si>
    <t>https://www.facebook.com/bim.gajinchuuriki</t>
  </si>
  <si>
    <t>Trần Phương Thảo</t>
  </si>
  <si>
    <t>thaothao0906@gmail.com</t>
  </si>
  <si>
    <t>Nguyễn Hương Giang</t>
  </si>
  <si>
    <t>tieulongnu612@gmail.com</t>
  </si>
  <si>
    <t>Tăng Hoài Duy</t>
  </si>
  <si>
    <t>doanhdoanh93@gmail.com</t>
  </si>
  <si>
    <t>https://www.facebook.com/hoaiduy.tang</t>
  </si>
  <si>
    <t>Đỗ Thu Thùy</t>
  </si>
  <si>
    <t>dothuthuydav.k39@gmail.com</t>
  </si>
  <si>
    <t>Phạm Uyển Trinh</t>
  </si>
  <si>
    <t>Thu Ngân</t>
  </si>
  <si>
    <t>uyentrinh.hanuer@gmail.com</t>
  </si>
  <si>
    <t>Nguyễn Linh Phương</t>
  </si>
  <si>
    <t>linhphuongham@gmail.com</t>
  </si>
  <si>
    <t>Phan Vân Anh</t>
  </si>
  <si>
    <t>pkan.van.ank@gmail.com</t>
  </si>
  <si>
    <t>Nguyễn Trần Phương Mai</t>
  </si>
  <si>
    <t>yunjoongiedbsk@gmail.com</t>
  </si>
  <si>
    <t>Trần Linh Chi</t>
  </si>
  <si>
    <t>D24</t>
  </si>
  <si>
    <t>tranlinhchisp@gmail.com</t>
  </si>
  <si>
    <t>Hồng</t>
  </si>
  <si>
    <t>hara.hetta1031@gmail.com</t>
  </si>
  <si>
    <t>Tên nhân viên</t>
  </si>
  <si>
    <t>BD</t>
  </si>
  <si>
    <t>cs1</t>
  </si>
  <si>
    <t>cs3</t>
  </si>
  <si>
    <t>cs4</t>
  </si>
  <si>
    <t>CS4</t>
  </si>
  <si>
    <t>CS3</t>
  </si>
  <si>
    <t>CS1</t>
  </si>
  <si>
    <t>Ship</t>
  </si>
  <si>
    <t>4handy - Doanh thu theo ngày bán buôn</t>
  </si>
  <si>
    <t>Buôn HN</t>
  </si>
  <si>
    <t>Buôn Tỉnh</t>
  </si>
  <si>
    <t>Buon - HN</t>
  </si>
  <si>
    <t>Buon - Tỉnh</t>
  </si>
  <si>
    <t>TI</t>
  </si>
  <si>
    <t>Buôn</t>
  </si>
  <si>
    <t xml:space="preserve">DT </t>
  </si>
  <si>
    <t>1-Chiều</t>
  </si>
  <si>
    <t>2-Sáng</t>
  </si>
  <si>
    <t>2-Chiều</t>
  </si>
  <si>
    <t>3-Sáng</t>
  </si>
  <si>
    <t>Mua nguyên liệu gato : 225k</t>
  </si>
  <si>
    <t>3-Chiều</t>
  </si>
  <si>
    <t>1-Sáng</t>
  </si>
  <si>
    <t>d19</t>
  </si>
  <si>
    <t>4-Sáng</t>
  </si>
  <si>
    <t>5-Chiều</t>
  </si>
  <si>
    <t>5-Sáng</t>
  </si>
  <si>
    <t>4-Chiều</t>
  </si>
  <si>
    <t>Gato Shop</t>
  </si>
  <si>
    <t>Gato - Shop</t>
  </si>
  <si>
    <t>Số đơn 6</t>
  </si>
  <si>
    <t>Số đơn 10</t>
  </si>
  <si>
    <t>6-Chiều</t>
  </si>
  <si>
    <t>6-Sáng</t>
  </si>
  <si>
    <t>7-Sáng</t>
  </si>
  <si>
    <t>Chi 100k tiền nước+24k túi bóng+20k freeship HN + 206k tiền ship tỉnh</t>
  </si>
  <si>
    <t>7-Chiều</t>
  </si>
  <si>
    <t>8-Sáng</t>
  </si>
  <si>
    <t>8-Chiều</t>
  </si>
  <si>
    <t>9-Sáng</t>
  </si>
  <si>
    <t>9-Chiều</t>
  </si>
  <si>
    <t>Mua nước bình: 100k</t>
  </si>
  <si>
    <t>10-Chiều</t>
  </si>
  <si>
    <t>chi 30k  nước rửa bát + 20k ship</t>
  </si>
  <si>
    <t>11-Sáng</t>
  </si>
  <si>
    <t>10-Sáng</t>
  </si>
  <si>
    <t>11-Chiều</t>
  </si>
  <si>
    <t>Chi 59k mua đồ Gato shop, 130k tiền túi</t>
  </si>
  <si>
    <t>12-Chiều</t>
  </si>
  <si>
    <t>12-Sáng</t>
  </si>
  <si>
    <t>13-Chiều</t>
  </si>
  <si>
    <t>13-Sáng</t>
  </si>
  <si>
    <t>14-Sáng</t>
  </si>
  <si>
    <t>14-Chiều</t>
  </si>
  <si>
    <t>15-Sáng</t>
  </si>
  <si>
    <t>15-Chiều</t>
  </si>
  <si>
    <t>16-Sáng</t>
  </si>
  <si>
    <t>Chi 180k tiền trứng,200k thẻ đt</t>
  </si>
  <si>
    <t>17-Chiều</t>
  </si>
  <si>
    <t>17-Sáng</t>
  </si>
  <si>
    <t>16-Chiều</t>
  </si>
  <si>
    <t>Chi tiền túi nilon : 180k</t>
  </si>
  <si>
    <t>18-Sáng</t>
  </si>
  <si>
    <t>Chi 180k tiền trứng, chi 215k tiền dầu ăn</t>
  </si>
  <si>
    <t>18-Chiều</t>
  </si>
  <si>
    <t>19-Sáng</t>
  </si>
  <si>
    <t>19-Chiều</t>
  </si>
  <si>
    <t>20-Chiều</t>
  </si>
  <si>
    <t>20-Sáng</t>
  </si>
  <si>
    <t>chi ship TI : 29k</t>
  </si>
  <si>
    <t>21-Chiều</t>
  </si>
  <si>
    <t>22-Sáng</t>
  </si>
  <si>
    <t>21-Sáng</t>
  </si>
  <si>
    <t>22-Chiều</t>
  </si>
  <si>
    <t>Chi: Trứng 50k, giấy nến 48k</t>
  </si>
  <si>
    <t>23-Sáng</t>
  </si>
  <si>
    <t>24-Sáng</t>
  </si>
  <si>
    <t>24-Chiều</t>
  </si>
  <si>
    <t>Chi 220k tiền trứng</t>
  </si>
  <si>
    <t>23-Chiều</t>
  </si>
  <si>
    <t>25-Sáng</t>
  </si>
  <si>
    <t>25-Chiều</t>
  </si>
  <si>
    <t>Chi 68k Gato shop, 285k tiền nước+ cược vỏ</t>
  </si>
  <si>
    <t>26-Chiều</t>
  </si>
  <si>
    <t>chi 36 ship ti</t>
  </si>
  <si>
    <t>26-Sáng</t>
  </si>
  <si>
    <t>Chi in menu : 10k,đơn HN : 73k</t>
  </si>
  <si>
    <t>Huỷ 1 đơn HN ngày 20/6 : 56k</t>
  </si>
  <si>
    <t>27-Sáng</t>
  </si>
  <si>
    <t>chi mua đồ Gato 30</t>
  </si>
  <si>
    <t>27-Chiều</t>
  </si>
  <si>
    <t>28-Chiều</t>
  </si>
  <si>
    <t>Chi tiền đt 200k</t>
  </si>
  <si>
    <t>28-Sáng</t>
  </si>
  <si>
    <t>29-Sáng</t>
  </si>
  <si>
    <t>chi tiền trứng : 30k</t>
  </si>
  <si>
    <t>29-Chiều</t>
  </si>
  <si>
    <t>30-Sáng</t>
  </si>
  <si>
    <t>30-Chiều</t>
  </si>
  <si>
    <t>D29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</si>
</sst>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color rgb="FFFFFFFF"/>
      <name val="Arial"/>
      <family val="2"/>
    </font>
    <font>
      <b/>
      <sz val="10"/>
      <color rgb="FFFFFFFF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3.2"/>
      <color rgb="FFFFFFFF"/>
      <name val="Arial"/>
      <family val="2"/>
    </font>
    <font>
      <b/>
      <sz val="10"/>
      <color rgb="FF000000"/>
      <name val="Arial"/>
      <family val="2"/>
    </font>
    <font>
      <sz val="10"/>
      <color theme="1"/>
      <name val="Arial"/>
      <family val="2"/>
    </font>
    <font>
      <u/>
      <sz val="11"/>
      <color theme="1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38761D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1155CC"/>
        <bgColor indexed="64"/>
      </patternFill>
    </fill>
    <fill>
      <patternFill patternType="solid">
        <fgColor rgb="FF274E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CFE2F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20124D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9" tint="-0.249977111117893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theme="1" tint="0.499984740745262"/>
      </bottom>
      <diagonal/>
    </border>
    <border>
      <left style="thin">
        <color indexed="23"/>
      </left>
      <right style="thin">
        <color indexed="23"/>
      </right>
      <top style="thin">
        <color theme="1" tint="0.499984740745262"/>
      </top>
      <bottom style="thin">
        <color indexed="23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n">
        <color indexed="23"/>
      </left>
      <right/>
      <top style="thin">
        <color theme="1" tint="0.499984740745262"/>
      </top>
      <bottom style="thin">
        <color indexed="23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auto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4" fillId="0" borderId="0" applyNumberFormat="0" applyFill="0" applyBorder="0" applyAlignment="0" applyProtection="0"/>
  </cellStyleXfs>
  <cellXfs count="186">
    <xf numFmtId="0" fontId="0" fillId="0" borderId="0" xfId="0"/>
    <xf numFmtId="0" fontId="3" fillId="0" borderId="1" xfId="0" applyFont="1" applyBorder="1" applyAlignment="1">
      <alignment wrapText="1"/>
    </xf>
    <xf numFmtId="0" fontId="4" fillId="2" borderId="1" xfId="0" applyFont="1" applyFill="1" applyBorder="1" applyAlignment="1">
      <alignment horizontal="center" wrapText="1"/>
    </xf>
    <xf numFmtId="0" fontId="4" fillId="6" borderId="1" xfId="0" applyFont="1" applyFill="1" applyBorder="1" applyAlignment="1">
      <alignment horizontal="center" wrapText="1"/>
    </xf>
    <xf numFmtId="0" fontId="3" fillId="6" borderId="1" xfId="0" applyFont="1" applyFill="1" applyBorder="1" applyAlignment="1">
      <alignment wrapText="1"/>
    </xf>
    <xf numFmtId="0" fontId="0" fillId="0" borderId="1" xfId="0" applyBorder="1" applyAlignment="1">
      <alignment wrapText="1"/>
    </xf>
    <xf numFmtId="0" fontId="6" fillId="7" borderId="1" xfId="0" applyFont="1" applyFill="1" applyBorder="1" applyAlignment="1">
      <alignment wrapText="1"/>
    </xf>
    <xf numFmtId="0" fontId="6" fillId="7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horizontal="center" wrapText="1"/>
    </xf>
    <xf numFmtId="0" fontId="7" fillId="8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wrapText="1"/>
    </xf>
    <xf numFmtId="0" fontId="6" fillId="9" borderId="1" xfId="0" applyFont="1" applyFill="1" applyBorder="1" applyAlignment="1">
      <alignment wrapText="1"/>
    </xf>
    <xf numFmtId="0" fontId="6" fillId="8" borderId="1" xfId="0" applyFont="1" applyFill="1" applyBorder="1" applyAlignment="1">
      <alignment wrapText="1"/>
    </xf>
    <xf numFmtId="0" fontId="6" fillId="10" borderId="1" xfId="0" applyFont="1" applyFill="1" applyBorder="1" applyAlignment="1">
      <alignment wrapText="1"/>
    </xf>
    <xf numFmtId="0" fontId="6" fillId="0" borderId="1" xfId="0" applyFont="1" applyBorder="1" applyAlignment="1">
      <alignment wrapText="1"/>
    </xf>
    <xf numFmtId="0" fontId="0" fillId="11" borderId="0" xfId="0" applyFill="1"/>
    <xf numFmtId="0" fontId="0" fillId="11" borderId="0" xfId="0" applyFill="1" applyAlignment="1">
      <alignment horizontal="right" indent="2"/>
    </xf>
    <xf numFmtId="0" fontId="0" fillId="11" borderId="0" xfId="0" applyFill="1" applyBorder="1"/>
    <xf numFmtId="0" fontId="0" fillId="11" borderId="4" xfId="0" applyFill="1" applyBorder="1"/>
    <xf numFmtId="0" fontId="0" fillId="11" borderId="0" xfId="0" applyFill="1" applyBorder="1" applyAlignment="1"/>
    <xf numFmtId="0" fontId="0" fillId="12" borderId="0" xfId="0" applyFill="1"/>
    <xf numFmtId="0" fontId="0" fillId="13" borderId="0" xfId="0" applyFill="1"/>
    <xf numFmtId="0" fontId="0" fillId="13" borderId="0" xfId="0" applyFill="1" applyAlignment="1">
      <alignment horizontal="right" indent="2"/>
    </xf>
    <xf numFmtId="0" fontId="0" fillId="13" borderId="0" xfId="0" applyFill="1" applyBorder="1"/>
    <xf numFmtId="0" fontId="2" fillId="11" borderId="0" xfId="0" applyFont="1" applyFill="1" applyAlignment="1">
      <alignment horizontal="right" indent="1"/>
    </xf>
    <xf numFmtId="0" fontId="2" fillId="11" borderId="0" xfId="0" applyFont="1" applyFill="1" applyAlignment="1">
      <alignment horizontal="right" vertical="center" indent="1"/>
    </xf>
    <xf numFmtId="0" fontId="2" fillId="11" borderId="0" xfId="0" applyFont="1" applyFill="1"/>
    <xf numFmtId="0" fontId="2" fillId="11" borderId="0" xfId="0" applyFont="1" applyFill="1" applyAlignment="1">
      <alignment horizontal="right" indent="2"/>
    </xf>
    <xf numFmtId="0" fontId="2" fillId="11" borderId="0" xfId="0" applyFont="1" applyFill="1" applyAlignment="1">
      <alignment horizontal="center"/>
    </xf>
    <xf numFmtId="0" fontId="2" fillId="11" borderId="4" xfId="0" applyFont="1" applyFill="1" applyBorder="1" applyAlignment="1">
      <alignment horizontal="center"/>
    </xf>
    <xf numFmtId="0" fontId="8" fillId="11" borderId="0" xfId="0" applyFont="1" applyFill="1" applyAlignment="1"/>
    <xf numFmtId="164" fontId="0" fillId="11" borderId="0" xfId="1" applyNumberFormat="1" applyFont="1" applyFill="1"/>
    <xf numFmtId="0" fontId="2" fillId="11" borderId="0" xfId="0" applyFont="1" applyFill="1" applyAlignment="1">
      <alignment horizontal="right" vertical="center" indent="2"/>
    </xf>
    <xf numFmtId="164" fontId="0" fillId="11" borderId="1" xfId="1" applyNumberFormat="1" applyFont="1" applyFill="1" applyBorder="1" applyAlignment="1">
      <alignment vertical="center"/>
    </xf>
    <xf numFmtId="0" fontId="0" fillId="11" borderId="1" xfId="0" applyFill="1" applyBorder="1" applyAlignment="1">
      <alignment vertical="center"/>
    </xf>
    <xf numFmtId="0" fontId="0" fillId="0" borderId="4" xfId="0" applyBorder="1"/>
    <xf numFmtId="0" fontId="0" fillId="11" borderId="5" xfId="0" applyFill="1" applyBorder="1"/>
    <xf numFmtId="0" fontId="0" fillId="0" borderId="7" xfId="0" applyBorder="1" applyAlignment="1">
      <alignment horizontal="center"/>
    </xf>
    <xf numFmtId="0" fontId="0" fillId="14" borderId="6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4" borderId="9" xfId="0" applyFill="1" applyBorder="1" applyAlignment="1">
      <alignment horizontal="center" vertical="center"/>
    </xf>
    <xf numFmtId="0" fontId="0" fillId="14" borderId="1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5" borderId="10" xfId="0" applyFill="1" applyBorder="1" applyAlignment="1">
      <alignment horizontal="center" vertical="center"/>
    </xf>
    <xf numFmtId="0" fontId="0" fillId="16" borderId="6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10" xfId="0" applyFill="1" applyBorder="1" applyAlignment="1">
      <alignment horizontal="center" vertical="center"/>
    </xf>
    <xf numFmtId="0" fontId="11" fillId="17" borderId="12" xfId="0" applyFont="1" applyFill="1" applyBorder="1" applyAlignment="1">
      <alignment horizontal="center" wrapText="1" readingOrder="1"/>
    </xf>
    <xf numFmtId="0" fontId="3" fillId="0" borderId="12" xfId="0" applyFont="1" applyBorder="1" applyAlignment="1">
      <alignment horizontal="right" wrapText="1"/>
    </xf>
    <xf numFmtId="0" fontId="12" fillId="0" borderId="12" xfId="0" applyFont="1" applyBorder="1" applyAlignment="1">
      <alignment horizontal="left" wrapText="1" readingOrder="1"/>
    </xf>
    <xf numFmtId="0" fontId="3" fillId="0" borderId="12" xfId="0" applyFont="1" applyBorder="1" applyAlignment="1">
      <alignment horizontal="center" wrapText="1" readingOrder="1"/>
    </xf>
    <xf numFmtId="0" fontId="3" fillId="0" borderId="12" xfId="0" applyFont="1" applyBorder="1" applyAlignment="1">
      <alignment horizontal="left" wrapText="1" readingOrder="1"/>
    </xf>
    <xf numFmtId="0" fontId="10" fillId="0" borderId="12" xfId="2" applyBorder="1" applyAlignment="1">
      <alignment horizontal="left" wrapText="1" readingOrder="1"/>
    </xf>
    <xf numFmtId="0" fontId="13" fillId="0" borderId="12" xfId="0" applyFont="1" applyBorder="1" applyAlignment="1">
      <alignment vertical="center" wrapText="1"/>
    </xf>
    <xf numFmtId="0" fontId="3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4" fillId="2" borderId="1" xfId="0" applyFont="1" applyFill="1" applyBorder="1" applyAlignment="1">
      <alignment horizontal="center" wrapText="1"/>
    </xf>
    <xf numFmtId="0" fontId="6" fillId="7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horizontal="center" wrapText="1"/>
    </xf>
    <xf numFmtId="0" fontId="0" fillId="19" borderId="1" xfId="0" applyFill="1" applyBorder="1" applyAlignment="1">
      <alignment wrapText="1"/>
    </xf>
    <xf numFmtId="0" fontId="3" fillId="19" borderId="1" xfId="0" applyFont="1" applyFill="1" applyBorder="1" applyAlignment="1">
      <alignment wrapText="1"/>
    </xf>
    <xf numFmtId="0" fontId="4" fillId="19" borderId="1" xfId="0" applyFont="1" applyFill="1" applyBorder="1" applyAlignment="1">
      <alignment horizontal="center" wrapText="1"/>
    </xf>
    <xf numFmtId="1" fontId="0" fillId="0" borderId="0" xfId="0" applyNumberFormat="1"/>
    <xf numFmtId="0" fontId="0" fillId="14" borderId="17" xfId="0" applyFill="1" applyBorder="1" applyAlignment="1">
      <alignment horizontal="center" vertical="center"/>
    </xf>
    <xf numFmtId="0" fontId="0" fillId="15" borderId="17" xfId="0" applyFill="1" applyBorder="1" applyAlignment="1">
      <alignment horizontal="center" vertical="center"/>
    </xf>
    <xf numFmtId="0" fontId="0" fillId="16" borderId="17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15" borderId="10" xfId="0" applyFill="1" applyBorder="1"/>
    <xf numFmtId="0" fontId="0" fillId="15" borderId="6" xfId="0" applyFill="1" applyBorder="1"/>
    <xf numFmtId="0" fontId="0" fillId="15" borderId="3" xfId="0" applyFill="1" applyBorder="1"/>
    <xf numFmtId="0" fontId="0" fillId="15" borderId="7" xfId="0" applyFill="1" applyBorder="1"/>
    <xf numFmtId="0" fontId="0" fillId="15" borderId="2" xfId="0" applyFill="1" applyBorder="1"/>
    <xf numFmtId="0" fontId="0" fillId="16" borderId="10" xfId="0" applyFill="1" applyBorder="1"/>
    <xf numFmtId="0" fontId="0" fillId="16" borderId="6" xfId="0" applyFill="1" applyBorder="1"/>
    <xf numFmtId="0" fontId="0" fillId="16" borderId="3" xfId="0" applyFill="1" applyBorder="1"/>
    <xf numFmtId="0" fontId="0" fillId="16" borderId="7" xfId="0" applyFill="1" applyBorder="1"/>
    <xf numFmtId="0" fontId="0" fillId="16" borderId="2" xfId="0" applyFill="1" applyBorder="1"/>
    <xf numFmtId="0" fontId="0" fillId="16" borderId="1" xfId="0" applyFill="1" applyBorder="1"/>
    <xf numFmtId="0" fontId="0" fillId="20" borderId="2" xfId="0" applyNumberFormat="1" applyFont="1" applyFill="1" applyBorder="1" applyAlignment="1"/>
    <xf numFmtId="0" fontId="0" fillId="20" borderId="3" xfId="0" applyNumberFormat="1" applyFont="1" applyFill="1" applyBorder="1" applyAlignment="1"/>
    <xf numFmtId="0" fontId="0" fillId="20" borderId="7" xfId="0" applyNumberFormat="1" applyFont="1" applyFill="1" applyBorder="1" applyAlignment="1"/>
    <xf numFmtId="0" fontId="0" fillId="0" borderId="1" xfId="0" applyNumberFormat="1" applyFont="1" applyFill="1" applyBorder="1" applyAlignment="1">
      <alignment horizontal="center"/>
    </xf>
    <xf numFmtId="0" fontId="0" fillId="20" borderId="6" xfId="0" applyNumberFormat="1" applyFont="1" applyFill="1" applyBorder="1" applyAlignment="1"/>
    <xf numFmtId="0" fontId="0" fillId="0" borderId="7" xfId="0" applyNumberFormat="1" applyFont="1" applyFill="1" applyBorder="1" applyAlignment="1">
      <alignment horizontal="center"/>
    </xf>
    <xf numFmtId="0" fontId="0" fillId="20" borderId="18" xfId="0" applyNumberFormat="1" applyFont="1" applyFill="1" applyBorder="1" applyAlignment="1">
      <alignment horizontal="center" vertical="center"/>
    </xf>
    <xf numFmtId="0" fontId="0" fillId="20" borderId="19" xfId="0" applyNumberFormat="1" applyFont="1" applyFill="1" applyBorder="1" applyAlignment="1"/>
    <xf numFmtId="0" fontId="0" fillId="0" borderId="20" xfId="0" applyNumberFormat="1" applyFont="1" applyFill="1" applyBorder="1" applyAlignment="1">
      <alignment horizontal="center"/>
    </xf>
    <xf numFmtId="0" fontId="0" fillId="20" borderId="19" xfId="0" applyNumberFormat="1" applyFont="1" applyFill="1" applyBorder="1" applyAlignment="1">
      <alignment horizontal="center" vertical="center"/>
    </xf>
    <xf numFmtId="0" fontId="0" fillId="16" borderId="19" xfId="0" applyNumberFormat="1" applyFont="1" applyFill="1" applyBorder="1" applyAlignment="1"/>
    <xf numFmtId="0" fontId="0" fillId="20" borderId="11" xfId="0" applyNumberFormat="1" applyFont="1" applyFill="1" applyBorder="1" applyAlignment="1"/>
    <xf numFmtId="0" fontId="0" fillId="20" borderId="24" xfId="0" applyNumberFormat="1" applyFont="1" applyFill="1" applyBorder="1" applyAlignment="1"/>
    <xf numFmtId="0" fontId="0" fillId="20" borderId="25" xfId="0" applyNumberFormat="1" applyFont="1" applyFill="1" applyBorder="1" applyAlignment="1"/>
    <xf numFmtId="0" fontId="0" fillId="20" borderId="26" xfId="0" applyNumberFormat="1" applyFont="1" applyFill="1" applyBorder="1" applyAlignment="1"/>
    <xf numFmtId="0" fontId="0" fillId="20" borderId="28" xfId="0" applyNumberFormat="1" applyFont="1" applyFill="1" applyBorder="1" applyAlignment="1"/>
    <xf numFmtId="0" fontId="0" fillId="20" borderId="29" xfId="0" applyNumberFormat="1" applyFont="1" applyFill="1" applyBorder="1" applyAlignment="1"/>
    <xf numFmtId="0" fontId="0" fillId="21" borderId="30" xfId="0" applyNumberFormat="1" applyFont="1" applyFill="1" applyBorder="1" applyAlignment="1"/>
    <xf numFmtId="0" fontId="0" fillId="20" borderId="30" xfId="0" applyNumberFormat="1" applyFont="1" applyFill="1" applyBorder="1" applyAlignment="1"/>
    <xf numFmtId="0" fontId="0" fillId="21" borderId="27" xfId="0" applyFill="1" applyBorder="1"/>
    <xf numFmtId="0" fontId="6" fillId="7" borderId="31" xfId="0" applyFont="1" applyFill="1" applyBorder="1" applyAlignment="1">
      <alignment horizontal="center" wrapText="1"/>
    </xf>
    <xf numFmtId="0" fontId="7" fillId="7" borderId="31" xfId="0" applyFont="1" applyFill="1" applyBorder="1" applyAlignment="1">
      <alignment horizontal="center" wrapText="1"/>
    </xf>
    <xf numFmtId="0" fontId="6" fillId="9" borderId="31" xfId="0" applyFont="1" applyFill="1" applyBorder="1" applyAlignment="1">
      <alignment wrapText="1"/>
    </xf>
    <xf numFmtId="0" fontId="6" fillId="0" borderId="31" xfId="0" applyFont="1" applyBorder="1" applyAlignment="1">
      <alignment wrapText="1"/>
    </xf>
    <xf numFmtId="0" fontId="0" fillId="21" borderId="35" xfId="0" applyFill="1" applyBorder="1"/>
    <xf numFmtId="0" fontId="0" fillId="21" borderId="36" xfId="0" applyFill="1" applyBorder="1"/>
    <xf numFmtId="0" fontId="0" fillId="9" borderId="32" xfId="0" applyFill="1" applyBorder="1"/>
    <xf numFmtId="0" fontId="2" fillId="7" borderId="32" xfId="0" applyFont="1" applyFill="1" applyBorder="1"/>
    <xf numFmtId="0" fontId="2" fillId="8" borderId="32" xfId="0" applyFont="1" applyFill="1" applyBorder="1"/>
    <xf numFmtId="0" fontId="0" fillId="0" borderId="0" xfId="0"/>
    <xf numFmtId="0" fontId="0" fillId="0" borderId="0" xfId="0"/>
    <xf numFmtId="0" fontId="7" fillId="7" borderId="1" xfId="0" applyFont="1" applyFill="1" applyBorder="1" applyAlignment="1">
      <alignment horizontal="center" wrapText="1"/>
    </xf>
    <xf numFmtId="0" fontId="0" fillId="0" borderId="0" xfId="0" applyNumberFormat="1"/>
    <xf numFmtId="0" fontId="0" fillId="11" borderId="1" xfId="0" applyFill="1" applyBorder="1" applyAlignment="1">
      <alignment horizontal="center"/>
    </xf>
    <xf numFmtId="0" fontId="0" fillId="0" borderId="0" xfId="0" applyFont="1"/>
    <xf numFmtId="0" fontId="0" fillId="11" borderId="1" xfId="0" applyFill="1" applyBorder="1" applyAlignment="1">
      <alignment horizontal="center"/>
    </xf>
    <xf numFmtId="0" fontId="8" fillId="11" borderId="0" xfId="0" applyFont="1" applyFill="1" applyAlignment="1">
      <alignment horizontal="center"/>
    </xf>
    <xf numFmtId="0" fontId="9" fillId="11" borderId="0" xfId="0" applyFont="1" applyFill="1" applyAlignment="1">
      <alignment horizontal="left" vertical="top" wrapText="1" indent="2"/>
    </xf>
    <xf numFmtId="0" fontId="0" fillId="11" borderId="0" xfId="0" applyFill="1" applyBorder="1" applyAlignment="1">
      <alignment horizontal="center"/>
    </xf>
    <xf numFmtId="0" fontId="8" fillId="11" borderId="0" xfId="0" applyFont="1" applyFill="1" applyAlignment="1">
      <alignment horizontal="center" vertical="center"/>
    </xf>
    <xf numFmtId="0" fontId="0" fillId="7" borderId="32" xfId="0" applyFill="1" applyBorder="1" applyAlignment="1">
      <alignment horizontal="center" vertical="center" wrapText="1"/>
    </xf>
    <xf numFmtId="0" fontId="0" fillId="7" borderId="32" xfId="0" applyFill="1" applyBorder="1" applyAlignment="1">
      <alignment horizontal="center" wrapText="1"/>
    </xf>
    <xf numFmtId="0" fontId="0" fillId="22" borderId="21" xfId="0" applyFill="1" applyBorder="1" applyAlignment="1">
      <alignment horizontal="center"/>
    </xf>
    <xf numFmtId="0" fontId="4" fillId="22" borderId="4" xfId="0" applyFont="1" applyFill="1" applyBorder="1" applyAlignment="1">
      <alignment horizontal="center" wrapText="1"/>
    </xf>
    <xf numFmtId="0" fontId="4" fillId="22" borderId="0" xfId="0" applyFont="1" applyFill="1" applyBorder="1" applyAlignment="1">
      <alignment horizontal="center" wrapText="1"/>
    </xf>
    <xf numFmtId="0" fontId="6" fillId="7" borderId="1" xfId="0" applyFont="1" applyFill="1" applyBorder="1" applyAlignment="1">
      <alignment horizontal="center" wrapText="1"/>
    </xf>
    <xf numFmtId="0" fontId="6" fillId="8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horizontal="center" wrapText="1"/>
    </xf>
    <xf numFmtId="0" fontId="4" fillId="3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wrapText="1"/>
    </xf>
    <xf numFmtId="0" fontId="0" fillId="0" borderId="31" xfId="0" applyBorder="1" applyAlignment="1">
      <alignment wrapText="1"/>
    </xf>
    <xf numFmtId="0" fontId="0" fillId="7" borderId="32" xfId="0" applyFill="1" applyBorder="1" applyAlignment="1">
      <alignment horizontal="center"/>
    </xf>
    <xf numFmtId="0" fontId="4" fillId="5" borderId="1" xfId="0" applyFont="1" applyFill="1" applyBorder="1" applyAlignment="1">
      <alignment horizontal="center" wrapText="1"/>
    </xf>
    <xf numFmtId="0" fontId="4" fillId="2" borderId="1" xfId="0" applyFont="1" applyFill="1" applyBorder="1" applyAlignment="1">
      <alignment horizontal="center" wrapText="1"/>
    </xf>
    <xf numFmtId="0" fontId="3" fillId="6" borderId="1" xfId="0" applyFont="1" applyFill="1" applyBorder="1" applyAlignment="1">
      <alignment wrapText="1"/>
    </xf>
    <xf numFmtId="0" fontId="0" fillId="0" borderId="1" xfId="0" applyBorder="1" applyAlignment="1">
      <alignment wrapText="1"/>
    </xf>
    <xf numFmtId="0" fontId="4" fillId="6" borderId="1" xfId="0" applyFont="1" applyFill="1" applyBorder="1" applyAlignment="1">
      <alignment horizontal="center" wrapText="1"/>
    </xf>
    <xf numFmtId="0" fontId="4" fillId="4" borderId="1" xfId="0" applyFont="1" applyFill="1" applyBorder="1" applyAlignment="1">
      <alignment horizontal="center" wrapText="1"/>
    </xf>
    <xf numFmtId="0" fontId="5" fillId="6" borderId="2" xfId="0" applyFont="1" applyFill="1" applyBorder="1" applyAlignment="1">
      <alignment horizontal="center" wrapText="1"/>
    </xf>
    <xf numFmtId="0" fontId="4" fillId="6" borderId="2" xfId="0" applyFont="1" applyFill="1" applyBorder="1" applyAlignment="1">
      <alignment horizontal="center" wrapText="1"/>
    </xf>
    <xf numFmtId="0" fontId="4" fillId="6" borderId="3" xfId="0" applyFont="1" applyFill="1" applyBorder="1" applyAlignment="1">
      <alignment horizontal="center" wrapText="1"/>
    </xf>
    <xf numFmtId="0" fontId="5" fillId="6" borderId="1" xfId="0" applyFont="1" applyFill="1" applyBorder="1" applyAlignment="1">
      <alignment horizontal="center" wrapText="1"/>
    </xf>
    <xf numFmtId="0" fontId="0" fillId="8" borderId="32" xfId="0" applyFill="1" applyBorder="1" applyAlignment="1">
      <alignment horizontal="center"/>
    </xf>
    <xf numFmtId="0" fontId="0" fillId="8" borderId="37" xfId="0" applyFill="1" applyBorder="1" applyAlignment="1">
      <alignment horizontal="center"/>
    </xf>
    <xf numFmtId="0" fontId="0" fillId="21" borderId="34" xfId="0" applyFill="1" applyBorder="1" applyAlignment="1">
      <alignment horizontal="center"/>
    </xf>
    <xf numFmtId="0" fontId="0" fillId="21" borderId="36" xfId="0" applyFill="1" applyBorder="1" applyAlignment="1">
      <alignment horizontal="center"/>
    </xf>
    <xf numFmtId="0" fontId="0" fillId="21" borderId="33" xfId="0" applyFill="1" applyBorder="1" applyAlignment="1">
      <alignment horizontal="center"/>
    </xf>
    <xf numFmtId="0" fontId="4" fillId="18" borderId="1" xfId="0" applyFont="1" applyFill="1" applyBorder="1" applyAlignment="1">
      <alignment horizontal="center" wrapText="1"/>
    </xf>
    <xf numFmtId="0" fontId="0" fillId="18" borderId="1" xfId="0" applyFill="1" applyBorder="1" applyAlignment="1">
      <alignment wrapText="1"/>
    </xf>
    <xf numFmtId="0" fontId="3" fillId="18" borderId="1" xfId="0" applyFont="1" applyFill="1" applyBorder="1" applyAlignment="1">
      <alignment wrapText="1"/>
    </xf>
    <xf numFmtId="0" fontId="4" fillId="2" borderId="7" xfId="0" applyFont="1" applyFill="1" applyBorder="1" applyAlignment="1">
      <alignment horizontal="center" wrapText="1"/>
    </xf>
    <xf numFmtId="0" fontId="4" fillId="2" borderId="2" xfId="0" applyFont="1" applyFill="1" applyBorder="1" applyAlignment="1">
      <alignment horizontal="center" wrapText="1"/>
    </xf>
    <xf numFmtId="0" fontId="4" fillId="2" borderId="3" xfId="0" applyFont="1" applyFill="1" applyBorder="1" applyAlignment="1">
      <alignment horizontal="center" wrapText="1"/>
    </xf>
    <xf numFmtId="0" fontId="4" fillId="19" borderId="1" xfId="0" applyFont="1" applyFill="1" applyBorder="1" applyAlignment="1">
      <alignment horizontal="center" wrapText="1"/>
    </xf>
    <xf numFmtId="0" fontId="5" fillId="19" borderId="1" xfId="0" applyFont="1" applyFill="1" applyBorder="1" applyAlignment="1">
      <alignment horizontal="center" wrapText="1"/>
    </xf>
    <xf numFmtId="0" fontId="3" fillId="19" borderId="1" xfId="0" applyFont="1" applyFill="1" applyBorder="1" applyAlignment="1">
      <alignment wrapText="1"/>
    </xf>
    <xf numFmtId="0" fontId="0" fillId="19" borderId="1" xfId="0" applyFill="1" applyBorder="1" applyAlignment="1">
      <alignment wrapText="1"/>
    </xf>
    <xf numFmtId="0" fontId="5" fillId="19" borderId="2" xfId="0" applyFont="1" applyFill="1" applyBorder="1" applyAlignment="1">
      <alignment horizontal="center" wrapText="1"/>
    </xf>
    <xf numFmtId="0" fontId="4" fillId="19" borderId="2" xfId="0" applyFont="1" applyFill="1" applyBorder="1" applyAlignment="1">
      <alignment horizontal="center" wrapText="1"/>
    </xf>
    <xf numFmtId="0" fontId="4" fillId="19" borderId="3" xfId="0" applyFont="1" applyFill="1" applyBorder="1" applyAlignment="1">
      <alignment horizontal="center" wrapText="1"/>
    </xf>
    <xf numFmtId="0" fontId="6" fillId="7" borderId="6" xfId="0" applyFont="1" applyFill="1" applyBorder="1" applyAlignment="1">
      <alignment horizontal="center" wrapText="1"/>
    </xf>
    <xf numFmtId="0" fontId="6" fillId="7" borderId="16" xfId="0" applyFont="1" applyFill="1" applyBorder="1" applyAlignment="1">
      <alignment horizontal="center" wrapText="1"/>
    </xf>
    <xf numFmtId="0" fontId="6" fillId="7" borderId="7" xfId="0" applyFont="1" applyFill="1" applyBorder="1" applyAlignment="1">
      <alignment horizontal="center" wrapText="1"/>
    </xf>
    <xf numFmtId="0" fontId="6" fillId="7" borderId="3" xfId="0" applyFont="1" applyFill="1" applyBorder="1" applyAlignment="1">
      <alignment horizontal="center" wrapText="1"/>
    </xf>
    <xf numFmtId="0" fontId="6" fillId="8" borderId="7" xfId="0" applyFont="1" applyFill="1" applyBorder="1" applyAlignment="1">
      <alignment horizontal="center" wrapText="1"/>
    </xf>
    <xf numFmtId="0" fontId="6" fillId="8" borderId="3" xfId="0" applyFont="1" applyFill="1" applyBorder="1" applyAlignment="1">
      <alignment horizontal="center" wrapText="1"/>
    </xf>
    <xf numFmtId="0" fontId="0" fillId="14" borderId="1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top"/>
    </xf>
    <xf numFmtId="0" fontId="0" fillId="0" borderId="11" xfId="0" applyBorder="1" applyAlignment="1">
      <alignment horizontal="center" vertical="top"/>
    </xf>
    <xf numFmtId="0" fontId="0" fillId="20" borderId="1" xfId="0" applyNumberFormat="1" applyFont="1" applyFill="1" applyBorder="1" applyAlignment="1">
      <alignment horizontal="center"/>
    </xf>
    <xf numFmtId="0" fontId="0" fillId="20" borderId="6" xfId="0" applyNumberFormat="1" applyFont="1" applyFill="1" applyBorder="1" applyAlignment="1">
      <alignment horizontal="center"/>
    </xf>
    <xf numFmtId="0" fontId="0" fillId="20" borderId="8" xfId="0" applyNumberFormat="1" applyFont="1" applyFill="1" applyBorder="1" applyAlignment="1">
      <alignment horizontal="center"/>
    </xf>
    <xf numFmtId="0" fontId="0" fillId="21" borderId="22" xfId="0" applyFill="1" applyBorder="1" applyAlignment="1">
      <alignment horizontal="center"/>
    </xf>
    <xf numFmtId="0" fontId="0" fillId="21" borderId="23" xfId="0" applyFill="1" applyBorder="1" applyAlignment="1">
      <alignment horizontal="center"/>
    </xf>
    <xf numFmtId="0" fontId="0" fillId="20" borderId="21" xfId="0" applyNumberFormat="1" applyFont="1" applyFill="1" applyBorder="1" applyAlignment="1">
      <alignment horizontal="center"/>
    </xf>
    <xf numFmtId="0" fontId="0" fillId="20" borderId="11" xfId="0" applyNumberFormat="1" applyFont="1" applyFill="1" applyBorder="1" applyAlignment="1">
      <alignment horizontal="center"/>
    </xf>
    <xf numFmtId="0" fontId="0" fillId="15" borderId="6" xfId="0" applyFill="1" applyBorder="1" applyAlignment="1">
      <alignment horizontal="center"/>
    </xf>
    <xf numFmtId="0" fontId="0" fillId="15" borderId="8" xfId="0" applyFill="1" applyBorder="1" applyAlignment="1">
      <alignment horizontal="center"/>
    </xf>
    <xf numFmtId="0" fontId="0" fillId="16" borderId="6" xfId="0" applyFill="1" applyBorder="1" applyAlignment="1">
      <alignment horizontal="center"/>
    </xf>
    <xf numFmtId="0" fontId="0" fillId="16" borderId="8" xfId="0" applyFill="1" applyBorder="1" applyAlignment="1">
      <alignment horizontal="center"/>
    </xf>
    <xf numFmtId="0" fontId="3" fillId="0" borderId="13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</cellXfs>
  <cellStyles count="4">
    <cellStyle name="Comma" xfId="1" builtinId="3"/>
    <cellStyle name="Followed Hyperlink" xfId="3" builtinId="9" hidden="1"/>
    <cellStyle name="Hyperlink" xfId="2" builtinId="8"/>
    <cellStyle name="Normal" xfId="0" builtinId="0"/>
  </cellStyles>
  <dxfs count="22">
    <dxf>
      <numFmt numFmtId="0" formatCode="General"/>
    </dxf>
    <dxf>
      <numFmt numFmtId="0" formatCode="General"/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fill>
        <patternFill>
          <bgColor rgb="FFFF0000"/>
        </patternFill>
      </fill>
    </dxf>
    <dxf>
      <numFmt numFmtId="0" formatCode="General"/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numFmt numFmtId="1" formatCode="0"/>
      <fill>
        <patternFill patternType="solid">
          <fgColor indexed="64"/>
          <bgColor theme="6" tint="0.79998168889431442"/>
        </patternFill>
      </fill>
    </dxf>
    <dxf>
      <numFmt numFmtId="1" formatCode="0"/>
      <fill>
        <patternFill patternType="solid">
          <fgColor indexed="64"/>
          <bgColor theme="6" tint="0.79998168889431442"/>
        </patternFill>
      </fill>
    </dxf>
    <dxf>
      <numFmt numFmtId="1" formatCode="0"/>
      <fill>
        <patternFill patternType="solid">
          <fgColor indexed="64"/>
          <bgColor theme="6" tint="0.79998168889431442"/>
        </patternFill>
      </fill>
      <border diagonalUp="0" diagonalDown="0">
        <left style="thin">
          <color indexed="64"/>
        </left>
        <right/>
        <top/>
        <bottom/>
        <vertical/>
        <horizontal/>
      </border>
    </dxf>
    <dxf>
      <numFmt numFmtId="1" formatCode="0"/>
    </dxf>
    <dxf>
      <numFmt numFmtId="1" formatCode="0"/>
    </dxf>
    <dxf>
      <numFmt numFmtId="1" formatCode="0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1" formatCode="0"/>
    </dxf>
    <dxf>
      <numFmt numFmtId="1" formatCode="0"/>
    </dxf>
    <dxf>
      <numFmt numFmtId="1" formatCode="0"/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FE2F3"/>
      <color rgb="FFFFFF00"/>
      <color rgb="FFFDE9D9"/>
      <color rgb="FF000000"/>
      <color rgb="FFCCFFFF"/>
      <color rgb="FFCCFFCC"/>
      <color rgb="FF009900"/>
      <color rgb="FF006600"/>
      <color rgb="FF003300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16</xdr:row>
          <xdr:rowOff>142875</xdr:rowOff>
        </xdr:from>
        <xdr:to>
          <xdr:col>4</xdr:col>
          <xdr:colOff>104775</xdr:colOff>
          <xdr:row>18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26</xdr:row>
          <xdr:rowOff>238125</xdr:rowOff>
        </xdr:from>
        <xdr:to>
          <xdr:col>4</xdr:col>
          <xdr:colOff>314325</xdr:colOff>
          <xdr:row>26</xdr:row>
          <xdr:rowOff>676275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16</xdr:row>
          <xdr:rowOff>142875</xdr:rowOff>
        </xdr:from>
        <xdr:to>
          <xdr:col>4</xdr:col>
          <xdr:colOff>104775</xdr:colOff>
          <xdr:row>18</xdr:row>
          <xdr:rowOff>47625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16</xdr:row>
          <xdr:rowOff>142875</xdr:rowOff>
        </xdr:from>
        <xdr:to>
          <xdr:col>4</xdr:col>
          <xdr:colOff>104775</xdr:colOff>
          <xdr:row>18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Nhập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4" name="BanBuon" displayName="BanBuon" ref="A1:F4" totalsRowShown="0">
  <autoFilter ref="A1:F4"/>
  <tableColumns count="6">
    <tableColumn id="2" name="Ngày"/>
    <tableColumn id="5" name="Buon - HN"/>
    <tableColumn id="6" name="Số đơn"/>
    <tableColumn id="9" name="Buon - Tỉnh"/>
    <tableColumn id="10" name="Số đơn2"/>
    <tableColumn id="11" name="Ghi Chú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CoSo1" displayName="CoSo1" ref="A1:Z62" totalsRowShown="0">
  <autoFilter ref="A1:Z62"/>
  <tableColumns count="26">
    <tableColumn id="1" name="ID" dataDxfId="20"/>
    <tableColumn id="2" name="Ngày"/>
    <tableColumn id="3" name="Buổi"/>
    <tableColumn id="4" name="Mã nhân viên"/>
    <tableColumn id="5" name="BDS - Shop" dataDxfId="19"/>
    <tableColumn id="6" name="Số đơn"/>
    <tableColumn id="9" name="BDS - HN" dataDxfId="18"/>
    <tableColumn id="10" name="Số đơn3"/>
    <tableColumn id="7" name="BDS - Tỉnh" dataDxfId="17"/>
    <tableColumn id="8" name="Số đơn2" dataDxfId="16"/>
    <tableColumn id="17" name="BBS - Shop" dataDxfId="15"/>
    <tableColumn id="18" name="Số đơn7" dataDxfId="14"/>
    <tableColumn id="19" name="BBS - HN" dataDxfId="13"/>
    <tableColumn id="20" name="Số đơn8"/>
    <tableColumn id="21" name="BBS - Tỉnh"/>
    <tableColumn id="22" name="Số đơn9"/>
    <tableColumn id="11" name="BCS - Shop" dataDxfId="12"/>
    <tableColumn id="12" name="Số đơn4" dataDxfId="11"/>
    <tableColumn id="13" name="BCS - HN" dataDxfId="10"/>
    <tableColumn id="14" name="Số đơn5" dataDxfId="9"/>
    <tableColumn id="15" name="BCS - Tỉnh" dataDxfId="8"/>
    <tableColumn id="16" name="Số đơn 6" dataDxfId="7"/>
    <tableColumn id="23" name="Gato - Shop"/>
    <tableColumn id="24" name="Số đơn 10" dataDxfId="6"/>
    <tableColumn id="26" name="Ghi chú"/>
    <tableColumn id="27" name="Tên nhân viên">
      <calculatedColumnFormula>VLOOKUP($D2,DSNhanVien!C:D,2)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CoSo3" displayName="CoSo3" ref="A1:J62" totalsRowShown="0">
  <autoFilter ref="A1:J62"/>
  <tableColumns count="10">
    <tableColumn id="1" name="ID" dataDxfId="4"/>
    <tableColumn id="2" name="Ngày"/>
    <tableColumn id="3" name="Buổi"/>
    <tableColumn id="4" name="Mã nhân viên"/>
    <tableColumn id="5" name="BDS - Shop"/>
    <tableColumn id="6" name="Số đơn"/>
    <tableColumn id="7" name="BCS - Shop"/>
    <tableColumn id="8" name="Số đơn2"/>
    <tableColumn id="9" name="Ghi Chú"/>
    <tableColumn id="10" name="Tên nhân viên" dataDxfId="3">
      <calculatedColumnFormula>VLOOKUP($D2,DSNhanVien!C:D,2)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CoSo4" displayName="CoSo4" ref="A1:J43" totalsRowShown="0">
  <autoFilter ref="A1:J43"/>
  <tableColumns count="10">
    <tableColumn id="1" name="ID" dataDxfId="1"/>
    <tableColumn id="2" name="Ngày"/>
    <tableColumn id="3" name="Buổi"/>
    <tableColumn id="4" name="Mã nhân viên"/>
    <tableColumn id="5" name="BDS - Shop"/>
    <tableColumn id="6" name="Số đơn"/>
    <tableColumn id="9" name="BBS - Shop"/>
    <tableColumn id="10" name="Số đơn2"/>
    <tableColumn id="11" name="Ghi Chú"/>
    <tableColumn id="7" name="Tên nhân viên" dataDxfId="0">
      <calculatedColumnFormula>VLOOKUP($D2,DSNhanVien!C:D,2)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google.com/url?q=https://www.facebook.com/tytt.thao%3Ffref%3Dts&amp;usd=2&amp;usg=ALhdy2-ase5xRS7M1G8Fje3UjqUi40W3IA" TargetMode="External"/><Relationship Id="rId3" Type="http://schemas.openxmlformats.org/officeDocument/2006/relationships/hyperlink" Target="https://www.google.com/url?q=https://www.facebook.com/meoyeumua.410&amp;usd=2&amp;usg=ALhdy28szR7OUlAJcWwbCEg8vhju7WwPeA" TargetMode="External"/><Relationship Id="rId7" Type="http://schemas.openxmlformats.org/officeDocument/2006/relationships/hyperlink" Target="https://www.google.com/url?q=https://www.facebook.com/tran.thuy.73&amp;usd=2&amp;usg=ALhdy28BPEi3zE-GAj9cSCkXP9CPFI1n8w" TargetMode="External"/><Relationship Id="rId2" Type="http://schemas.openxmlformats.org/officeDocument/2006/relationships/hyperlink" Target="https://www.google.com/url?q=https://www.facebook.com/thuthao.nguyen.142035&amp;usd=2&amp;usg=ALhdy2_7DXWpFNmZ7cLN_70-wik6qqPH0Q" TargetMode="External"/><Relationship Id="rId1" Type="http://schemas.openxmlformats.org/officeDocument/2006/relationships/hyperlink" Target="https://www.google.com/url?q=https://www.facebook.com/oclee.lengteng&amp;usd=2&amp;usg=ALhdy28Xx1QqshwIrt71pe2q8_WUo4JerA" TargetMode="External"/><Relationship Id="rId6" Type="http://schemas.openxmlformats.org/officeDocument/2006/relationships/hyperlink" Target="https://www.google.com/url?q=https://www.facebook.com/mei.shinonome.3&amp;usd=2&amp;usg=ALhdy2_0f-dELfR1smsWei2vRCZiXF7EjA" TargetMode="External"/><Relationship Id="rId11" Type="http://schemas.openxmlformats.org/officeDocument/2006/relationships/hyperlink" Target="https://www.google.com/url?q=https://www.facebook.com/bim.gajinchuuriki&amp;usd=2&amp;usg=ALhdy28NViO623BMW_PCkHF9RFOWbxVd_g" TargetMode="External"/><Relationship Id="rId5" Type="http://schemas.openxmlformats.org/officeDocument/2006/relationships/hyperlink" Target="https://www.google.com/url?q=https://www.facebook.com/keobanhmut&amp;usd=2&amp;usg=ALhdy29_fsEh84focvimD4BuUE2ac4pQDQ" TargetMode="External"/><Relationship Id="rId10" Type="http://schemas.openxmlformats.org/officeDocument/2006/relationships/hyperlink" Target="https://www.google.com/url?q=https://www.facebook.com/vu.vo.980&amp;usd=2&amp;usg=ALhdy29UqrJKuLtejic0LZ9_ytBEAM_e7Q" TargetMode="External"/><Relationship Id="rId4" Type="http://schemas.openxmlformats.org/officeDocument/2006/relationships/hyperlink" Target="https://www.google.com/url?q=https://www.facebook.com/moon.ngo.5477&amp;usd=2&amp;usg=ALhdy2-dzydTpxahebRFxUUhLChJE9ndqQ" TargetMode="External"/><Relationship Id="rId9" Type="http://schemas.openxmlformats.org/officeDocument/2006/relationships/hyperlink" Target="https://www.google.com/url?q=https://www.facebook.com/kanhh93&amp;usd=2&amp;usg=ALhdy29VXBZ85OVQCKUKsblUMGly-vzqJw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 enableFormatConditionsCalculation="0"/>
  <dimension ref="A1:I20"/>
  <sheetViews>
    <sheetView workbookViewId="0">
      <selection activeCell="K11" sqref="K11"/>
    </sheetView>
  </sheetViews>
  <sheetFormatPr defaultColWidth="8.85546875" defaultRowHeight="15" x14ac:dyDescent="0.25"/>
  <cols>
    <col min="1" max="1" width="2.140625" style="20" customWidth="1"/>
    <col min="2" max="2" width="3.42578125" style="20" customWidth="1"/>
    <col min="3" max="3" width="14.140625" style="20" customWidth="1"/>
    <col min="4" max="4" width="20.140625" style="20" customWidth="1"/>
    <col min="5" max="5" width="13.42578125" style="20" customWidth="1"/>
    <col min="6" max="6" width="2.85546875" style="20" customWidth="1"/>
    <col min="7" max="7" width="3.42578125" style="20" customWidth="1"/>
    <col min="8" max="16384" width="8.85546875" style="20"/>
  </cols>
  <sheetData>
    <row r="1" spans="1:9" x14ac:dyDescent="0.25">
      <c r="A1" s="21"/>
      <c r="B1" s="21"/>
      <c r="C1" s="21"/>
      <c r="D1" s="21"/>
      <c r="E1" s="21"/>
      <c r="F1" s="21"/>
      <c r="G1" s="21"/>
    </row>
    <row r="2" spans="1:9" ht="18.75" x14ac:dyDescent="0.3">
      <c r="A2" s="21"/>
      <c r="B2" s="116" t="s">
        <v>167</v>
      </c>
      <c r="C2" s="116"/>
      <c r="D2" s="116"/>
      <c r="E2" s="116"/>
      <c r="F2" s="116"/>
      <c r="G2" s="21"/>
    </row>
    <row r="3" spans="1:9" ht="51" customHeight="1" x14ac:dyDescent="0.3">
      <c r="A3" s="21"/>
      <c r="B3" s="15"/>
      <c r="C3" s="117" t="s">
        <v>53</v>
      </c>
      <c r="D3" s="117"/>
      <c r="E3" s="117"/>
      <c r="F3" s="30"/>
      <c r="G3" s="21"/>
    </row>
    <row r="4" spans="1:9" x14ac:dyDescent="0.25">
      <c r="A4" s="21"/>
      <c r="B4" s="15"/>
      <c r="C4" s="15"/>
      <c r="D4" s="15"/>
      <c r="E4" s="15"/>
      <c r="F4" s="15"/>
      <c r="G4" s="21"/>
    </row>
    <row r="5" spans="1:9" ht="7.5" customHeight="1" x14ac:dyDescent="0.25">
      <c r="A5" s="21"/>
      <c r="B5" s="15"/>
      <c r="C5" s="24"/>
      <c r="D5" s="118"/>
      <c r="E5" s="118"/>
      <c r="F5" s="19"/>
      <c r="G5" s="21"/>
    </row>
    <row r="6" spans="1:9" hidden="1" x14ac:dyDescent="0.25">
      <c r="A6" s="21"/>
      <c r="B6" s="15"/>
      <c r="C6" s="24"/>
      <c r="D6" s="19"/>
      <c r="E6" s="19"/>
      <c r="F6" s="19"/>
      <c r="G6" s="21"/>
    </row>
    <row r="7" spans="1:9" x14ac:dyDescent="0.25">
      <c r="A7" s="21"/>
      <c r="B7" s="15"/>
      <c r="C7" s="24" t="s">
        <v>10</v>
      </c>
      <c r="D7" s="115">
        <v>4</v>
      </c>
      <c r="E7" s="115"/>
      <c r="F7" s="19"/>
      <c r="G7" s="21"/>
    </row>
    <row r="8" spans="1:9" ht="10.5" customHeight="1" x14ac:dyDescent="0.25">
      <c r="A8" s="21"/>
      <c r="B8" s="15"/>
      <c r="C8" s="24"/>
      <c r="D8" s="19"/>
      <c r="E8" s="19"/>
      <c r="F8" s="19"/>
      <c r="G8" s="21"/>
    </row>
    <row r="9" spans="1:9" hidden="1" x14ac:dyDescent="0.25">
      <c r="A9" s="21"/>
      <c r="B9" s="15"/>
      <c r="C9" s="24"/>
      <c r="D9" s="118"/>
      <c r="E9" s="118"/>
      <c r="F9" s="19"/>
      <c r="G9" s="21"/>
      <c r="I9" s="20" t="s">
        <v>11</v>
      </c>
    </row>
    <row r="10" spans="1:9" hidden="1" x14ac:dyDescent="0.25">
      <c r="A10" s="21"/>
      <c r="B10" s="15"/>
      <c r="C10" s="24"/>
      <c r="D10" s="19"/>
      <c r="E10" s="19"/>
      <c r="F10" s="19"/>
      <c r="G10" s="21"/>
      <c r="I10" s="20" t="s">
        <v>12</v>
      </c>
    </row>
    <row r="11" spans="1:9" ht="37.5" customHeight="1" x14ac:dyDescent="0.25">
      <c r="A11" s="21"/>
      <c r="B11" s="15"/>
      <c r="C11" s="25" t="s">
        <v>15</v>
      </c>
      <c r="D11" s="115"/>
      <c r="E11" s="115"/>
      <c r="F11" s="19"/>
      <c r="G11" s="21"/>
    </row>
    <row r="12" spans="1:9" x14ac:dyDescent="0.25">
      <c r="A12" s="21"/>
      <c r="B12" s="15"/>
      <c r="C12" s="26"/>
      <c r="D12" s="15"/>
      <c r="E12" s="15"/>
      <c r="F12" s="15"/>
      <c r="G12" s="21"/>
    </row>
    <row r="13" spans="1:9" x14ac:dyDescent="0.25">
      <c r="A13" s="21"/>
      <c r="B13" s="15"/>
      <c r="C13" s="26"/>
      <c r="D13" s="28" t="s">
        <v>41</v>
      </c>
      <c r="E13" s="29" t="s">
        <v>20</v>
      </c>
      <c r="F13" s="15"/>
      <c r="G13" s="21"/>
    </row>
    <row r="14" spans="1:9" ht="21.95" customHeight="1" x14ac:dyDescent="0.25">
      <c r="A14" s="21"/>
      <c r="B14" s="15"/>
      <c r="C14" s="32" t="s">
        <v>168</v>
      </c>
      <c r="D14" s="33">
        <v>500</v>
      </c>
      <c r="E14" s="34">
        <v>1</v>
      </c>
      <c r="F14" s="15"/>
      <c r="G14" s="21"/>
    </row>
    <row r="15" spans="1:9" x14ac:dyDescent="0.25">
      <c r="A15" s="21"/>
      <c r="B15" s="15"/>
      <c r="C15" s="32"/>
      <c r="D15" s="31"/>
      <c r="E15" s="18"/>
      <c r="F15" s="15"/>
      <c r="G15" s="21"/>
    </row>
    <row r="16" spans="1:9" ht="21.95" customHeight="1" x14ac:dyDescent="0.25">
      <c r="A16" s="21"/>
      <c r="B16" s="15"/>
      <c r="C16" s="32" t="s">
        <v>169</v>
      </c>
      <c r="D16" s="33">
        <v>0</v>
      </c>
      <c r="E16" s="34">
        <v>0</v>
      </c>
      <c r="F16" s="15"/>
      <c r="G16" s="21"/>
    </row>
    <row r="17" spans="1:7" x14ac:dyDescent="0.25">
      <c r="A17" s="21"/>
      <c r="B17" s="15"/>
      <c r="C17" s="27"/>
      <c r="D17" s="17"/>
      <c r="E17" s="17"/>
      <c r="F17" s="15"/>
      <c r="G17" s="21"/>
    </row>
    <row r="18" spans="1:7" x14ac:dyDescent="0.25">
      <c r="A18" s="21"/>
      <c r="B18" s="15"/>
      <c r="C18" s="16"/>
      <c r="D18" s="17"/>
      <c r="E18" s="17"/>
      <c r="F18" s="15"/>
      <c r="G18" s="21"/>
    </row>
    <row r="19" spans="1:7" x14ac:dyDescent="0.25">
      <c r="A19" s="21"/>
      <c r="B19" s="15"/>
      <c r="C19" s="16"/>
      <c r="D19" s="17"/>
      <c r="E19" s="17"/>
      <c r="F19" s="15"/>
      <c r="G19" s="21"/>
    </row>
    <row r="20" spans="1:7" x14ac:dyDescent="0.25">
      <c r="A20" s="21"/>
      <c r="B20" s="21"/>
      <c r="C20" s="22"/>
      <c r="D20" s="23"/>
      <c r="E20" s="23"/>
      <c r="F20" s="21"/>
      <c r="G20" s="21"/>
    </row>
  </sheetData>
  <sheetProtection sheet="1" objects="1" scenarios="1"/>
  <protectedRanges>
    <protectedRange sqref="D5 D7 D9 D11 D14:E14 D16:E16" name="Range1"/>
  </protectedRanges>
  <mergeCells count="6">
    <mergeCell ref="D11:E11"/>
    <mergeCell ref="B2:F2"/>
    <mergeCell ref="C3:E3"/>
    <mergeCell ref="D5:E5"/>
    <mergeCell ref="D7:E7"/>
    <mergeCell ref="D9:E9"/>
  </mergeCells>
  <dataValidations count="1">
    <dataValidation type="whole" allowBlank="1" showInputMessage="1" showErrorMessage="1" errorTitle="Nhập sai giá trị ngày" error="Nhập giá trị trong khoảng từ 1 đến 31" sqref="D7:E7">
      <formula1>1</formula1>
      <formula2>31</formula2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pySoLieuSheetBuon">
                <anchor moveWithCells="1" sizeWithCells="1">
                  <from>
                    <xdr:col>3</xdr:col>
                    <xdr:colOff>114300</xdr:colOff>
                    <xdr:row>16</xdr:row>
                    <xdr:rowOff>142875</xdr:rowOff>
                  </from>
                  <to>
                    <xdr:col>4</xdr:col>
                    <xdr:colOff>104775</xdr:colOff>
                    <xdr:row>18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I28"/>
  <sheetViews>
    <sheetView topLeftCell="A16" workbookViewId="0">
      <selection activeCell="E26" sqref="E26"/>
    </sheetView>
  </sheetViews>
  <sheetFormatPr defaultColWidth="8.85546875" defaultRowHeight="15" x14ac:dyDescent="0.25"/>
  <cols>
    <col min="1" max="1" width="2.140625" style="20" customWidth="1"/>
    <col min="2" max="2" width="3.42578125" style="20" customWidth="1"/>
    <col min="3" max="3" width="14.140625" style="20" customWidth="1"/>
    <col min="4" max="4" width="20.140625" style="20" customWidth="1"/>
    <col min="5" max="5" width="13.42578125" style="20" customWidth="1"/>
    <col min="6" max="6" width="2.85546875" style="20" customWidth="1"/>
    <col min="7" max="7" width="3.42578125" style="20" customWidth="1"/>
    <col min="8" max="16384" width="8.85546875" style="20"/>
  </cols>
  <sheetData>
    <row r="1" spans="1:9" x14ac:dyDescent="0.25">
      <c r="A1" s="21"/>
      <c r="B1" s="21"/>
      <c r="C1" s="21"/>
      <c r="D1" s="21"/>
      <c r="E1" s="21"/>
      <c r="F1" s="21"/>
      <c r="G1" s="21"/>
    </row>
    <row r="2" spans="1:9" ht="25.5" customHeight="1" x14ac:dyDescent="0.25">
      <c r="A2" s="21"/>
      <c r="B2" s="119" t="s">
        <v>42</v>
      </c>
      <c r="C2" s="119"/>
      <c r="D2" s="119"/>
      <c r="E2" s="119"/>
      <c r="F2" s="119"/>
      <c r="G2" s="21"/>
    </row>
    <row r="3" spans="1:9" ht="51" customHeight="1" x14ac:dyDescent="0.3">
      <c r="A3" s="21"/>
      <c r="B3" s="15"/>
      <c r="C3" s="117" t="s">
        <v>53</v>
      </c>
      <c r="D3" s="117"/>
      <c r="E3" s="117"/>
      <c r="F3" s="30"/>
      <c r="G3" s="21"/>
    </row>
    <row r="4" spans="1:9" ht="12" customHeight="1" x14ac:dyDescent="0.25">
      <c r="A4" s="21"/>
      <c r="B4" s="15"/>
      <c r="C4" s="15"/>
      <c r="D4" s="15"/>
      <c r="E4" s="15"/>
      <c r="F4" s="15"/>
      <c r="G4" s="21"/>
    </row>
    <row r="5" spans="1:9" x14ac:dyDescent="0.25">
      <c r="A5" s="21"/>
      <c r="B5" s="15"/>
      <c r="C5" s="24" t="s">
        <v>18</v>
      </c>
      <c r="D5" s="115" t="s">
        <v>258</v>
      </c>
      <c r="E5" s="115"/>
      <c r="F5" s="19"/>
      <c r="G5" s="21"/>
    </row>
    <row r="6" spans="1:9" x14ac:dyDescent="0.25">
      <c r="A6" s="21"/>
      <c r="B6" s="15"/>
      <c r="C6" s="24"/>
      <c r="D6" s="19"/>
      <c r="E6" s="19"/>
      <c r="F6" s="19"/>
      <c r="G6" s="21"/>
    </row>
    <row r="7" spans="1:9" x14ac:dyDescent="0.25">
      <c r="A7" s="21"/>
      <c r="B7" s="15"/>
      <c r="C7" s="24" t="s">
        <v>10</v>
      </c>
      <c r="D7" s="115">
        <v>30</v>
      </c>
      <c r="E7" s="115"/>
      <c r="F7" s="19"/>
      <c r="G7" s="21"/>
    </row>
    <row r="8" spans="1:9" x14ac:dyDescent="0.25">
      <c r="A8" s="21"/>
      <c r="B8" s="15"/>
      <c r="C8" s="24"/>
      <c r="D8" s="19"/>
      <c r="E8" s="19"/>
      <c r="F8" s="19"/>
      <c r="G8" s="21"/>
    </row>
    <row r="9" spans="1:9" x14ac:dyDescent="0.25">
      <c r="A9" s="21"/>
      <c r="B9" s="15"/>
      <c r="C9" s="24" t="s">
        <v>40</v>
      </c>
      <c r="D9" s="115" t="s">
        <v>11</v>
      </c>
      <c r="E9" s="115"/>
      <c r="F9" s="19"/>
      <c r="G9" s="21"/>
      <c r="I9" s="20" t="s">
        <v>11</v>
      </c>
    </row>
    <row r="10" spans="1:9" x14ac:dyDescent="0.25">
      <c r="A10" s="21"/>
      <c r="B10" s="15"/>
      <c r="C10" s="24"/>
      <c r="D10" s="19"/>
      <c r="E10" s="19"/>
      <c r="F10" s="19"/>
      <c r="G10" s="21"/>
      <c r="I10" s="20" t="s">
        <v>12</v>
      </c>
    </row>
    <row r="11" spans="1:9" ht="37.5" customHeight="1" x14ac:dyDescent="0.25">
      <c r="A11" s="21"/>
      <c r="B11" s="15"/>
      <c r="C11" s="25" t="s">
        <v>15</v>
      </c>
      <c r="D11" s="115"/>
      <c r="E11" s="115"/>
      <c r="F11" s="19"/>
      <c r="G11" s="21"/>
    </row>
    <row r="12" spans="1:9" x14ac:dyDescent="0.25">
      <c r="A12" s="21"/>
      <c r="B12" s="15"/>
      <c r="C12" s="26"/>
      <c r="D12" s="15"/>
      <c r="E12" s="15"/>
      <c r="F12" s="15"/>
      <c r="G12" s="21"/>
    </row>
    <row r="13" spans="1:9" x14ac:dyDescent="0.25">
      <c r="A13" s="21"/>
      <c r="B13" s="15"/>
      <c r="C13" s="26"/>
      <c r="D13" s="28" t="s">
        <v>41</v>
      </c>
      <c r="E13" s="29" t="s">
        <v>20</v>
      </c>
      <c r="F13" s="15"/>
      <c r="G13" s="21"/>
    </row>
    <row r="14" spans="1:9" ht="21.95" customHeight="1" x14ac:dyDescent="0.25">
      <c r="A14" s="21"/>
      <c r="B14" s="15"/>
      <c r="C14" s="32" t="s">
        <v>31</v>
      </c>
      <c r="D14" s="33">
        <v>704</v>
      </c>
      <c r="E14" s="34">
        <v>9</v>
      </c>
      <c r="F14" s="15"/>
      <c r="G14" s="21"/>
    </row>
    <row r="15" spans="1:9" ht="21.95" customHeight="1" x14ac:dyDescent="0.25">
      <c r="A15" s="21"/>
      <c r="B15" s="15"/>
      <c r="C15" s="32" t="s">
        <v>33</v>
      </c>
      <c r="D15" s="33">
        <v>0</v>
      </c>
      <c r="E15" s="34">
        <v>0</v>
      </c>
      <c r="F15" s="15"/>
      <c r="G15" s="21"/>
    </row>
    <row r="16" spans="1:9" ht="21.95" customHeight="1" x14ac:dyDescent="0.25">
      <c r="A16" s="21"/>
      <c r="B16" s="15"/>
      <c r="C16" s="32" t="s">
        <v>32</v>
      </c>
      <c r="D16" s="33"/>
      <c r="E16" s="34"/>
      <c r="F16" s="15"/>
      <c r="G16" s="21"/>
    </row>
    <row r="17" spans="1:7" x14ac:dyDescent="0.25">
      <c r="A17" s="21"/>
      <c r="B17" s="15"/>
      <c r="C17" s="32"/>
      <c r="D17" s="31"/>
      <c r="E17" s="18"/>
      <c r="F17" s="15"/>
      <c r="G17" s="21"/>
    </row>
    <row r="18" spans="1:7" ht="21.95" customHeight="1" x14ac:dyDescent="0.25">
      <c r="A18" s="21"/>
      <c r="B18" s="15"/>
      <c r="C18" s="32" t="s">
        <v>34</v>
      </c>
      <c r="D18" s="33">
        <v>0</v>
      </c>
      <c r="E18" s="34">
        <v>0</v>
      </c>
      <c r="F18" s="15"/>
      <c r="G18" s="21"/>
    </row>
    <row r="19" spans="1:7" ht="21.95" customHeight="1" x14ac:dyDescent="0.25">
      <c r="A19" s="21"/>
      <c r="B19" s="15"/>
      <c r="C19" s="32" t="s">
        <v>35</v>
      </c>
      <c r="D19" s="33">
        <v>0</v>
      </c>
      <c r="E19" s="34">
        <v>0</v>
      </c>
      <c r="F19" s="15"/>
      <c r="G19" s="21"/>
    </row>
    <row r="20" spans="1:7" ht="21.95" customHeight="1" x14ac:dyDescent="0.25">
      <c r="A20" s="21"/>
      <c r="B20" s="15"/>
      <c r="C20" s="32" t="s">
        <v>36</v>
      </c>
      <c r="D20" s="33">
        <v>0</v>
      </c>
      <c r="E20" s="34">
        <v>0</v>
      </c>
      <c r="F20" s="15"/>
      <c r="G20" s="21"/>
    </row>
    <row r="21" spans="1:7" x14ac:dyDescent="0.25">
      <c r="A21" s="21"/>
      <c r="B21" s="15"/>
      <c r="C21" s="32"/>
      <c r="D21" s="31"/>
      <c r="E21" s="18"/>
      <c r="F21" s="15"/>
      <c r="G21" s="21"/>
    </row>
    <row r="22" spans="1:7" ht="21.95" customHeight="1" x14ac:dyDescent="0.25">
      <c r="A22" s="21"/>
      <c r="B22" s="15"/>
      <c r="C22" s="32" t="s">
        <v>37</v>
      </c>
      <c r="D22" s="33">
        <v>0</v>
      </c>
      <c r="E22" s="34">
        <v>0</v>
      </c>
      <c r="F22" s="15"/>
      <c r="G22" s="21"/>
    </row>
    <row r="23" spans="1:7" ht="21.95" customHeight="1" x14ac:dyDescent="0.25">
      <c r="A23" s="21"/>
      <c r="B23" s="15"/>
      <c r="C23" s="32" t="s">
        <v>38</v>
      </c>
      <c r="D23" s="33">
        <v>0</v>
      </c>
      <c r="E23" s="34">
        <v>0</v>
      </c>
      <c r="F23" s="15"/>
      <c r="G23" s="21"/>
    </row>
    <row r="24" spans="1:7" ht="21.95" customHeight="1" x14ac:dyDescent="0.25">
      <c r="A24" s="21"/>
      <c r="B24" s="15"/>
      <c r="C24" s="32" t="s">
        <v>39</v>
      </c>
      <c r="D24" s="33">
        <v>0</v>
      </c>
      <c r="E24" s="34">
        <v>0</v>
      </c>
      <c r="F24" s="15"/>
      <c r="G24" s="21"/>
    </row>
    <row r="25" spans="1:7" x14ac:dyDescent="0.25">
      <c r="A25" s="21"/>
      <c r="B25" s="15"/>
      <c r="C25" s="27"/>
      <c r="D25" s="17"/>
      <c r="E25" s="36"/>
      <c r="F25" s="15"/>
      <c r="G25" s="21"/>
    </row>
    <row r="26" spans="1:7" x14ac:dyDescent="0.25">
      <c r="A26" s="21"/>
      <c r="B26" s="15"/>
      <c r="C26" s="32" t="s">
        <v>187</v>
      </c>
      <c r="D26" s="33">
        <v>0</v>
      </c>
      <c r="E26" s="34">
        <v>0</v>
      </c>
      <c r="F26" s="15"/>
      <c r="G26" s="21"/>
    </row>
    <row r="27" spans="1:7" ht="44.25" customHeight="1" x14ac:dyDescent="0.25">
      <c r="A27" s="21"/>
      <c r="B27" s="15"/>
      <c r="C27" s="16"/>
      <c r="D27" s="17"/>
      <c r="E27" s="17"/>
      <c r="F27" s="15"/>
      <c r="G27" s="21"/>
    </row>
    <row r="28" spans="1:7" x14ac:dyDescent="0.25">
      <c r="A28" s="21"/>
      <c r="B28" s="21"/>
      <c r="C28" s="22"/>
      <c r="D28" s="23"/>
      <c r="E28" s="23"/>
      <c r="F28" s="21"/>
      <c r="G28" s="21"/>
    </row>
  </sheetData>
  <protectedRanges>
    <protectedRange sqref="D14:E16 D18:E20 D22:E24 D11 D9 D7 D5 D26:E26" name="Range1"/>
  </protectedRanges>
  <mergeCells count="6">
    <mergeCell ref="D11:E11"/>
    <mergeCell ref="C3:E3"/>
    <mergeCell ref="B2:F2"/>
    <mergeCell ref="D5:E5"/>
    <mergeCell ref="D7:E7"/>
    <mergeCell ref="D9:E9"/>
  </mergeCells>
  <dataValidations count="2">
    <dataValidation type="list" allowBlank="1" showInputMessage="1" showErrorMessage="1" sqref="D9:E9">
      <formula1>$I$9:$I$10</formula1>
    </dataValidation>
    <dataValidation type="whole" allowBlank="1" showInputMessage="1" showErrorMessage="1" errorTitle="Nhập sai giá trị ngày" error="Nhập giá trị trong khoảng từ 1 đến 31" sqref="D7:E7">
      <formula1>1</formula1>
      <formula2>31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CopySoLieuSheetCs1">
                <anchor moveWithCells="1" sizeWithCells="1">
                  <from>
                    <xdr:col>3</xdr:col>
                    <xdr:colOff>342900</xdr:colOff>
                    <xdr:row>26</xdr:row>
                    <xdr:rowOff>238125</xdr:rowOff>
                  </from>
                  <to>
                    <xdr:col>4</xdr:col>
                    <xdr:colOff>314325</xdr:colOff>
                    <xdr:row>26</xdr:row>
                    <xdr:rowOff>676275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I20"/>
  <sheetViews>
    <sheetView workbookViewId="0">
      <selection activeCell="D5" sqref="D5:E5"/>
    </sheetView>
  </sheetViews>
  <sheetFormatPr defaultColWidth="8.85546875" defaultRowHeight="15" x14ac:dyDescent="0.25"/>
  <cols>
    <col min="1" max="1" width="2.140625" style="20" customWidth="1"/>
    <col min="2" max="2" width="3.42578125" style="20" customWidth="1"/>
    <col min="3" max="3" width="14.140625" style="20" customWidth="1"/>
    <col min="4" max="4" width="20.140625" style="20" customWidth="1"/>
    <col min="5" max="5" width="13.42578125" style="20" customWidth="1"/>
    <col min="6" max="6" width="2.85546875" style="20" customWidth="1"/>
    <col min="7" max="7" width="3.42578125" style="20" customWidth="1"/>
    <col min="8" max="16384" width="8.85546875" style="20"/>
  </cols>
  <sheetData>
    <row r="1" spans="1:9" x14ac:dyDescent="0.25">
      <c r="A1" s="21"/>
      <c r="B1" s="21"/>
      <c r="C1" s="21"/>
      <c r="D1" s="21"/>
      <c r="E1" s="21"/>
      <c r="F1" s="21"/>
      <c r="G1" s="21"/>
    </row>
    <row r="2" spans="1:9" ht="18.75" x14ac:dyDescent="0.3">
      <c r="A2" s="21"/>
      <c r="B2" s="116" t="s">
        <v>51</v>
      </c>
      <c r="C2" s="116"/>
      <c r="D2" s="116"/>
      <c r="E2" s="116"/>
      <c r="F2" s="116"/>
      <c r="G2" s="21"/>
    </row>
    <row r="3" spans="1:9" ht="51" customHeight="1" x14ac:dyDescent="0.3">
      <c r="A3" s="21"/>
      <c r="B3" s="15"/>
      <c r="C3" s="117" t="s">
        <v>53</v>
      </c>
      <c r="D3" s="117"/>
      <c r="E3" s="117"/>
      <c r="F3" s="30"/>
      <c r="G3" s="21"/>
    </row>
    <row r="4" spans="1:9" x14ac:dyDescent="0.25">
      <c r="A4" s="21"/>
      <c r="B4" s="15"/>
      <c r="C4" s="15"/>
      <c r="D4" s="15"/>
      <c r="E4" s="15"/>
      <c r="F4" s="15"/>
      <c r="G4" s="21"/>
    </row>
    <row r="5" spans="1:9" x14ac:dyDescent="0.25">
      <c r="A5" s="21"/>
      <c r="B5" s="15"/>
      <c r="C5" s="24" t="s">
        <v>18</v>
      </c>
      <c r="D5" s="115" t="s">
        <v>58</v>
      </c>
      <c r="E5" s="115"/>
      <c r="F5" s="19"/>
      <c r="G5" s="21"/>
    </row>
    <row r="6" spans="1:9" x14ac:dyDescent="0.25">
      <c r="A6" s="21"/>
      <c r="B6" s="15"/>
      <c r="C6" s="24"/>
      <c r="D6" s="19"/>
      <c r="E6" s="19"/>
      <c r="F6" s="19"/>
      <c r="G6" s="21"/>
    </row>
    <row r="7" spans="1:9" x14ac:dyDescent="0.25">
      <c r="A7" s="21"/>
      <c r="B7" s="15"/>
      <c r="C7" s="24" t="s">
        <v>10</v>
      </c>
      <c r="D7" s="115">
        <v>30</v>
      </c>
      <c r="E7" s="115"/>
      <c r="F7" s="19"/>
      <c r="G7" s="21"/>
    </row>
    <row r="8" spans="1:9" x14ac:dyDescent="0.25">
      <c r="A8" s="21"/>
      <c r="B8" s="15"/>
      <c r="C8" s="24"/>
      <c r="D8" s="19"/>
      <c r="E8" s="19"/>
      <c r="F8" s="19"/>
      <c r="G8" s="21"/>
    </row>
    <row r="9" spans="1:9" x14ac:dyDescent="0.25">
      <c r="A9" s="21"/>
      <c r="B9" s="15"/>
      <c r="C9" s="24" t="s">
        <v>40</v>
      </c>
      <c r="D9" s="115" t="s">
        <v>12</v>
      </c>
      <c r="E9" s="115"/>
      <c r="F9" s="19"/>
      <c r="G9" s="21"/>
      <c r="I9" s="20" t="s">
        <v>11</v>
      </c>
    </row>
    <row r="10" spans="1:9" x14ac:dyDescent="0.25">
      <c r="A10" s="21"/>
      <c r="B10" s="15"/>
      <c r="C10" s="24"/>
      <c r="D10" s="19"/>
      <c r="E10" s="19"/>
      <c r="F10" s="19"/>
      <c r="G10" s="21"/>
      <c r="I10" s="20" t="s">
        <v>12</v>
      </c>
    </row>
    <row r="11" spans="1:9" ht="37.5" customHeight="1" x14ac:dyDescent="0.25">
      <c r="A11" s="21"/>
      <c r="B11" s="15"/>
      <c r="C11" s="25" t="s">
        <v>15</v>
      </c>
      <c r="D11" s="115"/>
      <c r="E11" s="115"/>
      <c r="F11" s="19"/>
      <c r="G11" s="21"/>
    </row>
    <row r="12" spans="1:9" x14ac:dyDescent="0.25">
      <c r="A12" s="21"/>
      <c r="B12" s="15"/>
      <c r="C12" s="26"/>
      <c r="D12" s="15"/>
      <c r="E12" s="15"/>
      <c r="F12" s="15"/>
      <c r="G12" s="21"/>
    </row>
    <row r="13" spans="1:9" x14ac:dyDescent="0.25">
      <c r="A13" s="21"/>
      <c r="B13" s="15"/>
      <c r="C13" s="26"/>
      <c r="D13" s="28" t="s">
        <v>41</v>
      </c>
      <c r="E13" s="29" t="s">
        <v>20</v>
      </c>
      <c r="F13" s="15"/>
      <c r="G13" s="21"/>
    </row>
    <row r="14" spans="1:9" ht="21.95" customHeight="1" x14ac:dyDescent="0.25">
      <c r="A14" s="21"/>
      <c r="B14" s="15"/>
      <c r="C14" s="32" t="s">
        <v>31</v>
      </c>
      <c r="D14" s="33">
        <v>465</v>
      </c>
      <c r="E14" s="34">
        <v>5</v>
      </c>
      <c r="F14" s="15"/>
      <c r="G14" s="21"/>
    </row>
    <row r="15" spans="1:9" x14ac:dyDescent="0.25">
      <c r="A15" s="21"/>
      <c r="B15" s="15"/>
      <c r="C15" s="32"/>
      <c r="D15" s="31"/>
      <c r="E15" s="18"/>
      <c r="F15" s="15"/>
      <c r="G15" s="21"/>
    </row>
    <row r="16" spans="1:9" ht="21.95" customHeight="1" x14ac:dyDescent="0.25">
      <c r="A16" s="21"/>
      <c r="B16" s="15"/>
      <c r="C16" s="32" t="s">
        <v>34</v>
      </c>
      <c r="D16" s="33">
        <v>0</v>
      </c>
      <c r="E16" s="34">
        <v>0</v>
      </c>
      <c r="F16" s="15"/>
      <c r="G16" s="21"/>
    </row>
    <row r="17" spans="1:7" x14ac:dyDescent="0.25">
      <c r="A17" s="21"/>
      <c r="B17" s="15"/>
      <c r="C17" s="27"/>
      <c r="D17" s="17"/>
      <c r="E17" s="17"/>
      <c r="F17" s="15"/>
      <c r="G17" s="21"/>
    </row>
    <row r="18" spans="1:7" x14ac:dyDescent="0.25">
      <c r="A18" s="21"/>
      <c r="B18" s="15"/>
      <c r="C18" s="16"/>
      <c r="D18" s="17"/>
      <c r="E18" s="17"/>
      <c r="F18" s="15"/>
      <c r="G18" s="21"/>
    </row>
    <row r="19" spans="1:7" x14ac:dyDescent="0.25">
      <c r="A19" s="21"/>
      <c r="B19" s="15"/>
      <c r="C19" s="16"/>
      <c r="D19" s="17"/>
      <c r="E19" s="17"/>
      <c r="F19" s="15"/>
      <c r="G19" s="21"/>
    </row>
    <row r="20" spans="1:7" x14ac:dyDescent="0.25">
      <c r="A20" s="21"/>
      <c r="B20" s="21"/>
      <c r="C20" s="22"/>
      <c r="D20" s="23"/>
      <c r="E20" s="23"/>
      <c r="F20" s="21"/>
      <c r="G20" s="21"/>
    </row>
  </sheetData>
  <sheetProtection sheet="1" objects="1" scenarios="1"/>
  <protectedRanges>
    <protectedRange sqref="D5 D7 D9 D11 D14 E14 D16 E16" name="Range1"/>
  </protectedRanges>
  <mergeCells count="6">
    <mergeCell ref="D11:E11"/>
    <mergeCell ref="B2:F2"/>
    <mergeCell ref="C3:E3"/>
    <mergeCell ref="D5:E5"/>
    <mergeCell ref="D7:E7"/>
    <mergeCell ref="D9:E9"/>
  </mergeCells>
  <dataValidations count="2">
    <dataValidation type="whole" allowBlank="1" showInputMessage="1" showErrorMessage="1" errorTitle="Nhập sai giá trị ngày" error="Nhập giá trị trong khoảng từ 1 đến 31" sqref="D7:E7">
      <formula1>1</formula1>
      <formula2>31</formula2>
    </dataValidation>
    <dataValidation type="list" allowBlank="1" showInputMessage="1" showErrorMessage="1" sqref="D9:E9">
      <formula1>$I$9:$I$10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CopySoLieuSheetCs3">
                <anchor moveWithCells="1" sizeWithCells="1">
                  <from>
                    <xdr:col>3</xdr:col>
                    <xdr:colOff>114300</xdr:colOff>
                    <xdr:row>16</xdr:row>
                    <xdr:rowOff>142875</xdr:rowOff>
                  </from>
                  <to>
                    <xdr:col>4</xdr:col>
                    <xdr:colOff>104775</xdr:colOff>
                    <xdr:row>18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I20"/>
  <sheetViews>
    <sheetView topLeftCell="A4" workbookViewId="0">
      <selection activeCell="D14" sqref="D14"/>
    </sheetView>
  </sheetViews>
  <sheetFormatPr defaultColWidth="8.85546875" defaultRowHeight="15" x14ac:dyDescent="0.25"/>
  <cols>
    <col min="1" max="1" width="2.42578125" style="20" customWidth="1"/>
    <col min="2" max="2" width="3.42578125" style="20" customWidth="1"/>
    <col min="3" max="3" width="14.140625" style="20" customWidth="1"/>
    <col min="4" max="4" width="20.140625" style="20" customWidth="1"/>
    <col min="5" max="5" width="13.42578125" style="20" customWidth="1"/>
    <col min="6" max="6" width="2.85546875" style="20" customWidth="1"/>
    <col min="7" max="7" width="3.42578125" style="20" customWidth="1"/>
    <col min="8" max="16384" width="8.85546875" style="20"/>
  </cols>
  <sheetData>
    <row r="1" spans="1:9" x14ac:dyDescent="0.25">
      <c r="A1" s="21"/>
      <c r="B1" s="21"/>
      <c r="C1" s="21"/>
      <c r="D1" s="21"/>
      <c r="E1" s="21"/>
      <c r="F1" s="21"/>
      <c r="G1" s="21"/>
    </row>
    <row r="2" spans="1:9" ht="18.75" x14ac:dyDescent="0.3">
      <c r="A2" s="21"/>
      <c r="B2" s="116" t="s">
        <v>52</v>
      </c>
      <c r="C2" s="116"/>
      <c r="D2" s="116"/>
      <c r="E2" s="116"/>
      <c r="F2" s="116"/>
      <c r="G2" s="21"/>
    </row>
    <row r="3" spans="1:9" ht="51" customHeight="1" x14ac:dyDescent="0.3">
      <c r="A3" s="21"/>
      <c r="B3" s="15"/>
      <c r="C3" s="117" t="s">
        <v>53</v>
      </c>
      <c r="D3" s="117"/>
      <c r="E3" s="117"/>
      <c r="F3" s="30"/>
      <c r="G3" s="21"/>
    </row>
    <row r="4" spans="1:9" x14ac:dyDescent="0.25">
      <c r="A4" s="21"/>
      <c r="B4" s="15"/>
      <c r="C4" s="15"/>
      <c r="D4" s="15"/>
      <c r="E4" s="15"/>
      <c r="F4" s="15"/>
      <c r="G4" s="21"/>
    </row>
    <row r="5" spans="1:9" x14ac:dyDescent="0.25">
      <c r="A5" s="21"/>
      <c r="B5" s="15"/>
      <c r="C5" s="24" t="s">
        <v>18</v>
      </c>
      <c r="D5" s="115" t="s">
        <v>68</v>
      </c>
      <c r="E5" s="115"/>
      <c r="F5" s="19"/>
      <c r="G5" s="21"/>
    </row>
    <row r="6" spans="1:9" x14ac:dyDescent="0.25">
      <c r="A6" s="21"/>
      <c r="B6" s="15"/>
      <c r="C6" s="24"/>
      <c r="D6" s="19"/>
      <c r="E6" s="19"/>
      <c r="F6" s="19"/>
      <c r="G6" s="21"/>
    </row>
    <row r="7" spans="1:9" x14ac:dyDescent="0.25">
      <c r="A7" s="21"/>
      <c r="B7" s="15"/>
      <c r="C7" s="24" t="s">
        <v>10</v>
      </c>
      <c r="D7" s="115">
        <v>19</v>
      </c>
      <c r="E7" s="115"/>
      <c r="F7" s="19"/>
      <c r="G7" s="21"/>
    </row>
    <row r="8" spans="1:9" x14ac:dyDescent="0.25">
      <c r="A8" s="21"/>
      <c r="B8" s="15"/>
      <c r="C8" s="24"/>
      <c r="D8" s="19"/>
      <c r="E8" s="19"/>
      <c r="F8" s="19"/>
      <c r="G8" s="21"/>
    </row>
    <row r="9" spans="1:9" x14ac:dyDescent="0.25">
      <c r="A9" s="21"/>
      <c r="B9" s="15"/>
      <c r="C9" s="24" t="s">
        <v>40</v>
      </c>
      <c r="D9" s="115" t="s">
        <v>11</v>
      </c>
      <c r="E9" s="115"/>
      <c r="F9" s="19"/>
      <c r="G9" s="21"/>
      <c r="I9" s="20" t="s">
        <v>11</v>
      </c>
    </row>
    <row r="10" spans="1:9" x14ac:dyDescent="0.25">
      <c r="A10" s="21"/>
      <c r="B10" s="15"/>
      <c r="C10" s="24"/>
      <c r="D10" s="19"/>
      <c r="E10" s="19"/>
      <c r="F10" s="19"/>
      <c r="G10" s="21"/>
      <c r="I10" s="20" t="s">
        <v>12</v>
      </c>
    </row>
    <row r="11" spans="1:9" ht="37.5" customHeight="1" x14ac:dyDescent="0.25">
      <c r="A11" s="21"/>
      <c r="B11" s="15"/>
      <c r="C11" s="25" t="s">
        <v>15</v>
      </c>
      <c r="D11" s="115"/>
      <c r="E11" s="115"/>
      <c r="F11" s="19"/>
      <c r="G11" s="21"/>
    </row>
    <row r="12" spans="1:9" x14ac:dyDescent="0.25">
      <c r="A12" s="21"/>
      <c r="B12" s="15"/>
      <c r="C12" s="26"/>
      <c r="D12" s="15"/>
      <c r="E12" s="15"/>
      <c r="F12" s="15"/>
      <c r="G12" s="21"/>
    </row>
    <row r="13" spans="1:9" x14ac:dyDescent="0.25">
      <c r="A13" s="21"/>
      <c r="B13" s="15"/>
      <c r="C13" s="26"/>
      <c r="D13" s="28" t="s">
        <v>41</v>
      </c>
      <c r="E13" s="29" t="s">
        <v>20</v>
      </c>
      <c r="F13" s="15"/>
      <c r="G13" s="21"/>
    </row>
    <row r="14" spans="1:9" ht="21.95" customHeight="1" x14ac:dyDescent="0.25">
      <c r="A14" s="21"/>
      <c r="B14" s="15"/>
      <c r="C14" s="32" t="s">
        <v>31</v>
      </c>
      <c r="D14" s="33">
        <v>98</v>
      </c>
      <c r="E14" s="34">
        <v>3</v>
      </c>
      <c r="F14" s="15"/>
      <c r="G14" s="21"/>
    </row>
    <row r="15" spans="1:9" x14ac:dyDescent="0.25">
      <c r="A15" s="21"/>
      <c r="B15" s="15"/>
      <c r="C15" s="32"/>
      <c r="D15" s="31"/>
      <c r="E15" s="18"/>
      <c r="F15" s="15"/>
      <c r="G15" s="21"/>
    </row>
    <row r="16" spans="1:9" ht="21.95" customHeight="1" x14ac:dyDescent="0.25">
      <c r="A16" s="21"/>
      <c r="B16" s="15"/>
      <c r="C16" s="32" t="s">
        <v>37</v>
      </c>
      <c r="D16" s="33">
        <v>0</v>
      </c>
      <c r="E16" s="34">
        <v>0</v>
      </c>
      <c r="F16" s="15"/>
      <c r="G16" s="21"/>
    </row>
    <row r="17" spans="1:7" x14ac:dyDescent="0.25">
      <c r="A17" s="21"/>
      <c r="B17" s="15"/>
      <c r="C17" s="27"/>
      <c r="D17" s="17"/>
      <c r="E17" s="17"/>
      <c r="F17" s="15"/>
      <c r="G17" s="21"/>
    </row>
    <row r="18" spans="1:7" x14ac:dyDescent="0.25">
      <c r="A18" s="21"/>
      <c r="B18" s="15"/>
      <c r="C18" s="16"/>
      <c r="D18" s="17"/>
      <c r="E18" s="17"/>
      <c r="F18" s="15"/>
      <c r="G18" s="21"/>
    </row>
    <row r="19" spans="1:7" x14ac:dyDescent="0.25">
      <c r="A19" s="21"/>
      <c r="B19" s="15"/>
      <c r="C19" s="16"/>
      <c r="D19" s="17"/>
      <c r="E19" s="17"/>
      <c r="F19" s="15"/>
      <c r="G19" s="21"/>
    </row>
    <row r="20" spans="1:7" x14ac:dyDescent="0.25">
      <c r="A20" s="21"/>
      <c r="B20" s="21"/>
      <c r="C20" s="22"/>
      <c r="D20" s="23"/>
      <c r="E20" s="23"/>
      <c r="F20" s="21"/>
      <c r="G20" s="21"/>
    </row>
  </sheetData>
  <sheetProtection sheet="1" objects="1" scenarios="1"/>
  <protectedRanges>
    <protectedRange sqref="E16 D16 D14:E14 D11 D9 D7 D5" name="Range1"/>
  </protectedRanges>
  <mergeCells count="6">
    <mergeCell ref="D11:E11"/>
    <mergeCell ref="B2:F2"/>
    <mergeCell ref="C3:E3"/>
    <mergeCell ref="D5:E5"/>
    <mergeCell ref="D7:E7"/>
    <mergeCell ref="D9:E9"/>
  </mergeCells>
  <dataValidations count="2">
    <dataValidation type="whole" allowBlank="1" showInputMessage="1" showErrorMessage="1" errorTitle="Nhập sai giá trị ngày" error="Nhập giá trị trong khoảng từ 1 đến 31" sqref="D7:E7">
      <formula1>1</formula1>
      <formula2>31</formula2>
    </dataValidation>
    <dataValidation type="list" allowBlank="1" showInputMessage="1" showErrorMessage="1" sqref="D9:E9">
      <formula1>$I$9:$I$10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CopySoLieuSheetCs4">
                <anchor moveWithCells="1" sizeWithCells="1">
                  <from>
                    <xdr:col>3</xdr:col>
                    <xdr:colOff>114300</xdr:colOff>
                    <xdr:row>16</xdr:row>
                    <xdr:rowOff>142875</xdr:rowOff>
                  </from>
                  <to>
                    <xdr:col>4</xdr:col>
                    <xdr:colOff>104775</xdr:colOff>
                    <xdr:row>18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/>
  <dimension ref="A1:F16"/>
  <sheetViews>
    <sheetView workbookViewId="0">
      <selection activeCell="A3" sqref="A3"/>
    </sheetView>
  </sheetViews>
  <sheetFormatPr defaultColWidth="8.85546875" defaultRowHeight="15" x14ac:dyDescent="0.25"/>
  <cols>
    <col min="2" max="2" width="12.42578125" customWidth="1"/>
    <col min="3" max="3" width="9.42578125" customWidth="1"/>
    <col min="4" max="4" width="12.42578125" customWidth="1"/>
    <col min="5" max="5" width="10.42578125" customWidth="1"/>
    <col min="6" max="6" width="14.28515625" customWidth="1"/>
  </cols>
  <sheetData>
    <row r="1" spans="1:6" x14ac:dyDescent="0.25">
      <c r="A1" t="s">
        <v>10</v>
      </c>
      <c r="B1" t="s">
        <v>170</v>
      </c>
      <c r="C1" t="s">
        <v>20</v>
      </c>
      <c r="D1" t="s">
        <v>171</v>
      </c>
      <c r="E1" t="s">
        <v>44</v>
      </c>
      <c r="F1" t="s">
        <v>43</v>
      </c>
    </row>
    <row r="2" spans="1:6" s="110" customFormat="1" x14ac:dyDescent="0.25">
      <c r="A2" s="110">
        <v>7</v>
      </c>
      <c r="B2" s="110">
        <v>500</v>
      </c>
      <c r="C2" s="110">
        <v>1</v>
      </c>
      <c r="D2" s="110">
        <v>0</v>
      </c>
      <c r="E2" s="110">
        <v>0</v>
      </c>
    </row>
    <row r="3" spans="1:6" s="110" customFormat="1" x14ac:dyDescent="0.25">
      <c r="A3" s="110">
        <v>4</v>
      </c>
      <c r="B3" s="110">
        <v>0</v>
      </c>
      <c r="C3" s="110">
        <v>0</v>
      </c>
      <c r="D3" s="110">
        <v>655</v>
      </c>
      <c r="E3" s="110">
        <v>1</v>
      </c>
    </row>
    <row r="4" spans="1:6" s="110" customFormat="1" x14ac:dyDescent="0.25">
      <c r="A4" s="110">
        <v>2</v>
      </c>
      <c r="B4" s="110">
        <v>175</v>
      </c>
      <c r="C4" s="110">
        <v>1</v>
      </c>
      <c r="D4" s="110">
        <v>0</v>
      </c>
      <c r="E4" s="110">
        <v>0</v>
      </c>
    </row>
    <row r="5" spans="1:6" s="110" customFormat="1" x14ac:dyDescent="0.25">
      <c r="A5"/>
      <c r="B5"/>
      <c r="C5"/>
      <c r="D5"/>
      <c r="E5"/>
      <c r="F5"/>
    </row>
    <row r="6" spans="1:6" s="110" customFormat="1" x14ac:dyDescent="0.25">
      <c r="A6"/>
      <c r="B6"/>
      <c r="C6"/>
      <c r="D6"/>
      <c r="E6"/>
      <c r="F6"/>
    </row>
    <row r="7" spans="1:6" s="110" customFormat="1" x14ac:dyDescent="0.25">
      <c r="A7"/>
      <c r="B7"/>
      <c r="C7"/>
      <c r="D7"/>
      <c r="E7"/>
      <c r="F7"/>
    </row>
    <row r="8" spans="1:6" s="110" customFormat="1" x14ac:dyDescent="0.25">
      <c r="A8"/>
      <c r="B8"/>
      <c r="C8"/>
      <c r="D8"/>
      <c r="E8"/>
      <c r="F8"/>
    </row>
    <row r="9" spans="1:6" s="110" customFormat="1" x14ac:dyDescent="0.25">
      <c r="A9"/>
      <c r="B9"/>
      <c r="C9"/>
      <c r="D9"/>
      <c r="E9"/>
      <c r="F9"/>
    </row>
    <row r="10" spans="1:6" s="110" customFormat="1" x14ac:dyDescent="0.25">
      <c r="A10"/>
      <c r="B10"/>
      <c r="C10"/>
      <c r="D10"/>
      <c r="E10"/>
      <c r="F10"/>
    </row>
    <row r="11" spans="1:6" s="110" customFormat="1" x14ac:dyDescent="0.25">
      <c r="A11"/>
      <c r="B11"/>
      <c r="C11"/>
      <c r="D11"/>
      <c r="E11"/>
      <c r="F11"/>
    </row>
    <row r="12" spans="1:6" s="110" customFormat="1" x14ac:dyDescent="0.25">
      <c r="A12"/>
      <c r="B12"/>
      <c r="C12"/>
      <c r="D12"/>
      <c r="E12"/>
      <c r="F12"/>
    </row>
    <row r="13" spans="1:6" s="110" customFormat="1" x14ac:dyDescent="0.25">
      <c r="A13"/>
      <c r="B13"/>
      <c r="C13"/>
      <c r="D13"/>
      <c r="E13"/>
      <c r="F13"/>
    </row>
    <row r="14" spans="1:6" s="110" customFormat="1" x14ac:dyDescent="0.25">
      <c r="A14"/>
      <c r="B14"/>
      <c r="C14"/>
      <c r="D14"/>
      <c r="E14"/>
      <c r="F14"/>
    </row>
    <row r="15" spans="1:6" s="110" customFormat="1" x14ac:dyDescent="0.25">
      <c r="A15"/>
      <c r="B15"/>
      <c r="C15"/>
      <c r="D15"/>
      <c r="E15"/>
      <c r="F15"/>
    </row>
    <row r="16" spans="1:6" s="110" customFormat="1" x14ac:dyDescent="0.25">
      <c r="A16"/>
      <c r="B16"/>
      <c r="C16"/>
      <c r="D16"/>
      <c r="E16"/>
      <c r="F16"/>
    </row>
  </sheetData>
  <pageMargins left="0.7" right="0.7" top="0.75" bottom="0.75" header="0.3" footer="0.3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 enableFormatConditionsCalculation="0"/>
  <dimension ref="A1:Z77"/>
  <sheetViews>
    <sheetView tabSelected="1" workbookViewId="0">
      <selection activeCell="G10" sqref="G10"/>
    </sheetView>
  </sheetViews>
  <sheetFormatPr defaultColWidth="8.85546875" defaultRowHeight="15" x14ac:dyDescent="0.25"/>
  <cols>
    <col min="4" max="4" width="14.85546875" customWidth="1"/>
    <col min="5" max="5" width="12.42578125" style="35" customWidth="1"/>
    <col min="6" max="6" width="9.42578125" customWidth="1"/>
    <col min="7" max="7" width="11.85546875" customWidth="1"/>
    <col min="9" max="9" width="10.85546875" customWidth="1"/>
    <col min="10" max="10" width="10.42578125" customWidth="1"/>
    <col min="11" max="11" width="8.85546875" style="35"/>
    <col min="17" max="17" width="12.42578125" style="35" customWidth="1"/>
    <col min="18" max="18" width="10.42578125" customWidth="1"/>
    <col min="19" max="19" width="12.42578125" customWidth="1"/>
    <col min="20" max="21" width="10.42578125" customWidth="1"/>
    <col min="22" max="22" width="11.42578125" customWidth="1"/>
    <col min="23" max="23" width="15.28515625" customWidth="1"/>
    <col min="24" max="24" width="12" customWidth="1"/>
    <col min="25" max="25" width="29.42578125" customWidth="1"/>
    <col min="26" max="26" width="24.28515625" customWidth="1"/>
    <col min="27" max="27" width="10.42578125" customWidth="1"/>
    <col min="28" max="28" width="11.85546875" customWidth="1"/>
    <col min="29" max="29" width="10.42578125" customWidth="1"/>
    <col min="30" max="30" width="9.85546875" customWidth="1"/>
  </cols>
  <sheetData>
    <row r="1" spans="1:26" x14ac:dyDescent="0.25">
      <c r="A1" t="s">
        <v>30</v>
      </c>
      <c r="B1" t="s">
        <v>10</v>
      </c>
      <c r="C1" t="s">
        <v>19</v>
      </c>
      <c r="D1" t="s">
        <v>18</v>
      </c>
      <c r="E1" s="35" t="s">
        <v>21</v>
      </c>
      <c r="F1" t="s">
        <v>20</v>
      </c>
      <c r="G1" t="s">
        <v>23</v>
      </c>
      <c r="H1" t="s">
        <v>45</v>
      </c>
      <c r="I1" t="s">
        <v>22</v>
      </c>
      <c r="J1" t="s">
        <v>44</v>
      </c>
      <c r="K1" s="35" t="s">
        <v>27</v>
      </c>
      <c r="L1" t="s">
        <v>48</v>
      </c>
      <c r="M1" t="s">
        <v>28</v>
      </c>
      <c r="N1" t="s">
        <v>49</v>
      </c>
      <c r="O1" t="s">
        <v>29</v>
      </c>
      <c r="P1" t="s">
        <v>50</v>
      </c>
      <c r="Q1" s="35" t="s">
        <v>24</v>
      </c>
      <c r="R1" t="s">
        <v>46</v>
      </c>
      <c r="S1" t="s">
        <v>25</v>
      </c>
      <c r="T1" t="s">
        <v>47</v>
      </c>
      <c r="U1" t="s">
        <v>26</v>
      </c>
      <c r="V1" t="s">
        <v>189</v>
      </c>
      <c r="W1" s="110" t="s">
        <v>188</v>
      </c>
      <c r="X1" t="s">
        <v>190</v>
      </c>
      <c r="Y1" t="s">
        <v>15</v>
      </c>
      <c r="Z1" t="s">
        <v>158</v>
      </c>
    </row>
    <row r="2" spans="1:26" s="110" customFormat="1" x14ac:dyDescent="0.25">
      <c r="A2" s="110" t="s">
        <v>256</v>
      </c>
      <c r="B2" s="110">
        <v>30</v>
      </c>
      <c r="C2" s="110" t="s">
        <v>11</v>
      </c>
      <c r="D2" s="110" t="s">
        <v>258</v>
      </c>
      <c r="E2" s="35">
        <v>704</v>
      </c>
      <c r="F2" s="110">
        <v>9</v>
      </c>
      <c r="G2" s="110">
        <v>0</v>
      </c>
      <c r="H2" s="110">
        <v>0</v>
      </c>
      <c r="K2" s="35">
        <v>0</v>
      </c>
      <c r="L2" s="110">
        <v>0</v>
      </c>
      <c r="M2" s="110">
        <v>0</v>
      </c>
      <c r="N2" s="110">
        <v>0</v>
      </c>
      <c r="O2" s="110">
        <v>0</v>
      </c>
      <c r="P2" s="110">
        <v>0</v>
      </c>
      <c r="Q2" s="35">
        <v>0</v>
      </c>
      <c r="R2" s="110">
        <v>0</v>
      </c>
      <c r="S2" s="110">
        <v>0</v>
      </c>
      <c r="T2" s="110">
        <v>0</v>
      </c>
      <c r="U2" s="110">
        <v>0</v>
      </c>
      <c r="V2" s="110">
        <v>0</v>
      </c>
      <c r="W2" s="110">
        <v>0</v>
      </c>
      <c r="X2" s="110">
        <v>0</v>
      </c>
      <c r="Z2" s="110" t="str">
        <f>VLOOKUP($D2,DSNhanVien!C:D,2)</f>
        <v>Hồng</v>
      </c>
    </row>
    <row r="3" spans="1:26" s="110" customFormat="1" x14ac:dyDescent="0.25">
      <c r="A3" s="110" t="s">
        <v>255</v>
      </c>
      <c r="B3" s="110">
        <v>29</v>
      </c>
      <c r="C3" s="110" t="s">
        <v>12</v>
      </c>
      <c r="D3" s="110" t="s">
        <v>63</v>
      </c>
      <c r="E3" s="35">
        <v>792</v>
      </c>
      <c r="F3" s="110">
        <v>13</v>
      </c>
      <c r="G3" s="110">
        <v>0</v>
      </c>
      <c r="H3" s="110">
        <v>0</v>
      </c>
      <c r="K3" s="35">
        <v>55</v>
      </c>
      <c r="L3" s="110">
        <v>1</v>
      </c>
      <c r="M3" s="110">
        <v>0</v>
      </c>
      <c r="N3" s="110">
        <v>0</v>
      </c>
      <c r="O3" s="110">
        <v>0</v>
      </c>
      <c r="P3" s="110">
        <v>0</v>
      </c>
      <c r="Q3" s="35">
        <v>0</v>
      </c>
      <c r="R3" s="110">
        <v>0</v>
      </c>
      <c r="S3" s="110">
        <v>0</v>
      </c>
      <c r="T3" s="110">
        <v>0</v>
      </c>
      <c r="U3" s="110">
        <v>0</v>
      </c>
      <c r="V3" s="110">
        <v>0</v>
      </c>
      <c r="W3" s="110">
        <v>586</v>
      </c>
      <c r="X3" s="110">
        <v>4</v>
      </c>
      <c r="Z3" s="110" t="str">
        <f>VLOOKUP($D3,DSNhanVien!C:D,2)</f>
        <v>Hồng</v>
      </c>
    </row>
    <row r="4" spans="1:26" s="110" customFormat="1" x14ac:dyDescent="0.25">
      <c r="A4" s="110" t="s">
        <v>249</v>
      </c>
      <c r="B4" s="110">
        <v>27</v>
      </c>
      <c r="C4" s="110" t="s">
        <v>12</v>
      </c>
      <c r="D4" s="110" t="s">
        <v>63</v>
      </c>
      <c r="E4" s="35">
        <v>319</v>
      </c>
      <c r="F4" s="110">
        <v>8</v>
      </c>
      <c r="G4" s="110">
        <v>172</v>
      </c>
      <c r="H4" s="110">
        <v>1</v>
      </c>
      <c r="K4" s="35">
        <v>0</v>
      </c>
      <c r="L4" s="110">
        <v>0</v>
      </c>
      <c r="M4" s="110">
        <v>0</v>
      </c>
      <c r="N4" s="110">
        <v>0</v>
      </c>
      <c r="O4" s="110">
        <v>0</v>
      </c>
      <c r="P4" s="110">
        <v>0</v>
      </c>
      <c r="Q4" s="35">
        <v>0</v>
      </c>
      <c r="R4" s="110">
        <v>0</v>
      </c>
      <c r="S4" s="110">
        <v>0</v>
      </c>
      <c r="T4" s="110">
        <v>0</v>
      </c>
      <c r="U4" s="110">
        <v>0</v>
      </c>
      <c r="V4" s="110">
        <v>0</v>
      </c>
      <c r="W4" s="110">
        <v>310</v>
      </c>
      <c r="X4" s="110">
        <v>2</v>
      </c>
      <c r="Z4" s="110" t="str">
        <f>VLOOKUP($D4,DSNhanVien!C:D,2)</f>
        <v>Hồng</v>
      </c>
    </row>
    <row r="5" spans="1:26" s="110" customFormat="1" x14ac:dyDescent="0.25">
      <c r="A5" s="110" t="s">
        <v>257</v>
      </c>
      <c r="B5" s="110">
        <v>30</v>
      </c>
      <c r="C5" s="110" t="s">
        <v>12</v>
      </c>
      <c r="D5" s="110" t="s">
        <v>56</v>
      </c>
      <c r="E5" s="35">
        <v>1194</v>
      </c>
      <c r="F5" s="110">
        <v>14</v>
      </c>
      <c r="G5" s="110">
        <v>365</v>
      </c>
      <c r="H5" s="110">
        <v>3</v>
      </c>
      <c r="I5" s="110">
        <v>434</v>
      </c>
      <c r="J5" s="110">
        <v>2</v>
      </c>
      <c r="K5" s="35">
        <v>0</v>
      </c>
      <c r="L5" s="110">
        <v>0</v>
      </c>
      <c r="M5" s="110">
        <v>0</v>
      </c>
      <c r="N5" s="110">
        <v>0</v>
      </c>
      <c r="O5" s="110">
        <v>0</v>
      </c>
      <c r="P5" s="110">
        <v>0</v>
      </c>
      <c r="Q5" s="35">
        <v>126</v>
      </c>
      <c r="R5" s="110">
        <v>2</v>
      </c>
      <c r="S5" s="110">
        <v>0</v>
      </c>
      <c r="T5" s="110">
        <v>0</v>
      </c>
      <c r="U5" s="110">
        <v>0</v>
      </c>
      <c r="V5" s="110">
        <v>0</v>
      </c>
      <c r="W5" s="110">
        <v>85</v>
      </c>
      <c r="X5" s="110">
        <v>1</v>
      </c>
      <c r="Z5" s="110" t="str">
        <f>VLOOKUP($D5,DSNhanVien!C:D,2)</f>
        <v>Lương Kiều Oanh</v>
      </c>
    </row>
    <row r="6" spans="1:26" s="110" customFormat="1" x14ac:dyDescent="0.25">
      <c r="A6" s="110" t="s">
        <v>253</v>
      </c>
      <c r="B6" s="110">
        <v>29</v>
      </c>
      <c r="C6" s="110" t="s">
        <v>11</v>
      </c>
      <c r="D6" s="110" t="s">
        <v>60</v>
      </c>
      <c r="E6" s="35">
        <v>540</v>
      </c>
      <c r="F6" s="110">
        <v>7</v>
      </c>
      <c r="G6" s="110">
        <v>0</v>
      </c>
      <c r="H6" s="110">
        <v>0</v>
      </c>
      <c r="I6" s="110">
        <v>0</v>
      </c>
      <c r="J6" s="110">
        <v>0</v>
      </c>
      <c r="K6" s="35">
        <v>0</v>
      </c>
      <c r="L6" s="110">
        <v>0</v>
      </c>
      <c r="M6" s="110">
        <v>0</v>
      </c>
      <c r="N6" s="110">
        <v>0</v>
      </c>
      <c r="O6" s="110">
        <v>0</v>
      </c>
      <c r="P6" s="110">
        <v>0</v>
      </c>
      <c r="Q6" s="35">
        <v>0</v>
      </c>
      <c r="R6" s="110">
        <v>0</v>
      </c>
      <c r="S6" s="110">
        <v>0</v>
      </c>
      <c r="T6" s="110">
        <v>0</v>
      </c>
      <c r="U6" s="110">
        <v>0</v>
      </c>
      <c r="V6" s="110">
        <v>0</v>
      </c>
      <c r="W6" s="110">
        <v>310</v>
      </c>
      <c r="X6" s="110">
        <v>2</v>
      </c>
      <c r="Y6" s="110" t="s">
        <v>237</v>
      </c>
      <c r="Z6" s="110" t="str">
        <f>VLOOKUP($D6,DSNhanVien!C:D,2)</f>
        <v>Nguyễn Hương Quỳnh</v>
      </c>
    </row>
    <row r="7" spans="1:26" s="110" customFormat="1" x14ac:dyDescent="0.25">
      <c r="A7" s="110" t="s">
        <v>250</v>
      </c>
      <c r="B7" s="110">
        <v>28</v>
      </c>
      <c r="C7" s="110" t="s">
        <v>12</v>
      </c>
      <c r="D7" s="110" t="s">
        <v>56</v>
      </c>
      <c r="E7" s="35">
        <v>1208</v>
      </c>
      <c r="F7" s="110">
        <v>16</v>
      </c>
      <c r="G7" s="110">
        <v>195</v>
      </c>
      <c r="H7" s="110">
        <v>2</v>
      </c>
      <c r="I7" s="110">
        <v>0</v>
      </c>
      <c r="J7" s="110">
        <v>0</v>
      </c>
      <c r="K7" s="35">
        <v>74</v>
      </c>
      <c r="L7" s="110">
        <v>1</v>
      </c>
      <c r="M7" s="110">
        <v>0</v>
      </c>
      <c r="N7" s="110">
        <v>0</v>
      </c>
      <c r="O7" s="110">
        <v>0</v>
      </c>
      <c r="P7" s="110">
        <v>0</v>
      </c>
      <c r="Q7" s="35">
        <v>0</v>
      </c>
      <c r="R7" s="110">
        <v>0</v>
      </c>
      <c r="S7" s="110">
        <v>0</v>
      </c>
      <c r="T7" s="110">
        <v>0</v>
      </c>
      <c r="U7" s="110">
        <v>0</v>
      </c>
      <c r="V7" s="110">
        <v>0</v>
      </c>
      <c r="W7" s="110">
        <v>815</v>
      </c>
      <c r="X7" s="110">
        <v>3</v>
      </c>
      <c r="Y7" s="110" t="s">
        <v>254</v>
      </c>
      <c r="Z7" s="110" t="str">
        <f>VLOOKUP($D7,DSNhanVien!C:D,2)</f>
        <v>Lương Kiều Oanh</v>
      </c>
    </row>
    <row r="8" spans="1:26" s="110" customFormat="1" x14ac:dyDescent="0.25">
      <c r="A8" s="110" t="s">
        <v>252</v>
      </c>
      <c r="B8" s="110">
        <v>28</v>
      </c>
      <c r="C8" s="110" t="s">
        <v>11</v>
      </c>
      <c r="D8" s="110" t="s">
        <v>11</v>
      </c>
      <c r="E8" s="35">
        <v>1014</v>
      </c>
      <c r="F8" s="110">
        <v>10</v>
      </c>
      <c r="G8" s="110">
        <v>0</v>
      </c>
      <c r="H8" s="110">
        <v>0</v>
      </c>
      <c r="I8" s="110">
        <v>0</v>
      </c>
      <c r="J8" s="110">
        <v>0</v>
      </c>
      <c r="K8" s="35">
        <v>0</v>
      </c>
      <c r="L8" s="110">
        <v>0</v>
      </c>
      <c r="M8" s="110">
        <v>0</v>
      </c>
      <c r="N8" s="110">
        <v>0</v>
      </c>
      <c r="O8" s="110">
        <v>0</v>
      </c>
      <c r="P8" s="110">
        <v>0</v>
      </c>
      <c r="Q8" s="35">
        <v>0</v>
      </c>
      <c r="R8" s="110">
        <v>0</v>
      </c>
      <c r="S8" s="110">
        <v>0</v>
      </c>
      <c r="T8" s="110">
        <v>0</v>
      </c>
      <c r="U8" s="110">
        <v>0</v>
      </c>
      <c r="V8" s="110">
        <v>0</v>
      </c>
      <c r="W8" s="110">
        <v>460</v>
      </c>
      <c r="X8" s="110">
        <v>3</v>
      </c>
      <c r="Y8" s="110" t="s">
        <v>251</v>
      </c>
      <c r="Z8" s="110" t="str">
        <f>VLOOKUP($D8,DSNhanVien!C:D,2)</f>
        <v>Hồng</v>
      </c>
    </row>
    <row r="9" spans="1:26" s="110" customFormat="1" x14ac:dyDescent="0.25">
      <c r="A9" s="110" t="s">
        <v>247</v>
      </c>
      <c r="B9" s="110">
        <v>27</v>
      </c>
      <c r="C9" s="110" t="s">
        <v>11</v>
      </c>
      <c r="D9" s="110" t="s">
        <v>83</v>
      </c>
      <c r="E9" s="35">
        <v>621</v>
      </c>
      <c r="F9" s="110">
        <v>9</v>
      </c>
      <c r="G9" s="110">
        <v>0</v>
      </c>
      <c r="H9" s="110">
        <v>0</v>
      </c>
      <c r="I9" s="110">
        <v>0</v>
      </c>
      <c r="J9" s="110">
        <v>0</v>
      </c>
      <c r="K9" s="35">
        <v>0</v>
      </c>
      <c r="L9" s="110">
        <v>0</v>
      </c>
      <c r="M9" s="110">
        <v>0</v>
      </c>
      <c r="N9" s="110">
        <v>0</v>
      </c>
      <c r="O9" s="110">
        <v>0</v>
      </c>
      <c r="P9" s="110">
        <v>0</v>
      </c>
      <c r="Q9" s="35">
        <v>0</v>
      </c>
      <c r="R9" s="110">
        <v>0</v>
      </c>
      <c r="S9" s="110">
        <v>0</v>
      </c>
      <c r="T9" s="110">
        <v>0</v>
      </c>
      <c r="U9" s="110">
        <v>0</v>
      </c>
      <c r="V9" s="110">
        <v>0</v>
      </c>
      <c r="W9" s="110">
        <v>379</v>
      </c>
      <c r="X9" s="110">
        <v>3</v>
      </c>
      <c r="Y9" s="110" t="s">
        <v>248</v>
      </c>
      <c r="Z9" s="110" t="str">
        <f>VLOOKUP($D9,DSNhanVien!C:D,2)</f>
        <v>Bùi Thị Huyền Trang</v>
      </c>
    </row>
    <row r="10" spans="1:26" s="110" customFormat="1" x14ac:dyDescent="0.25">
      <c r="A10" s="110" t="s">
        <v>242</v>
      </c>
      <c r="B10" s="110">
        <v>26</v>
      </c>
      <c r="C10" s="110" t="s">
        <v>12</v>
      </c>
      <c r="D10" s="110" t="s">
        <v>56</v>
      </c>
      <c r="E10" s="35">
        <v>1078</v>
      </c>
      <c r="F10" s="110">
        <v>16</v>
      </c>
      <c r="G10" s="110">
        <v>24</v>
      </c>
      <c r="H10" s="110">
        <v>1</v>
      </c>
      <c r="I10" s="110">
        <v>0</v>
      </c>
      <c r="J10" s="110">
        <v>0</v>
      </c>
      <c r="K10" s="35">
        <v>38</v>
      </c>
      <c r="L10" s="110">
        <v>1</v>
      </c>
      <c r="M10" s="110">
        <v>0</v>
      </c>
      <c r="N10" s="110">
        <v>0</v>
      </c>
      <c r="O10" s="110">
        <v>0</v>
      </c>
      <c r="P10" s="110">
        <v>0</v>
      </c>
      <c r="Q10" s="35">
        <v>90</v>
      </c>
      <c r="R10" s="110">
        <v>1</v>
      </c>
      <c r="S10" s="110">
        <v>0</v>
      </c>
      <c r="T10" s="110">
        <v>0</v>
      </c>
      <c r="U10" s="110">
        <v>0</v>
      </c>
      <c r="V10" s="110">
        <v>0</v>
      </c>
      <c r="W10" s="110">
        <v>524</v>
      </c>
      <c r="X10" s="110">
        <v>4</v>
      </c>
      <c r="Y10" s="110" t="s">
        <v>246</v>
      </c>
      <c r="Z10" s="110" t="str">
        <f>VLOOKUP($D10,DSNhanVien!C:D,2)</f>
        <v>Lương Kiều Oanh</v>
      </c>
    </row>
    <row r="11" spans="1:26" s="110" customFormat="1" x14ac:dyDescent="0.25">
      <c r="A11" s="110" t="s">
        <v>240</v>
      </c>
      <c r="B11" s="110">
        <v>25</v>
      </c>
      <c r="C11" s="110" t="s">
        <v>12</v>
      </c>
      <c r="D11" s="110" t="s">
        <v>56</v>
      </c>
      <c r="E11" s="35">
        <v>1011</v>
      </c>
      <c r="F11" s="110">
        <v>17</v>
      </c>
      <c r="G11" s="110">
        <v>73</v>
      </c>
      <c r="H11" s="110">
        <v>1</v>
      </c>
      <c r="I11" s="110">
        <v>0</v>
      </c>
      <c r="J11" s="110">
        <v>0</v>
      </c>
      <c r="K11" s="35">
        <v>182</v>
      </c>
      <c r="L11" s="110">
        <v>2</v>
      </c>
      <c r="M11" s="110">
        <v>0</v>
      </c>
      <c r="N11" s="110">
        <v>0</v>
      </c>
      <c r="O11" s="110">
        <v>0</v>
      </c>
      <c r="P11" s="110">
        <v>0</v>
      </c>
      <c r="Q11" s="35">
        <v>45</v>
      </c>
      <c r="R11" s="110">
        <v>1</v>
      </c>
      <c r="S11" s="110">
        <v>0</v>
      </c>
      <c r="T11" s="110">
        <v>0</v>
      </c>
      <c r="U11" s="110">
        <v>0</v>
      </c>
      <c r="V11" s="110">
        <v>0</v>
      </c>
      <c r="W11" s="110">
        <v>787</v>
      </c>
      <c r="X11" s="110">
        <v>6</v>
      </c>
      <c r="Y11" s="110" t="s">
        <v>245</v>
      </c>
      <c r="Z11" s="110" t="str">
        <f>VLOOKUP($D11,DSNhanVien!C:D,2)</f>
        <v>Lương Kiều Oanh</v>
      </c>
    </row>
    <row r="12" spans="1:26" s="110" customFormat="1" x14ac:dyDescent="0.25">
      <c r="A12" s="110" t="s">
        <v>239</v>
      </c>
      <c r="B12" s="110">
        <v>25</v>
      </c>
      <c r="C12" s="110" t="s">
        <v>11</v>
      </c>
      <c r="D12" s="110" t="s">
        <v>56</v>
      </c>
      <c r="E12" s="35">
        <v>831</v>
      </c>
      <c r="F12" s="110">
        <v>10</v>
      </c>
      <c r="G12" s="110">
        <v>0</v>
      </c>
      <c r="H12" s="110">
        <v>0</v>
      </c>
      <c r="I12" s="110">
        <v>0</v>
      </c>
      <c r="J12" s="110">
        <v>0</v>
      </c>
      <c r="K12" s="35">
        <v>0</v>
      </c>
      <c r="L12" s="110">
        <v>0</v>
      </c>
      <c r="M12" s="110">
        <v>0</v>
      </c>
      <c r="N12" s="110">
        <v>0</v>
      </c>
      <c r="O12" s="110">
        <v>0</v>
      </c>
      <c r="P12" s="110">
        <v>0</v>
      </c>
      <c r="Q12" s="35">
        <v>0</v>
      </c>
      <c r="R12" s="110">
        <v>0</v>
      </c>
      <c r="S12" s="110">
        <v>0</v>
      </c>
      <c r="T12" s="110">
        <v>0</v>
      </c>
      <c r="U12" s="110">
        <v>0</v>
      </c>
      <c r="V12" s="110">
        <v>0</v>
      </c>
      <c r="W12" s="110">
        <v>195</v>
      </c>
      <c r="X12" s="110">
        <v>1</v>
      </c>
      <c r="Z12" s="110" t="str">
        <f>VLOOKUP($D12,DSNhanVien!C:D,2)</f>
        <v>Lương Kiều Oanh</v>
      </c>
    </row>
    <row r="13" spans="1:26" s="110" customFormat="1" x14ac:dyDescent="0.25">
      <c r="A13" s="110" t="s">
        <v>244</v>
      </c>
      <c r="B13" s="110">
        <v>26</v>
      </c>
      <c r="C13" s="110" t="s">
        <v>11</v>
      </c>
      <c r="D13" s="110" t="s">
        <v>83</v>
      </c>
      <c r="E13" s="35">
        <v>310</v>
      </c>
      <c r="F13" s="110">
        <v>2</v>
      </c>
      <c r="G13" s="110">
        <v>0</v>
      </c>
      <c r="H13" s="110">
        <v>0</v>
      </c>
      <c r="I13" s="110">
        <v>0</v>
      </c>
      <c r="J13" s="110">
        <v>0</v>
      </c>
      <c r="K13" s="35">
        <v>0</v>
      </c>
      <c r="L13" s="110">
        <v>0</v>
      </c>
      <c r="M13" s="110">
        <v>0</v>
      </c>
      <c r="N13" s="110">
        <v>0</v>
      </c>
      <c r="O13" s="110">
        <v>0</v>
      </c>
      <c r="P13" s="110">
        <v>0</v>
      </c>
      <c r="Q13" s="35">
        <v>0</v>
      </c>
      <c r="R13" s="110">
        <v>0</v>
      </c>
      <c r="S13" s="110">
        <v>0</v>
      </c>
      <c r="T13" s="110">
        <v>0</v>
      </c>
      <c r="U13" s="110">
        <v>0</v>
      </c>
      <c r="V13" s="110">
        <v>0</v>
      </c>
      <c r="W13" s="110">
        <v>281</v>
      </c>
      <c r="X13" s="110">
        <v>1</v>
      </c>
      <c r="Z13" s="110" t="str">
        <f>VLOOKUP($D13,DSNhanVien!C:D,2)</f>
        <v>Bùi Thị Huyền Trang</v>
      </c>
    </row>
    <row r="14" spans="1:26" s="110" customFormat="1" x14ac:dyDescent="0.25">
      <c r="A14" s="110" t="s">
        <v>236</v>
      </c>
      <c r="B14" s="110">
        <v>24</v>
      </c>
      <c r="C14" s="110" t="s">
        <v>12</v>
      </c>
      <c r="D14" s="110" t="s">
        <v>60</v>
      </c>
      <c r="E14" s="35">
        <v>1524</v>
      </c>
      <c r="F14" s="110">
        <v>15</v>
      </c>
      <c r="G14" s="110">
        <v>470</v>
      </c>
      <c r="H14" s="110">
        <v>4</v>
      </c>
      <c r="I14" s="110">
        <v>0</v>
      </c>
      <c r="J14" s="110">
        <v>0</v>
      </c>
      <c r="K14" s="35">
        <v>0</v>
      </c>
      <c r="L14" s="110">
        <v>0</v>
      </c>
      <c r="M14" s="110">
        <v>0</v>
      </c>
      <c r="N14" s="110">
        <v>0</v>
      </c>
      <c r="O14" s="110">
        <v>0</v>
      </c>
      <c r="P14" s="110">
        <v>0</v>
      </c>
      <c r="Q14" s="35">
        <v>0</v>
      </c>
      <c r="R14" s="110">
        <v>0</v>
      </c>
      <c r="S14" s="110">
        <v>0</v>
      </c>
      <c r="T14" s="110">
        <v>0</v>
      </c>
      <c r="U14" s="110">
        <v>0</v>
      </c>
      <c r="V14" s="110">
        <v>0</v>
      </c>
      <c r="W14" s="110">
        <v>918</v>
      </c>
      <c r="X14" s="110">
        <v>7</v>
      </c>
      <c r="Y14" s="110" t="s">
        <v>243</v>
      </c>
      <c r="Z14" s="110" t="str">
        <f>VLOOKUP($D14,DSNhanVien!C:D,2)</f>
        <v>Nguyễn Hương Quỳnh</v>
      </c>
    </row>
    <row r="15" spans="1:26" s="110" customFormat="1" x14ac:dyDescent="0.25">
      <c r="A15" s="110" t="s">
        <v>223</v>
      </c>
      <c r="B15" s="110">
        <v>18</v>
      </c>
      <c r="C15" s="110" t="s">
        <v>12</v>
      </c>
      <c r="D15" s="110" t="s">
        <v>60</v>
      </c>
      <c r="E15" s="35">
        <v>1545</v>
      </c>
      <c r="F15" s="110">
        <v>16</v>
      </c>
      <c r="G15" s="110">
        <v>169</v>
      </c>
      <c r="H15" s="110">
        <v>2</v>
      </c>
      <c r="I15" s="110">
        <v>110</v>
      </c>
      <c r="J15" s="110">
        <v>1</v>
      </c>
      <c r="K15" s="35">
        <v>63</v>
      </c>
      <c r="L15" s="110">
        <v>1</v>
      </c>
      <c r="M15" s="110">
        <v>0</v>
      </c>
      <c r="N15" s="110">
        <v>0</v>
      </c>
      <c r="O15" s="110">
        <v>0</v>
      </c>
      <c r="P15" s="110">
        <v>0</v>
      </c>
      <c r="Q15" s="35">
        <v>0</v>
      </c>
      <c r="R15" s="110">
        <v>0</v>
      </c>
      <c r="S15" s="110">
        <v>0</v>
      </c>
      <c r="T15" s="110">
        <v>0</v>
      </c>
      <c r="U15" s="110">
        <v>0</v>
      </c>
      <c r="V15" s="110">
        <v>0</v>
      </c>
      <c r="W15" s="110">
        <v>626</v>
      </c>
      <c r="X15" s="110">
        <v>4</v>
      </c>
      <c r="Z15" s="110" t="str">
        <f>VLOOKUP($D15,DSNhanVien!C:D,2)</f>
        <v>Nguyễn Hương Quỳnh</v>
      </c>
    </row>
    <row r="16" spans="1:26" s="110" customFormat="1" x14ac:dyDescent="0.25">
      <c r="A16" s="110" t="s">
        <v>219</v>
      </c>
      <c r="B16" s="110">
        <v>16</v>
      </c>
      <c r="C16" s="110" t="s">
        <v>12</v>
      </c>
      <c r="D16" s="110" t="s">
        <v>60</v>
      </c>
      <c r="E16" s="35">
        <v>1352</v>
      </c>
      <c r="F16" s="110">
        <v>7</v>
      </c>
      <c r="G16" s="110">
        <v>202</v>
      </c>
      <c r="H16" s="110">
        <v>1</v>
      </c>
      <c r="I16" s="110">
        <v>843</v>
      </c>
      <c r="J16" s="110">
        <v>2</v>
      </c>
      <c r="K16" s="35">
        <v>0</v>
      </c>
      <c r="L16" s="110">
        <v>0</v>
      </c>
      <c r="M16" s="110">
        <v>0</v>
      </c>
      <c r="N16" s="110">
        <v>0</v>
      </c>
      <c r="O16" s="110">
        <v>0</v>
      </c>
      <c r="P16" s="110">
        <v>0</v>
      </c>
      <c r="Q16" s="35">
        <v>129</v>
      </c>
      <c r="R16" s="110">
        <v>1</v>
      </c>
      <c r="S16" s="110">
        <v>0</v>
      </c>
      <c r="T16" s="110">
        <v>0</v>
      </c>
      <c r="U16" s="110">
        <v>0</v>
      </c>
      <c r="V16" s="110">
        <v>0</v>
      </c>
      <c r="W16" s="110">
        <v>889</v>
      </c>
      <c r="X16" s="110">
        <v>7</v>
      </c>
      <c r="Z16" s="110" t="str">
        <f>VLOOKUP($D16,DSNhanVien!C:D,2)</f>
        <v>Nguyễn Hương Quỳnh</v>
      </c>
    </row>
    <row r="17" spans="1:26" s="110" customFormat="1" x14ac:dyDescent="0.25">
      <c r="A17" s="110" t="s">
        <v>225</v>
      </c>
      <c r="B17" s="110">
        <v>19</v>
      </c>
      <c r="C17" s="110" t="s">
        <v>12</v>
      </c>
      <c r="D17" s="110" t="s">
        <v>60</v>
      </c>
      <c r="E17" s="35">
        <v>1576</v>
      </c>
      <c r="F17" s="110">
        <v>16</v>
      </c>
      <c r="G17" s="110">
        <v>136</v>
      </c>
      <c r="H17" s="110">
        <v>2</v>
      </c>
      <c r="I17" s="110">
        <v>110</v>
      </c>
      <c r="J17" s="110">
        <v>1</v>
      </c>
      <c r="K17" s="35">
        <v>0</v>
      </c>
      <c r="L17" s="110">
        <v>0</v>
      </c>
      <c r="M17" s="110">
        <v>0</v>
      </c>
      <c r="N17" s="110">
        <v>0</v>
      </c>
      <c r="O17" s="110">
        <v>0</v>
      </c>
      <c r="P17" s="110">
        <v>0</v>
      </c>
      <c r="Q17" s="35">
        <v>0</v>
      </c>
      <c r="R17" s="110">
        <v>0</v>
      </c>
      <c r="S17" s="110">
        <v>0</v>
      </c>
      <c r="T17" s="110">
        <v>0</v>
      </c>
      <c r="U17" s="110">
        <v>0</v>
      </c>
      <c r="V17" s="110">
        <v>0</v>
      </c>
      <c r="W17" s="110">
        <v>1288</v>
      </c>
      <c r="X17" s="110">
        <v>7</v>
      </c>
      <c r="Y17" s="113" t="s">
        <v>241</v>
      </c>
      <c r="Z17" s="113"/>
    </row>
    <row r="18" spans="1:26" s="110" customFormat="1" x14ac:dyDescent="0.25">
      <c r="A18" s="110" t="s">
        <v>238</v>
      </c>
      <c r="B18" s="110">
        <v>23</v>
      </c>
      <c r="C18" s="110" t="s">
        <v>12</v>
      </c>
      <c r="D18" s="110" t="s">
        <v>56</v>
      </c>
      <c r="E18" s="35">
        <v>1834</v>
      </c>
      <c r="F18" s="110">
        <v>14</v>
      </c>
      <c r="I18" s="110">
        <v>208</v>
      </c>
      <c r="J18" s="110">
        <v>1</v>
      </c>
      <c r="K18" s="35"/>
      <c r="Q18" s="35"/>
      <c r="S18" s="110">
        <v>310</v>
      </c>
      <c r="T18" s="110">
        <v>1</v>
      </c>
      <c r="W18" s="110">
        <v>460</v>
      </c>
      <c r="X18" s="110">
        <v>3</v>
      </c>
      <c r="Z18" s="110" t="str">
        <f>VLOOKUP($D18,DSNhanVien!C:D,2)</f>
        <v>Lương Kiều Oanh</v>
      </c>
    </row>
    <row r="19" spans="1:26" s="110" customFormat="1" x14ac:dyDescent="0.25">
      <c r="A19" s="110" t="s">
        <v>235</v>
      </c>
      <c r="B19" s="110">
        <v>24</v>
      </c>
      <c r="C19" s="110" t="s">
        <v>11</v>
      </c>
      <c r="D19" s="110" t="s">
        <v>69</v>
      </c>
      <c r="E19" s="35">
        <v>770</v>
      </c>
      <c r="F19" s="110">
        <v>9</v>
      </c>
      <c r="K19" s="35"/>
      <c r="Q19" s="35"/>
      <c r="W19" s="110">
        <v>396</v>
      </c>
      <c r="X19" s="110">
        <v>1</v>
      </c>
      <c r="Y19" s="110" t="s">
        <v>237</v>
      </c>
      <c r="Z19" s="110" t="str">
        <f>VLOOKUP($D19,DSNhanVien!C:D,2)</f>
        <v>Phạm Thị Minh Hiền</v>
      </c>
    </row>
    <row r="20" spans="1:26" s="110" customFormat="1" x14ac:dyDescent="0.25">
      <c r="A20" s="110" t="s">
        <v>234</v>
      </c>
      <c r="B20" s="110">
        <v>23</v>
      </c>
      <c r="C20" s="110" t="s">
        <v>11</v>
      </c>
      <c r="D20" s="110" t="s">
        <v>69</v>
      </c>
      <c r="E20" s="35">
        <v>457</v>
      </c>
      <c r="F20" s="110">
        <v>6</v>
      </c>
      <c r="K20" s="35">
        <v>60</v>
      </c>
      <c r="L20" s="110">
        <v>1</v>
      </c>
      <c r="Q20" s="35"/>
      <c r="Z20" s="110" t="str">
        <f>VLOOKUP($D20,DSNhanVien!C:D,2)</f>
        <v>Phạm Thị Minh Hiền</v>
      </c>
    </row>
    <row r="21" spans="1:26" s="110" customFormat="1" x14ac:dyDescent="0.25">
      <c r="A21" s="110" t="s">
        <v>232</v>
      </c>
      <c r="B21" s="110">
        <v>22</v>
      </c>
      <c r="C21" s="110" t="s">
        <v>12</v>
      </c>
      <c r="D21" s="110" t="s">
        <v>62</v>
      </c>
      <c r="E21" s="35">
        <v>862</v>
      </c>
      <c r="F21" s="110">
        <v>7</v>
      </c>
      <c r="K21" s="35">
        <v>80</v>
      </c>
      <c r="L21" s="110">
        <v>1</v>
      </c>
      <c r="Q21" s="35">
        <v>75</v>
      </c>
      <c r="R21" s="110">
        <v>2</v>
      </c>
      <c r="W21" s="110">
        <v>408</v>
      </c>
      <c r="X21" s="110">
        <v>3</v>
      </c>
      <c r="Z21" s="110" t="str">
        <f>VLOOKUP($D21,DSNhanVien!C:D,2)</f>
        <v>Võ Phương Anh</v>
      </c>
    </row>
    <row r="22" spans="1:26" s="110" customFormat="1" x14ac:dyDescent="0.25">
      <c r="A22" s="110" t="s">
        <v>229</v>
      </c>
      <c r="B22" s="110">
        <v>21</v>
      </c>
      <c r="C22" s="110" t="s">
        <v>12</v>
      </c>
      <c r="D22" s="110" t="s">
        <v>62</v>
      </c>
      <c r="E22" s="35">
        <v>324</v>
      </c>
      <c r="F22" s="110">
        <v>6</v>
      </c>
      <c r="K22" s="35"/>
      <c r="Q22" s="35"/>
      <c r="W22" s="110">
        <v>768</v>
      </c>
      <c r="X22" s="110">
        <v>3</v>
      </c>
      <c r="Y22" s="110" t="s">
        <v>233</v>
      </c>
      <c r="Z22" s="110" t="str">
        <f>VLOOKUP($D22,DSNhanVien!C:D,2)</f>
        <v>Võ Phương Anh</v>
      </c>
    </row>
    <row r="23" spans="1:26" s="110" customFormat="1" x14ac:dyDescent="0.25">
      <c r="A23" s="110" t="s">
        <v>230</v>
      </c>
      <c r="B23" s="110">
        <v>22</v>
      </c>
      <c r="C23" s="110" t="s">
        <v>11</v>
      </c>
      <c r="D23" s="110" t="s">
        <v>69</v>
      </c>
      <c r="E23" s="35">
        <v>395</v>
      </c>
      <c r="F23" s="110">
        <v>5</v>
      </c>
      <c r="K23" s="35"/>
      <c r="Q23" s="35"/>
      <c r="W23" s="110">
        <v>759</v>
      </c>
      <c r="X23" s="110">
        <v>1</v>
      </c>
      <c r="Z23" s="110" t="str">
        <f>VLOOKUP($D23,DSNhanVien!C:D,2)</f>
        <v>Phạm Thị Minh Hiền</v>
      </c>
    </row>
    <row r="24" spans="1:26" s="110" customFormat="1" x14ac:dyDescent="0.25">
      <c r="A24" s="110" t="s">
        <v>231</v>
      </c>
      <c r="B24" s="110">
        <v>21</v>
      </c>
      <c r="C24" s="110" t="s">
        <v>11</v>
      </c>
      <c r="D24" s="110" t="s">
        <v>69</v>
      </c>
      <c r="E24" s="35">
        <v>524</v>
      </c>
      <c r="F24" s="110">
        <v>6</v>
      </c>
      <c r="K24" s="35"/>
      <c r="Q24" s="35"/>
      <c r="W24" s="110">
        <v>345</v>
      </c>
      <c r="X24" s="110">
        <v>1</v>
      </c>
      <c r="Z24" s="110" t="str">
        <f>VLOOKUP($D24,DSNhanVien!C:D,2)</f>
        <v>Phạm Thị Minh Hiền</v>
      </c>
    </row>
    <row r="25" spans="1:26" s="110" customFormat="1" x14ac:dyDescent="0.25">
      <c r="A25" s="110" t="s">
        <v>226</v>
      </c>
      <c r="B25" s="110">
        <v>20</v>
      </c>
      <c r="C25" s="110" t="s">
        <v>12</v>
      </c>
      <c r="D25" s="110" t="s">
        <v>56</v>
      </c>
      <c r="E25" s="35">
        <v>980</v>
      </c>
      <c r="F25" s="110">
        <v>16</v>
      </c>
      <c r="G25" s="110">
        <v>202</v>
      </c>
      <c r="H25" s="110">
        <v>3</v>
      </c>
      <c r="I25" s="110">
        <v>259</v>
      </c>
      <c r="J25" s="110">
        <v>2</v>
      </c>
      <c r="K25" s="35">
        <v>40</v>
      </c>
      <c r="L25" s="110">
        <v>2</v>
      </c>
      <c r="M25" s="110">
        <v>0</v>
      </c>
      <c r="N25" s="110">
        <v>0</v>
      </c>
      <c r="O25" s="110">
        <v>0</v>
      </c>
      <c r="P25" s="110">
        <v>0</v>
      </c>
      <c r="Q25" s="35">
        <v>160</v>
      </c>
      <c r="R25" s="110">
        <v>2</v>
      </c>
      <c r="S25" s="110">
        <v>0</v>
      </c>
      <c r="T25" s="110">
        <v>0</v>
      </c>
      <c r="U25" s="110">
        <v>0</v>
      </c>
      <c r="V25" s="110">
        <v>0</v>
      </c>
      <c r="W25" s="110">
        <v>183</v>
      </c>
      <c r="X25" s="110">
        <v>1</v>
      </c>
      <c r="Z25" s="110" t="str">
        <f>VLOOKUP($D25,DSNhanVien!C:D,2)</f>
        <v>Lương Kiều Oanh</v>
      </c>
    </row>
    <row r="26" spans="1:26" s="110" customFormat="1" x14ac:dyDescent="0.25">
      <c r="A26" s="110" t="s">
        <v>227</v>
      </c>
      <c r="B26" s="110">
        <v>20</v>
      </c>
      <c r="C26" s="110" t="s">
        <v>11</v>
      </c>
      <c r="D26" s="110" t="s">
        <v>56</v>
      </c>
      <c r="E26" s="35">
        <v>516</v>
      </c>
      <c r="F26" s="110">
        <v>6</v>
      </c>
      <c r="G26" s="110">
        <v>0</v>
      </c>
      <c r="H26" s="110">
        <v>0</v>
      </c>
      <c r="I26" s="110">
        <v>0</v>
      </c>
      <c r="J26" s="110">
        <v>0</v>
      </c>
      <c r="K26" s="35">
        <v>0</v>
      </c>
      <c r="L26" s="110">
        <v>0</v>
      </c>
      <c r="M26" s="110">
        <v>0</v>
      </c>
      <c r="N26" s="110">
        <v>0</v>
      </c>
      <c r="O26" s="110">
        <v>0</v>
      </c>
      <c r="P26" s="110">
        <v>0</v>
      </c>
      <c r="Q26" s="35">
        <v>0</v>
      </c>
      <c r="R26" s="110">
        <v>0</v>
      </c>
      <c r="S26" s="110">
        <v>0</v>
      </c>
      <c r="T26" s="110">
        <v>0</v>
      </c>
      <c r="U26" s="110">
        <v>0</v>
      </c>
      <c r="V26" s="110">
        <v>0</v>
      </c>
      <c r="W26" s="110">
        <v>660</v>
      </c>
      <c r="X26" s="110">
        <v>5</v>
      </c>
      <c r="Y26" s="110" t="s">
        <v>228</v>
      </c>
      <c r="Z26" s="110" t="str">
        <f>VLOOKUP($D26,DSNhanVien!C:D,2)</f>
        <v>Lương Kiều Oanh</v>
      </c>
    </row>
    <row r="27" spans="1:26" s="110" customFormat="1" x14ac:dyDescent="0.25">
      <c r="A27" s="110" t="s">
        <v>224</v>
      </c>
      <c r="B27" s="110">
        <v>19</v>
      </c>
      <c r="C27" s="110" t="s">
        <v>11</v>
      </c>
      <c r="D27" s="110" t="s">
        <v>69</v>
      </c>
      <c r="E27" s="35">
        <v>614</v>
      </c>
      <c r="F27" s="110">
        <v>6</v>
      </c>
      <c r="G27" s="110">
        <v>0</v>
      </c>
      <c r="H27" s="110">
        <v>0</v>
      </c>
      <c r="I27" s="110">
        <v>0</v>
      </c>
      <c r="J27" s="110">
        <v>0</v>
      </c>
      <c r="K27" s="35">
        <v>0</v>
      </c>
      <c r="L27" s="110">
        <v>0</v>
      </c>
      <c r="M27" s="110">
        <v>0</v>
      </c>
      <c r="N27" s="110">
        <v>0</v>
      </c>
      <c r="O27" s="110">
        <v>0</v>
      </c>
      <c r="P27" s="110">
        <v>0</v>
      </c>
      <c r="Q27" s="35">
        <v>0</v>
      </c>
      <c r="R27" s="110">
        <v>0</v>
      </c>
      <c r="S27" s="110">
        <v>0</v>
      </c>
      <c r="T27" s="110">
        <v>0</v>
      </c>
      <c r="U27" s="110">
        <v>0</v>
      </c>
      <c r="V27" s="110">
        <v>0</v>
      </c>
      <c r="W27" s="110">
        <v>392</v>
      </c>
      <c r="X27" s="110">
        <v>1</v>
      </c>
      <c r="Z27" s="110" t="str">
        <f>VLOOKUP($D27,DSNhanVien!C:D,2)</f>
        <v>Phạm Thị Minh Hiền</v>
      </c>
    </row>
    <row r="28" spans="1:26" s="110" customFormat="1" x14ac:dyDescent="0.25">
      <c r="A28" s="110" t="s">
        <v>221</v>
      </c>
      <c r="B28" s="110">
        <v>18</v>
      </c>
      <c r="C28" s="110" t="s">
        <v>11</v>
      </c>
      <c r="D28" s="110" t="s">
        <v>56</v>
      </c>
      <c r="E28" s="35">
        <v>204</v>
      </c>
      <c r="F28" s="110">
        <v>5</v>
      </c>
      <c r="K28" s="35">
        <v>103</v>
      </c>
      <c r="L28" s="110">
        <v>2</v>
      </c>
      <c r="Q28" s="35"/>
      <c r="W28" s="110">
        <v>490</v>
      </c>
      <c r="X28" s="110">
        <v>5</v>
      </c>
      <c r="Z28" s="110" t="str">
        <f>VLOOKUP($D28,DSNhanVien!C:D,2)</f>
        <v>Lương Kiều Oanh</v>
      </c>
    </row>
    <row r="29" spans="1:26" s="110" customFormat="1" x14ac:dyDescent="0.25">
      <c r="A29" s="110" t="s">
        <v>218</v>
      </c>
      <c r="B29" s="110">
        <v>17</v>
      </c>
      <c r="C29" s="110" t="s">
        <v>11</v>
      </c>
      <c r="D29" s="110" t="s">
        <v>69</v>
      </c>
      <c r="E29" s="35">
        <v>1025</v>
      </c>
      <c r="F29" s="110">
        <v>10</v>
      </c>
      <c r="K29" s="35">
        <v>40</v>
      </c>
      <c r="L29" s="110">
        <v>1</v>
      </c>
      <c r="Q29" s="35">
        <v>40</v>
      </c>
      <c r="R29" s="110">
        <v>1</v>
      </c>
      <c r="W29" s="110">
        <v>1310</v>
      </c>
      <c r="X29" s="110">
        <v>2</v>
      </c>
      <c r="Y29" s="110" t="s">
        <v>222</v>
      </c>
      <c r="Z29" s="110" t="str">
        <f>VLOOKUP($D29,DSNhanVien!C:D,2)</f>
        <v>Phạm Thị Minh Hiền</v>
      </c>
    </row>
    <row r="30" spans="1:26" s="110" customFormat="1" x14ac:dyDescent="0.25">
      <c r="A30" s="110" t="s">
        <v>217</v>
      </c>
      <c r="B30" s="110">
        <v>17</v>
      </c>
      <c r="C30" s="110" t="s">
        <v>12</v>
      </c>
      <c r="D30" s="110" t="s">
        <v>56</v>
      </c>
      <c r="E30" s="35">
        <v>764</v>
      </c>
      <c r="F30" s="110">
        <v>14</v>
      </c>
      <c r="G30" s="110">
        <v>245</v>
      </c>
      <c r="H30" s="110">
        <v>3</v>
      </c>
      <c r="K30" s="35">
        <v>102</v>
      </c>
      <c r="L30" s="110">
        <v>2</v>
      </c>
      <c r="Q30" s="35">
        <v>60</v>
      </c>
      <c r="R30" s="110">
        <v>2</v>
      </c>
      <c r="S30" s="110">
        <v>90</v>
      </c>
      <c r="T30" s="110">
        <v>1</v>
      </c>
      <c r="W30" s="110">
        <v>1001</v>
      </c>
      <c r="X30" s="110">
        <v>7</v>
      </c>
      <c r="Y30" s="110" t="s">
        <v>220</v>
      </c>
      <c r="Z30" s="110" t="str">
        <f>VLOOKUP($D30,DSNhanVien!C:D,2)</f>
        <v>Lương Kiều Oanh</v>
      </c>
    </row>
    <row r="31" spans="1:26" s="110" customFormat="1" x14ac:dyDescent="0.25">
      <c r="A31" s="110" t="s">
        <v>214</v>
      </c>
      <c r="B31" s="110">
        <v>15</v>
      </c>
      <c r="C31" s="110" t="s">
        <v>12</v>
      </c>
      <c r="D31" s="110" t="s">
        <v>69</v>
      </c>
      <c r="E31" s="35">
        <v>1131</v>
      </c>
      <c r="F31" s="110">
        <v>12</v>
      </c>
      <c r="K31" s="35">
        <v>234</v>
      </c>
      <c r="L31" s="110">
        <v>3</v>
      </c>
      <c r="Q31" s="35"/>
      <c r="W31" s="110">
        <v>2330</v>
      </c>
      <c r="X31" s="110">
        <v>2</v>
      </c>
      <c r="Z31" s="110" t="str">
        <f>VLOOKUP($D31,DSNhanVien!C:D,2)</f>
        <v>Phạm Thị Minh Hiền</v>
      </c>
    </row>
    <row r="32" spans="1:26" s="110" customFormat="1" x14ac:dyDescent="0.25">
      <c r="A32" s="110" t="s">
        <v>213</v>
      </c>
      <c r="B32" s="110">
        <v>15</v>
      </c>
      <c r="C32" s="110" t="s">
        <v>11</v>
      </c>
      <c r="D32" s="110" t="s">
        <v>69</v>
      </c>
      <c r="E32" s="35">
        <v>286</v>
      </c>
      <c r="F32" s="110">
        <v>4</v>
      </c>
      <c r="K32" s="35"/>
      <c r="Q32" s="35"/>
      <c r="W32" s="110">
        <v>0</v>
      </c>
      <c r="X32" s="110">
        <v>0</v>
      </c>
      <c r="Z32" s="110" t="str">
        <f>VLOOKUP($D32,DSNhanVien!C:D,2)</f>
        <v>Phạm Thị Minh Hiền</v>
      </c>
    </row>
    <row r="33" spans="1:26" s="110" customFormat="1" x14ac:dyDescent="0.25">
      <c r="A33" s="110" t="s">
        <v>212</v>
      </c>
      <c r="B33" s="110">
        <v>14</v>
      </c>
      <c r="C33" s="110" t="s">
        <v>12</v>
      </c>
      <c r="D33" s="110" t="s">
        <v>56</v>
      </c>
      <c r="E33" s="35">
        <v>749</v>
      </c>
      <c r="F33" s="110">
        <v>12</v>
      </c>
      <c r="G33" s="110">
        <v>179</v>
      </c>
      <c r="H33" s="110">
        <v>2</v>
      </c>
      <c r="I33" s="110">
        <v>500</v>
      </c>
      <c r="J33" s="110">
        <v>1</v>
      </c>
      <c r="K33" s="35">
        <v>129</v>
      </c>
      <c r="L33" s="110">
        <v>2</v>
      </c>
      <c r="Q33" s="35">
        <v>45</v>
      </c>
      <c r="R33" s="110">
        <v>1</v>
      </c>
      <c r="W33" s="110">
        <v>2995</v>
      </c>
      <c r="X33" s="110">
        <v>32</v>
      </c>
      <c r="Z33" s="110" t="str">
        <f>VLOOKUP($D33,DSNhanVien!C:D,2)</f>
        <v>Lương Kiều Oanh</v>
      </c>
    </row>
    <row r="34" spans="1:26" s="110" customFormat="1" x14ac:dyDescent="0.25">
      <c r="A34" s="110" t="s">
        <v>211</v>
      </c>
      <c r="B34" s="110">
        <v>14</v>
      </c>
      <c r="C34" s="110" t="s">
        <v>11</v>
      </c>
      <c r="D34" s="110" t="s">
        <v>56</v>
      </c>
      <c r="E34" s="35">
        <v>190</v>
      </c>
      <c r="F34" s="110">
        <v>6</v>
      </c>
      <c r="K34" s="35">
        <v>35</v>
      </c>
      <c r="L34" s="110">
        <v>1</v>
      </c>
      <c r="Q34" s="35"/>
      <c r="W34" s="110">
        <v>1100</v>
      </c>
      <c r="X34" s="110">
        <v>13</v>
      </c>
      <c r="Y34" s="110" t="s">
        <v>216</v>
      </c>
      <c r="Z34" s="110" t="str">
        <f>VLOOKUP($D34,DSNhanVien!C:D,2)</f>
        <v>Lương Kiều Oanh</v>
      </c>
    </row>
    <row r="35" spans="1:26" s="110" customFormat="1" x14ac:dyDescent="0.25">
      <c r="A35" s="110" t="s">
        <v>209</v>
      </c>
      <c r="B35" s="110">
        <v>13</v>
      </c>
      <c r="C35" s="110" t="s">
        <v>12</v>
      </c>
      <c r="D35" s="110" t="s">
        <v>56</v>
      </c>
      <c r="E35" s="35">
        <v>821</v>
      </c>
      <c r="F35" s="110">
        <v>14</v>
      </c>
      <c r="K35" s="35"/>
      <c r="Q35" s="35">
        <v>240</v>
      </c>
      <c r="R35" s="110">
        <v>1</v>
      </c>
      <c r="W35" s="110">
        <v>1920</v>
      </c>
      <c r="X35" s="110">
        <v>19</v>
      </c>
      <c r="Z35" s="110" t="str">
        <f>VLOOKUP($D35,DSNhanVien!C:D,2)</f>
        <v>Lương Kiều Oanh</v>
      </c>
    </row>
    <row r="36" spans="1:26" s="110" customFormat="1" x14ac:dyDescent="0.25">
      <c r="A36" s="110" t="s">
        <v>210</v>
      </c>
      <c r="B36" s="110">
        <v>13</v>
      </c>
      <c r="C36" s="110" t="s">
        <v>11</v>
      </c>
      <c r="D36" s="110" t="s">
        <v>56</v>
      </c>
      <c r="E36" s="35">
        <v>412</v>
      </c>
      <c r="F36" s="110">
        <v>5</v>
      </c>
      <c r="G36" s="110">
        <v>54</v>
      </c>
      <c r="H36" s="110">
        <v>1</v>
      </c>
      <c r="K36" s="35">
        <v>16</v>
      </c>
      <c r="L36" s="110">
        <v>1</v>
      </c>
      <c r="Q36" s="35"/>
      <c r="W36" s="110">
        <v>1000</v>
      </c>
      <c r="X36" s="110">
        <v>10</v>
      </c>
      <c r="Z36" s="110" t="str">
        <f>VLOOKUP($D36,DSNhanVien!C:D,2)</f>
        <v>Lương Kiều Oanh</v>
      </c>
    </row>
    <row r="37" spans="1:26" s="110" customFormat="1" x14ac:dyDescent="0.25">
      <c r="A37" s="110" t="s">
        <v>215</v>
      </c>
      <c r="B37" s="110">
        <v>16</v>
      </c>
      <c r="C37" s="110" t="s">
        <v>11</v>
      </c>
      <c r="D37" s="110" t="s">
        <v>69</v>
      </c>
      <c r="E37" s="35">
        <v>574</v>
      </c>
      <c r="F37" s="110">
        <v>8</v>
      </c>
      <c r="K37" s="35">
        <v>84</v>
      </c>
      <c r="L37" s="110">
        <v>1</v>
      </c>
      <c r="Q37" s="35"/>
      <c r="W37" s="110">
        <v>400</v>
      </c>
      <c r="X37" s="110">
        <v>2</v>
      </c>
      <c r="Z37" s="110" t="str">
        <f>VLOOKUP($D37,DSNhanVien!C:D,2)</f>
        <v>Phạm Thị Minh Hiền</v>
      </c>
    </row>
    <row r="38" spans="1:26" s="110" customFormat="1" x14ac:dyDescent="0.25">
      <c r="A38" s="110" t="s">
        <v>207</v>
      </c>
      <c r="B38" s="110">
        <v>12</v>
      </c>
      <c r="C38" s="110" t="s">
        <v>12</v>
      </c>
      <c r="D38" s="110" t="s">
        <v>69</v>
      </c>
      <c r="E38" s="35">
        <v>1314</v>
      </c>
      <c r="F38" s="110">
        <v>15</v>
      </c>
      <c r="G38" s="110">
        <v>322</v>
      </c>
      <c r="H38" s="110">
        <v>4</v>
      </c>
      <c r="I38" s="110">
        <v>136</v>
      </c>
      <c r="J38" s="110">
        <v>1</v>
      </c>
      <c r="K38" s="35">
        <v>36</v>
      </c>
      <c r="L38" s="110">
        <v>1</v>
      </c>
      <c r="Q38" s="35">
        <v>20</v>
      </c>
      <c r="R38" s="110">
        <v>1</v>
      </c>
      <c r="W38" s="110">
        <v>2150</v>
      </c>
      <c r="X38" s="110">
        <v>1</v>
      </c>
      <c r="Z38" s="110" t="str">
        <f>VLOOKUP($D38,DSNhanVien!C:D,2)</f>
        <v>Phạm Thị Minh Hiền</v>
      </c>
    </row>
    <row r="39" spans="1:26" s="110" customFormat="1" x14ac:dyDescent="0.25">
      <c r="A39" s="110" t="s">
        <v>208</v>
      </c>
      <c r="B39" s="110">
        <v>12</v>
      </c>
      <c r="C39" s="110" t="s">
        <v>11</v>
      </c>
      <c r="D39" s="110" t="s">
        <v>69</v>
      </c>
      <c r="E39" s="35">
        <v>216</v>
      </c>
      <c r="F39" s="110">
        <v>6</v>
      </c>
      <c r="I39" s="110">
        <v>0</v>
      </c>
      <c r="J39" s="110">
        <v>0</v>
      </c>
      <c r="K39" s="35"/>
      <c r="Q39" s="35"/>
      <c r="W39" s="110">
        <v>1550</v>
      </c>
      <c r="X39" s="110">
        <v>1</v>
      </c>
      <c r="Z39" s="110" t="str">
        <f>VLOOKUP($D39,DSNhanVien!C:D,2)</f>
        <v>Phạm Thị Minh Hiền</v>
      </c>
    </row>
    <row r="40" spans="1:26" s="110" customFormat="1" x14ac:dyDescent="0.25">
      <c r="A40" s="110" t="s">
        <v>203</v>
      </c>
      <c r="B40" s="110">
        <v>11</v>
      </c>
      <c r="C40" s="110" t="s">
        <v>11</v>
      </c>
      <c r="D40" s="110" t="s">
        <v>56</v>
      </c>
      <c r="E40" s="35">
        <v>531</v>
      </c>
      <c r="F40" s="110">
        <v>7</v>
      </c>
      <c r="G40" s="110">
        <v>128</v>
      </c>
      <c r="H40" s="110">
        <v>1</v>
      </c>
      <c r="I40" s="110">
        <v>0</v>
      </c>
      <c r="J40" s="110">
        <v>0</v>
      </c>
      <c r="K40" s="35">
        <v>59</v>
      </c>
      <c r="L40" s="110">
        <v>1</v>
      </c>
      <c r="Q40" s="35">
        <v>100</v>
      </c>
      <c r="R40" s="110">
        <v>1</v>
      </c>
      <c r="W40" s="110">
        <v>1150</v>
      </c>
      <c r="X40" s="110">
        <v>14</v>
      </c>
      <c r="Z40" s="110" t="str">
        <f>VLOOKUP($D40,DSNhanVien!C:D,2)</f>
        <v>Lương Kiều Oanh</v>
      </c>
    </row>
    <row r="41" spans="1:26" s="110" customFormat="1" x14ac:dyDescent="0.25">
      <c r="A41" s="110" t="s">
        <v>205</v>
      </c>
      <c r="B41" s="110">
        <v>11</v>
      </c>
      <c r="C41" s="110" t="s">
        <v>12</v>
      </c>
      <c r="D41" s="110" t="s">
        <v>60</v>
      </c>
      <c r="E41" s="35">
        <v>298</v>
      </c>
      <c r="F41" s="110">
        <v>8</v>
      </c>
      <c r="G41" s="110">
        <v>200</v>
      </c>
      <c r="H41" s="110">
        <v>3</v>
      </c>
      <c r="I41" s="110">
        <v>0</v>
      </c>
      <c r="J41" s="110">
        <v>0</v>
      </c>
      <c r="K41" s="35"/>
      <c r="Q41" s="35">
        <v>70</v>
      </c>
      <c r="R41" s="110">
        <v>1</v>
      </c>
      <c r="W41" s="110">
        <v>1330</v>
      </c>
      <c r="X41" s="110">
        <v>12</v>
      </c>
      <c r="Y41" s="110" t="s">
        <v>206</v>
      </c>
      <c r="Z41" s="110" t="str">
        <f>VLOOKUP($D41,DSNhanVien!C:D,2)</f>
        <v>Nguyễn Hương Quỳnh</v>
      </c>
    </row>
    <row r="42" spans="1:26" s="110" customFormat="1" x14ac:dyDescent="0.25">
      <c r="A42" s="110" t="s">
        <v>204</v>
      </c>
      <c r="B42" s="110">
        <v>10</v>
      </c>
      <c r="C42" s="110" t="s">
        <v>11</v>
      </c>
      <c r="D42" s="110" t="s">
        <v>69</v>
      </c>
      <c r="E42" s="35">
        <v>279</v>
      </c>
      <c r="F42" s="110">
        <v>3</v>
      </c>
      <c r="G42" s="110">
        <v>0</v>
      </c>
      <c r="H42" s="110">
        <v>0</v>
      </c>
      <c r="I42" s="110">
        <v>0</v>
      </c>
      <c r="J42" s="110">
        <v>0</v>
      </c>
      <c r="K42" s="35">
        <v>50</v>
      </c>
      <c r="L42" s="110">
        <v>1</v>
      </c>
      <c r="Q42" s="35">
        <v>35</v>
      </c>
      <c r="R42" s="110">
        <v>1</v>
      </c>
      <c r="W42" s="110">
        <v>650</v>
      </c>
      <c r="X42" s="110">
        <v>13</v>
      </c>
      <c r="Z42" s="110" t="str">
        <f>VLOOKUP($D42,DSNhanVien!C:D,2)</f>
        <v>Phạm Thị Minh Hiền</v>
      </c>
    </row>
    <row r="43" spans="1:26" s="110" customFormat="1" x14ac:dyDescent="0.25">
      <c r="A43" s="110" t="s">
        <v>197</v>
      </c>
      <c r="B43" s="110">
        <v>8</v>
      </c>
      <c r="C43" s="110" t="s">
        <v>12</v>
      </c>
      <c r="D43" s="110" t="s">
        <v>88</v>
      </c>
      <c r="E43" s="35">
        <v>413</v>
      </c>
      <c r="F43" s="110">
        <v>9</v>
      </c>
      <c r="G43" s="110">
        <v>0</v>
      </c>
      <c r="H43" s="110">
        <v>0</v>
      </c>
      <c r="I43" s="110">
        <v>0</v>
      </c>
      <c r="J43" s="110">
        <v>0</v>
      </c>
      <c r="K43" s="35">
        <v>22</v>
      </c>
      <c r="L43" s="110">
        <v>1</v>
      </c>
      <c r="Q43" s="35"/>
      <c r="W43" s="110">
        <v>195</v>
      </c>
      <c r="X43" s="110">
        <v>1</v>
      </c>
      <c r="Y43" s="110" t="s">
        <v>202</v>
      </c>
      <c r="Z43" s="110" t="str">
        <f>VLOOKUP($D43,DSNhanVien!C:D,2)</f>
        <v>Nguyễn Thu Thảo</v>
      </c>
    </row>
    <row r="44" spans="1:26" s="110" customFormat="1" x14ac:dyDescent="0.25">
      <c r="A44" s="110" t="s">
        <v>201</v>
      </c>
      <c r="B44" s="110">
        <v>10</v>
      </c>
      <c r="C44" s="110" t="s">
        <v>12</v>
      </c>
      <c r="D44" s="110" t="s">
        <v>60</v>
      </c>
      <c r="E44" s="35">
        <v>876</v>
      </c>
      <c r="F44" s="110">
        <v>8</v>
      </c>
      <c r="G44" s="110">
        <v>261</v>
      </c>
      <c r="H44" s="110">
        <v>3</v>
      </c>
      <c r="I44" s="110">
        <v>420</v>
      </c>
      <c r="J44" s="110">
        <v>2</v>
      </c>
      <c r="K44" s="35">
        <v>40</v>
      </c>
      <c r="L44" s="110">
        <v>1</v>
      </c>
      <c r="Q44" s="35"/>
      <c r="W44" s="110">
        <v>1740</v>
      </c>
      <c r="X44" s="110">
        <v>18</v>
      </c>
      <c r="Z44" s="110" t="str">
        <f>VLOOKUP($D44,DSNhanVien!C:D,2)</f>
        <v>Nguyễn Hương Quỳnh</v>
      </c>
    </row>
    <row r="45" spans="1:26" s="110" customFormat="1" x14ac:dyDescent="0.25">
      <c r="A45" s="110" t="s">
        <v>198</v>
      </c>
      <c r="B45" s="110">
        <v>9</v>
      </c>
      <c r="C45" s="110" t="s">
        <v>11</v>
      </c>
      <c r="D45" s="110" t="s">
        <v>56</v>
      </c>
      <c r="E45" s="35">
        <v>348</v>
      </c>
      <c r="F45" s="110">
        <v>7</v>
      </c>
      <c r="K45" s="35"/>
      <c r="Q45" s="35"/>
      <c r="W45" s="110">
        <v>890</v>
      </c>
      <c r="X45" s="110">
        <v>7</v>
      </c>
      <c r="Z45" s="110" t="str">
        <f>VLOOKUP($D45,DSNhanVien!C:D,2)</f>
        <v>Lương Kiều Oanh</v>
      </c>
    </row>
    <row r="46" spans="1:26" s="110" customFormat="1" x14ac:dyDescent="0.25">
      <c r="A46" s="110" t="s">
        <v>196</v>
      </c>
      <c r="B46" s="110">
        <v>8</v>
      </c>
      <c r="C46" s="110" t="s">
        <v>11</v>
      </c>
      <c r="D46" s="110" t="s">
        <v>62</v>
      </c>
      <c r="E46" s="35">
        <v>1513</v>
      </c>
      <c r="F46" s="110">
        <v>11</v>
      </c>
      <c r="K46" s="35"/>
      <c r="Q46" s="35"/>
      <c r="Y46" s="110" t="s">
        <v>200</v>
      </c>
      <c r="Z46" s="110" t="str">
        <f>VLOOKUP($D46,DSNhanVien!C:D,2)</f>
        <v>Võ Phương Anh</v>
      </c>
    </row>
    <row r="47" spans="1:26" s="110" customFormat="1" x14ac:dyDescent="0.25">
      <c r="A47" s="110" t="s">
        <v>199</v>
      </c>
      <c r="B47" s="110">
        <v>9</v>
      </c>
      <c r="C47" s="110" t="s">
        <v>12</v>
      </c>
      <c r="D47" s="110" t="s">
        <v>60</v>
      </c>
      <c r="E47" s="35">
        <v>329</v>
      </c>
      <c r="F47" s="110">
        <v>7</v>
      </c>
      <c r="G47" s="110">
        <v>409</v>
      </c>
      <c r="H47" s="110">
        <v>4</v>
      </c>
      <c r="K47" s="35"/>
      <c r="M47" s="110">
        <v>0</v>
      </c>
      <c r="N47" s="110">
        <v>0</v>
      </c>
      <c r="O47" s="110">
        <v>0</v>
      </c>
      <c r="P47" s="110">
        <v>0</v>
      </c>
      <c r="Q47" s="35">
        <v>180</v>
      </c>
      <c r="R47" s="110">
        <v>3</v>
      </c>
      <c r="S47" s="110">
        <v>0</v>
      </c>
      <c r="T47" s="110">
        <v>0</v>
      </c>
      <c r="U47" s="110">
        <v>0</v>
      </c>
      <c r="V47" s="110">
        <v>0</v>
      </c>
      <c r="W47" s="110">
        <v>1145</v>
      </c>
      <c r="X47" s="110">
        <v>12</v>
      </c>
      <c r="Z47" s="110" t="str">
        <f>VLOOKUP($D47,DSNhanVien!C:D,2)</f>
        <v>Nguyễn Hương Quỳnh</v>
      </c>
    </row>
    <row r="48" spans="1:26" s="110" customFormat="1" x14ac:dyDescent="0.25">
      <c r="A48" s="110" t="s">
        <v>195</v>
      </c>
      <c r="B48" s="110">
        <v>7</v>
      </c>
      <c r="C48" s="110" t="s">
        <v>12</v>
      </c>
      <c r="D48" s="110" t="s">
        <v>60</v>
      </c>
      <c r="E48" s="35">
        <v>696</v>
      </c>
      <c r="F48" s="110">
        <v>10</v>
      </c>
      <c r="G48" s="110">
        <v>135</v>
      </c>
      <c r="H48" s="110">
        <v>2</v>
      </c>
      <c r="K48" s="35">
        <v>100</v>
      </c>
      <c r="L48" s="110">
        <v>3</v>
      </c>
      <c r="M48" s="110">
        <v>0</v>
      </c>
      <c r="N48" s="110">
        <v>0</v>
      </c>
      <c r="O48" s="110">
        <v>0</v>
      </c>
      <c r="P48" s="110">
        <v>0</v>
      </c>
      <c r="Q48" s="35">
        <v>18</v>
      </c>
      <c r="R48" s="110">
        <v>1</v>
      </c>
      <c r="S48" s="110">
        <v>0</v>
      </c>
      <c r="T48" s="110">
        <v>0</v>
      </c>
      <c r="U48" s="110">
        <v>0</v>
      </c>
      <c r="V48" s="110">
        <v>0</v>
      </c>
      <c r="W48" s="110">
        <v>213</v>
      </c>
      <c r="X48" s="110">
        <v>2</v>
      </c>
      <c r="Z48" s="110" t="str">
        <f>VLOOKUP($D48,DSNhanVien!C:D,2)</f>
        <v>Nguyễn Hương Quỳnh</v>
      </c>
    </row>
    <row r="49" spans="1:26" s="110" customFormat="1" x14ac:dyDescent="0.25">
      <c r="A49" s="110" t="s">
        <v>193</v>
      </c>
      <c r="B49" s="110">
        <v>7</v>
      </c>
      <c r="C49" s="110" t="s">
        <v>11</v>
      </c>
      <c r="D49" s="110" t="s">
        <v>69</v>
      </c>
      <c r="E49" s="35">
        <v>151</v>
      </c>
      <c r="F49" s="110">
        <v>3</v>
      </c>
      <c r="K49" s="35"/>
      <c r="M49" s="110">
        <v>0</v>
      </c>
      <c r="N49" s="110">
        <v>0</v>
      </c>
      <c r="Q49" s="35"/>
      <c r="S49" s="110">
        <v>0</v>
      </c>
      <c r="T49" s="110">
        <v>0</v>
      </c>
      <c r="U49" s="110">
        <v>0</v>
      </c>
      <c r="V49" s="110">
        <v>0</v>
      </c>
      <c r="W49" s="110">
        <v>203</v>
      </c>
      <c r="X49" s="110">
        <v>1</v>
      </c>
      <c r="Z49" s="110" t="str">
        <f>VLOOKUP($D49,DSNhanVien!C:D,2)</f>
        <v>Phạm Thị Minh Hiền</v>
      </c>
    </row>
    <row r="50" spans="1:26" s="110" customFormat="1" x14ac:dyDescent="0.25">
      <c r="A50" s="110" t="s">
        <v>185</v>
      </c>
      <c r="B50" s="110">
        <v>5</v>
      </c>
      <c r="C50" s="110" t="s">
        <v>11</v>
      </c>
      <c r="D50" s="110" t="s">
        <v>69</v>
      </c>
      <c r="E50" s="35">
        <v>391</v>
      </c>
      <c r="F50" s="110">
        <v>5</v>
      </c>
      <c r="K50" s="35"/>
      <c r="M50" s="110">
        <v>0</v>
      </c>
      <c r="N50" s="110">
        <v>0</v>
      </c>
      <c r="Q50" s="35">
        <v>168</v>
      </c>
      <c r="R50" s="110">
        <v>1</v>
      </c>
      <c r="S50" s="110">
        <v>0</v>
      </c>
      <c r="T50" s="110">
        <v>0</v>
      </c>
      <c r="U50" s="110">
        <v>0</v>
      </c>
      <c r="V50" s="110">
        <v>0</v>
      </c>
      <c r="W50" s="110">
        <v>294</v>
      </c>
      <c r="X50" s="110">
        <v>1</v>
      </c>
      <c r="Z50" s="110" t="str">
        <f>VLOOKUP($D50,DSNhanVien!C:D,2)</f>
        <v>Phạm Thị Minh Hiền</v>
      </c>
    </row>
    <row r="51" spans="1:26" s="110" customFormat="1" x14ac:dyDescent="0.25">
      <c r="A51" s="110" t="s">
        <v>186</v>
      </c>
      <c r="B51" s="110">
        <v>4</v>
      </c>
      <c r="C51" s="110" t="s">
        <v>12</v>
      </c>
      <c r="D51" s="110" t="s">
        <v>69</v>
      </c>
      <c r="E51" s="35">
        <v>495</v>
      </c>
      <c r="F51" s="110">
        <v>6</v>
      </c>
      <c r="G51" s="110">
        <v>327</v>
      </c>
      <c r="H51" s="110">
        <v>3</v>
      </c>
      <c r="K51" s="35"/>
      <c r="M51" s="110">
        <v>0</v>
      </c>
      <c r="N51" s="110">
        <v>0</v>
      </c>
      <c r="Q51" s="35">
        <v>80</v>
      </c>
      <c r="R51" s="110">
        <v>1</v>
      </c>
      <c r="S51" s="110">
        <v>0</v>
      </c>
      <c r="T51" s="110">
        <v>0</v>
      </c>
      <c r="U51" s="110">
        <v>0</v>
      </c>
      <c r="V51" s="110">
        <v>0</v>
      </c>
      <c r="W51" s="110">
        <v>268</v>
      </c>
      <c r="X51" s="110">
        <v>1</v>
      </c>
      <c r="Z51" s="110" t="str">
        <f>VLOOKUP($D51,DSNhanVien!C:D,2)</f>
        <v>Phạm Thị Minh Hiền</v>
      </c>
    </row>
    <row r="52" spans="1:26" s="110" customFormat="1" x14ac:dyDescent="0.25">
      <c r="A52" s="110" t="s">
        <v>177</v>
      </c>
      <c r="B52" s="110">
        <v>2</v>
      </c>
      <c r="C52" s="110" t="s">
        <v>12</v>
      </c>
      <c r="D52" s="110" t="s">
        <v>88</v>
      </c>
      <c r="E52" s="35">
        <v>551</v>
      </c>
      <c r="F52" s="110">
        <v>7</v>
      </c>
      <c r="G52" s="110">
        <v>580</v>
      </c>
      <c r="H52" s="110">
        <v>1</v>
      </c>
      <c r="I52" s="110">
        <v>641</v>
      </c>
      <c r="J52" s="110">
        <v>4</v>
      </c>
      <c r="K52" s="35"/>
      <c r="M52" s="110">
        <v>0</v>
      </c>
      <c r="N52" s="110">
        <v>0</v>
      </c>
      <c r="Q52" s="35">
        <v>0</v>
      </c>
      <c r="R52" s="110">
        <v>0</v>
      </c>
      <c r="S52" s="110">
        <v>0</v>
      </c>
      <c r="T52" s="110">
        <v>0</v>
      </c>
      <c r="U52" s="110">
        <v>0</v>
      </c>
      <c r="V52" s="110">
        <v>0</v>
      </c>
      <c r="W52" s="110">
        <v>115</v>
      </c>
      <c r="X52" s="110">
        <v>1</v>
      </c>
      <c r="Y52" s="110" t="s">
        <v>194</v>
      </c>
      <c r="Z52" s="110" t="str">
        <f>VLOOKUP($D52,DSNhanVien!C:D,2)</f>
        <v>Nguyễn Thu Thảo</v>
      </c>
    </row>
    <row r="53" spans="1:26" s="110" customFormat="1" x14ac:dyDescent="0.25">
      <c r="A53" s="110" t="s">
        <v>192</v>
      </c>
      <c r="B53" s="110">
        <v>6</v>
      </c>
      <c r="C53" s="110" t="s">
        <v>11</v>
      </c>
      <c r="D53" s="110" t="s">
        <v>56</v>
      </c>
      <c r="E53" s="35">
        <v>397</v>
      </c>
      <c r="F53" s="110">
        <v>7</v>
      </c>
      <c r="I53" s="110">
        <v>0</v>
      </c>
      <c r="J53" s="110">
        <v>0</v>
      </c>
      <c r="K53" s="35"/>
      <c r="M53" s="110">
        <v>0</v>
      </c>
      <c r="N53" s="110">
        <v>0</v>
      </c>
      <c r="O53" s="110">
        <v>0</v>
      </c>
      <c r="P53" s="110">
        <v>0</v>
      </c>
      <c r="Q53" s="35">
        <v>0</v>
      </c>
      <c r="R53" s="110">
        <v>0</v>
      </c>
      <c r="S53" s="110">
        <v>0</v>
      </c>
      <c r="T53" s="110">
        <v>0</v>
      </c>
      <c r="U53" s="110">
        <v>0</v>
      </c>
      <c r="V53" s="110">
        <v>0</v>
      </c>
      <c r="W53" s="110">
        <v>98</v>
      </c>
      <c r="X53" s="110">
        <v>1</v>
      </c>
      <c r="Z53" s="110" t="str">
        <f>VLOOKUP($D53,DSNhanVien!C:D,2)</f>
        <v>Lương Kiều Oanh</v>
      </c>
    </row>
    <row r="54" spans="1:26" s="110" customFormat="1" x14ac:dyDescent="0.25">
      <c r="A54" s="110" t="s">
        <v>191</v>
      </c>
      <c r="B54" s="110">
        <v>6</v>
      </c>
      <c r="C54" s="110" t="s">
        <v>12</v>
      </c>
      <c r="D54" s="110" t="s">
        <v>62</v>
      </c>
      <c r="E54" s="35">
        <v>772</v>
      </c>
      <c r="F54" s="110">
        <v>9</v>
      </c>
      <c r="G54" s="110">
        <v>224</v>
      </c>
      <c r="H54" s="110">
        <v>1</v>
      </c>
      <c r="I54" s="110">
        <v>0</v>
      </c>
      <c r="J54" s="110">
        <v>0</v>
      </c>
      <c r="K54" s="35">
        <v>108</v>
      </c>
      <c r="L54" s="110">
        <v>1</v>
      </c>
      <c r="M54" s="110">
        <v>0</v>
      </c>
      <c r="N54" s="110">
        <v>0</v>
      </c>
      <c r="O54" s="110">
        <v>0</v>
      </c>
      <c r="P54" s="110">
        <v>0</v>
      </c>
      <c r="Q54" s="35">
        <v>0</v>
      </c>
      <c r="R54" s="110">
        <v>0</v>
      </c>
      <c r="S54" s="110">
        <v>0</v>
      </c>
      <c r="T54" s="110">
        <v>0</v>
      </c>
      <c r="U54" s="110">
        <v>0</v>
      </c>
      <c r="V54" s="110">
        <v>0</v>
      </c>
      <c r="W54" s="110">
        <v>441</v>
      </c>
      <c r="X54" s="110">
        <v>3</v>
      </c>
      <c r="Z54" s="110" t="str">
        <f>VLOOKUP($D54,DSNhanVien!C:D,2)</f>
        <v>Võ Phương Anh</v>
      </c>
    </row>
    <row r="55" spans="1:26" s="110" customFormat="1" x14ac:dyDescent="0.25">
      <c r="A55" s="110" t="s">
        <v>184</v>
      </c>
      <c r="B55" s="110">
        <v>5</v>
      </c>
      <c r="C55" s="110" t="s">
        <v>12</v>
      </c>
      <c r="D55" s="110" t="s">
        <v>60</v>
      </c>
      <c r="E55" s="35">
        <v>652</v>
      </c>
      <c r="F55" s="110">
        <v>10</v>
      </c>
      <c r="G55" s="110">
        <v>258</v>
      </c>
      <c r="H55" s="110">
        <v>2</v>
      </c>
      <c r="K55" s="35">
        <v>25</v>
      </c>
      <c r="L55" s="110">
        <v>1</v>
      </c>
      <c r="O55" s="110">
        <v>0</v>
      </c>
      <c r="Q55" s="35"/>
      <c r="W55" s="110">
        <v>0</v>
      </c>
      <c r="X55" s="112">
        <v>0</v>
      </c>
      <c r="Z55" s="110" t="str">
        <f>VLOOKUP($D55,DSNhanVien!C:D,2)</f>
        <v>Nguyễn Hương Quỳnh</v>
      </c>
    </row>
    <row r="56" spans="1:26" s="110" customFormat="1" x14ac:dyDescent="0.25">
      <c r="A56" s="110" t="s">
        <v>175</v>
      </c>
      <c r="B56" s="110">
        <v>1</v>
      </c>
      <c r="C56" s="110" t="s">
        <v>12</v>
      </c>
      <c r="D56" s="110" t="s">
        <v>62</v>
      </c>
      <c r="E56" s="35">
        <v>859.5</v>
      </c>
      <c r="F56" s="110">
        <v>11</v>
      </c>
      <c r="K56" s="35"/>
      <c r="O56" s="110">
        <v>0</v>
      </c>
      <c r="P56" s="110">
        <v>0</v>
      </c>
      <c r="Q56" s="35"/>
      <c r="W56" s="110">
        <v>0</v>
      </c>
      <c r="X56" s="112">
        <v>0</v>
      </c>
      <c r="Z56" s="110" t="str">
        <f>VLOOKUP($D56,DSNhanVien!C:D,2)</f>
        <v>Võ Phương Anh</v>
      </c>
    </row>
    <row r="57" spans="1:26" s="110" customFormat="1" x14ac:dyDescent="0.25">
      <c r="A57" s="110" t="s">
        <v>183</v>
      </c>
      <c r="B57" s="110">
        <v>4</v>
      </c>
      <c r="C57" s="110" t="s">
        <v>11</v>
      </c>
      <c r="D57" s="110" t="s">
        <v>56</v>
      </c>
      <c r="E57" s="35">
        <v>148</v>
      </c>
      <c r="F57" s="110">
        <v>4</v>
      </c>
      <c r="G57" s="110">
        <v>165</v>
      </c>
      <c r="H57" s="110">
        <v>1</v>
      </c>
      <c r="K57" s="35"/>
      <c r="O57" s="110">
        <v>0</v>
      </c>
      <c r="P57" s="110">
        <v>0</v>
      </c>
      <c r="Q57" s="35"/>
      <c r="W57" s="110">
        <v>0</v>
      </c>
      <c r="X57" s="112">
        <v>0</v>
      </c>
      <c r="Z57" s="110" t="str">
        <f>VLOOKUP($D57,DSNhanVien!C:D,2)</f>
        <v>Lương Kiều Oanh</v>
      </c>
    </row>
    <row r="58" spans="1:26" s="110" customFormat="1" x14ac:dyDescent="0.25">
      <c r="A58" s="110" t="s">
        <v>181</v>
      </c>
      <c r="B58" s="110">
        <v>1</v>
      </c>
      <c r="C58" s="110" t="s">
        <v>11</v>
      </c>
      <c r="D58" s="110" t="s">
        <v>62</v>
      </c>
      <c r="E58" s="35">
        <v>667.5</v>
      </c>
      <c r="F58" s="110">
        <v>7</v>
      </c>
      <c r="K58" s="35">
        <v>129</v>
      </c>
      <c r="L58" s="110">
        <v>3</v>
      </c>
      <c r="O58" s="110">
        <v>0</v>
      </c>
      <c r="P58" s="110">
        <v>0</v>
      </c>
      <c r="Q58" s="35">
        <v>0</v>
      </c>
      <c r="R58" s="110">
        <v>0</v>
      </c>
      <c r="S58" s="110">
        <v>0</v>
      </c>
      <c r="T58" s="110">
        <v>0</v>
      </c>
      <c r="U58" s="110">
        <v>0</v>
      </c>
      <c r="V58" s="110">
        <v>0</v>
      </c>
      <c r="W58" s="110">
        <v>0</v>
      </c>
      <c r="X58" s="112">
        <v>0</v>
      </c>
      <c r="Z58" s="110" t="str">
        <f>VLOOKUP($D58,DSNhanVien!C:D,2)</f>
        <v>Võ Phương Anh</v>
      </c>
    </row>
    <row r="59" spans="1:26" s="110" customFormat="1" x14ac:dyDescent="0.25">
      <c r="A59" s="110" t="s">
        <v>180</v>
      </c>
      <c r="B59" s="110">
        <v>3</v>
      </c>
      <c r="C59" s="110" t="s">
        <v>12</v>
      </c>
      <c r="D59" s="110" t="s">
        <v>60</v>
      </c>
      <c r="E59" s="35">
        <v>644</v>
      </c>
      <c r="F59" s="110">
        <v>6</v>
      </c>
      <c r="G59" s="110">
        <v>210</v>
      </c>
      <c r="H59" s="110">
        <v>2</v>
      </c>
      <c r="K59" s="35">
        <v>166</v>
      </c>
      <c r="L59" s="110">
        <v>1</v>
      </c>
      <c r="M59" s="110">
        <v>0</v>
      </c>
      <c r="N59" s="110">
        <v>0</v>
      </c>
      <c r="O59" s="110">
        <v>0</v>
      </c>
      <c r="P59" s="110">
        <v>0</v>
      </c>
      <c r="Q59" s="35">
        <v>90</v>
      </c>
      <c r="R59" s="110">
        <v>1</v>
      </c>
      <c r="S59" s="110">
        <v>0</v>
      </c>
      <c r="T59" s="110">
        <v>0</v>
      </c>
      <c r="U59" s="110">
        <v>0</v>
      </c>
      <c r="V59" s="110">
        <v>0</v>
      </c>
      <c r="W59" s="110">
        <v>0</v>
      </c>
      <c r="X59" s="112">
        <v>0</v>
      </c>
      <c r="Z59" s="110" t="str">
        <f>VLOOKUP($D59,DSNhanVien!C:D,2)</f>
        <v>Nguyễn Hương Quỳnh</v>
      </c>
    </row>
    <row r="60" spans="1:26" s="110" customFormat="1" x14ac:dyDescent="0.25">
      <c r="A60" s="110" t="s">
        <v>178</v>
      </c>
      <c r="B60" s="110">
        <v>3</v>
      </c>
      <c r="C60" s="110" t="s">
        <v>11</v>
      </c>
      <c r="D60" s="110" t="s">
        <v>56</v>
      </c>
      <c r="E60" s="35">
        <v>296</v>
      </c>
      <c r="F60" s="110">
        <v>5</v>
      </c>
      <c r="K60" s="35">
        <v>0</v>
      </c>
      <c r="L60" s="110">
        <v>0</v>
      </c>
      <c r="M60" s="110">
        <v>0</v>
      </c>
      <c r="N60" s="110">
        <v>0</v>
      </c>
      <c r="O60" s="110">
        <v>0</v>
      </c>
      <c r="P60" s="110">
        <v>0</v>
      </c>
      <c r="Q60" s="35">
        <v>0</v>
      </c>
      <c r="R60" s="110">
        <v>0</v>
      </c>
      <c r="S60" s="110">
        <v>0</v>
      </c>
      <c r="T60" s="110">
        <v>0</v>
      </c>
      <c r="U60" s="110">
        <v>0</v>
      </c>
      <c r="V60" s="110">
        <v>0</v>
      </c>
      <c r="W60" s="110">
        <v>0</v>
      </c>
      <c r="X60" s="112">
        <v>0</v>
      </c>
      <c r="Z60" s="110" t="str">
        <f>VLOOKUP($D60,DSNhanVien!C:D,2)</f>
        <v>Lương Kiều Oanh</v>
      </c>
    </row>
    <row r="61" spans="1:26" s="110" customFormat="1" x14ac:dyDescent="0.25">
      <c r="A61" s="110" t="s">
        <v>176</v>
      </c>
      <c r="B61" s="110">
        <v>2</v>
      </c>
      <c r="C61" s="110" t="s">
        <v>11</v>
      </c>
      <c r="D61" s="110" t="s">
        <v>56</v>
      </c>
      <c r="E61" s="35">
        <v>529</v>
      </c>
      <c r="F61" s="110">
        <v>4</v>
      </c>
      <c r="K61" s="35">
        <v>0</v>
      </c>
      <c r="L61" s="110">
        <v>0</v>
      </c>
      <c r="M61" s="110">
        <v>0</v>
      </c>
      <c r="N61" s="110">
        <v>0</v>
      </c>
      <c r="O61" s="110">
        <v>0</v>
      </c>
      <c r="P61" s="110">
        <v>0</v>
      </c>
      <c r="Q61" s="35">
        <v>0</v>
      </c>
      <c r="R61" s="110">
        <v>0</v>
      </c>
      <c r="S61" s="110">
        <v>0</v>
      </c>
      <c r="T61" s="110">
        <v>0</v>
      </c>
      <c r="U61" s="110">
        <v>0</v>
      </c>
      <c r="V61" s="110">
        <v>0</v>
      </c>
      <c r="W61" s="110">
        <v>0</v>
      </c>
      <c r="X61" s="112">
        <v>0</v>
      </c>
      <c r="Y61" s="110" t="s">
        <v>179</v>
      </c>
      <c r="Z61" s="110" t="str">
        <f>VLOOKUP($D61,DSNhanVien!C:D,2)</f>
        <v>Lương Kiều Oanh</v>
      </c>
    </row>
    <row r="62" spans="1:26" s="110" customFormat="1" x14ac:dyDescent="0.25">
      <c r="E62" s="35"/>
      <c r="K62" s="35"/>
      <c r="Q62" s="35"/>
      <c r="X62" s="112"/>
      <c r="Z62" s="110" t="e">
        <f>VLOOKUP($D62,DSNhanVien!C:D,2)</f>
        <v>#N/A</v>
      </c>
    </row>
    <row r="63" spans="1:26" s="110" customFormat="1" x14ac:dyDescent="0.25">
      <c r="A63"/>
      <c r="B63"/>
      <c r="C63"/>
      <c r="D63"/>
      <c r="E63" s="35"/>
      <c r="F63"/>
      <c r="G63"/>
      <c r="H63"/>
      <c r="I63"/>
      <c r="J63"/>
      <c r="K63" s="35"/>
      <c r="L63"/>
      <c r="M63"/>
      <c r="N63"/>
      <c r="O63"/>
      <c r="P63"/>
      <c r="Q63" s="35"/>
      <c r="R63"/>
      <c r="S63"/>
      <c r="T63"/>
      <c r="U63"/>
      <c r="V63"/>
      <c r="W63"/>
      <c r="X63"/>
    </row>
    <row r="64" spans="1:26" s="110" customFormat="1" x14ac:dyDescent="0.25">
      <c r="A64"/>
      <c r="B64"/>
      <c r="C64"/>
      <c r="D64"/>
      <c r="E64" s="35"/>
      <c r="F64"/>
      <c r="G64"/>
      <c r="H64"/>
      <c r="I64"/>
      <c r="J64"/>
      <c r="K64" s="35"/>
      <c r="L64"/>
      <c r="M64"/>
      <c r="N64"/>
      <c r="O64"/>
      <c r="P64"/>
      <c r="Q64" s="35"/>
      <c r="R64"/>
      <c r="S64"/>
      <c r="T64"/>
      <c r="U64"/>
      <c r="V64"/>
      <c r="W64"/>
      <c r="X64"/>
    </row>
    <row r="65" spans="1:26" s="110" customFormat="1" x14ac:dyDescent="0.25">
      <c r="A65"/>
      <c r="B65"/>
      <c r="C65"/>
      <c r="D65"/>
      <c r="E65" s="35"/>
      <c r="F65"/>
      <c r="G65"/>
      <c r="H65"/>
      <c r="I65"/>
      <c r="J65"/>
      <c r="K65" s="35"/>
      <c r="L65"/>
      <c r="M65"/>
      <c r="N65"/>
      <c r="O65"/>
      <c r="P65"/>
      <c r="Q65" s="35"/>
      <c r="R65"/>
      <c r="S65"/>
      <c r="T65"/>
      <c r="U65"/>
      <c r="V65"/>
      <c r="W65"/>
      <c r="X65"/>
    </row>
    <row r="66" spans="1:26" s="110" customFormat="1" x14ac:dyDescent="0.25">
      <c r="A66"/>
      <c r="B66"/>
      <c r="C66"/>
      <c r="D66"/>
      <c r="E66" s="35"/>
      <c r="F66"/>
      <c r="G66"/>
      <c r="H66"/>
      <c r="I66"/>
      <c r="J66"/>
      <c r="K66" s="35"/>
      <c r="L66"/>
      <c r="M66"/>
      <c r="N66"/>
      <c r="O66"/>
      <c r="P66"/>
      <c r="Q66" s="35"/>
      <c r="R66"/>
      <c r="S66"/>
      <c r="T66"/>
      <c r="U66"/>
      <c r="V66"/>
      <c r="W66"/>
      <c r="X66"/>
    </row>
    <row r="67" spans="1:26" s="110" customFormat="1" x14ac:dyDescent="0.25">
      <c r="A67"/>
      <c r="B67"/>
      <c r="C67"/>
      <c r="D67"/>
      <c r="E67" s="35"/>
      <c r="F67"/>
      <c r="G67"/>
      <c r="H67"/>
      <c r="I67"/>
      <c r="J67"/>
      <c r="K67" s="35"/>
      <c r="L67"/>
      <c r="M67"/>
      <c r="N67"/>
      <c r="O67"/>
      <c r="P67"/>
      <c r="Q67" s="35"/>
      <c r="R67"/>
      <c r="S67"/>
      <c r="T67"/>
      <c r="U67"/>
      <c r="V67"/>
      <c r="W67"/>
      <c r="X67"/>
    </row>
    <row r="68" spans="1:26" s="110" customFormat="1" x14ac:dyDescent="0.25">
      <c r="A68"/>
      <c r="B68"/>
      <c r="C68"/>
      <c r="D68"/>
      <c r="E68" s="35"/>
      <c r="F68"/>
      <c r="G68"/>
      <c r="H68"/>
      <c r="I68"/>
      <c r="J68"/>
      <c r="K68" s="35"/>
      <c r="L68"/>
      <c r="M68"/>
      <c r="N68"/>
      <c r="O68"/>
      <c r="P68"/>
      <c r="Q68" s="35"/>
      <c r="R68"/>
      <c r="S68"/>
      <c r="T68"/>
      <c r="U68"/>
      <c r="V68"/>
      <c r="W68"/>
      <c r="X68"/>
      <c r="Y68" s="109"/>
      <c r="Z68" s="109"/>
    </row>
    <row r="69" spans="1:26" s="110" customFormat="1" x14ac:dyDescent="0.25">
      <c r="A69"/>
      <c r="B69"/>
      <c r="C69"/>
      <c r="D69"/>
      <c r="E69" s="35"/>
      <c r="F69"/>
      <c r="G69"/>
      <c r="H69"/>
      <c r="I69"/>
      <c r="J69"/>
      <c r="K69" s="35"/>
      <c r="L69"/>
      <c r="M69"/>
      <c r="N69"/>
      <c r="O69"/>
      <c r="P69"/>
      <c r="Q69" s="35"/>
      <c r="R69"/>
      <c r="S69"/>
      <c r="T69"/>
      <c r="U69"/>
      <c r="V69"/>
      <c r="W69"/>
      <c r="X69"/>
      <c r="Y69" s="109"/>
      <c r="Z69" s="109"/>
    </row>
    <row r="70" spans="1:26" s="109" customFormat="1" x14ac:dyDescent="0.25">
      <c r="A70"/>
      <c r="B70"/>
      <c r="C70"/>
      <c r="D70"/>
      <c r="E70" s="35"/>
      <c r="F70"/>
      <c r="G70"/>
      <c r="H70"/>
      <c r="I70"/>
      <c r="J70"/>
      <c r="K70" s="35"/>
      <c r="L70"/>
      <c r="M70"/>
      <c r="N70"/>
      <c r="O70"/>
      <c r="P70"/>
      <c r="Q70" s="35"/>
      <c r="R70"/>
      <c r="S70"/>
      <c r="T70"/>
      <c r="U70"/>
      <c r="V70"/>
      <c r="W70"/>
      <c r="X70"/>
    </row>
    <row r="71" spans="1:26" s="109" customFormat="1" x14ac:dyDescent="0.25">
      <c r="A71"/>
      <c r="B71"/>
      <c r="C71"/>
      <c r="D71"/>
      <c r="E71" s="35"/>
      <c r="F71"/>
      <c r="G71"/>
      <c r="H71"/>
      <c r="I71"/>
      <c r="J71"/>
      <c r="K71" s="35"/>
      <c r="L71"/>
      <c r="M71"/>
      <c r="N71"/>
      <c r="O71"/>
      <c r="P71"/>
      <c r="Q71" s="35"/>
      <c r="R71"/>
      <c r="S71"/>
      <c r="T71"/>
      <c r="U71"/>
      <c r="V71"/>
      <c r="W71"/>
      <c r="X71"/>
    </row>
    <row r="72" spans="1:26" s="109" customFormat="1" x14ac:dyDescent="0.25">
      <c r="A72"/>
      <c r="B72"/>
      <c r="C72"/>
      <c r="D72"/>
      <c r="E72" s="35"/>
      <c r="F72"/>
      <c r="G72"/>
      <c r="H72"/>
      <c r="I72"/>
      <c r="J72"/>
      <c r="K72" s="35"/>
      <c r="L72"/>
      <c r="M72"/>
      <c r="N72"/>
      <c r="O72"/>
      <c r="P72"/>
      <c r="Q72" s="35"/>
      <c r="R72"/>
      <c r="S72"/>
      <c r="T72"/>
      <c r="U72"/>
      <c r="V72"/>
      <c r="W72"/>
      <c r="X72"/>
    </row>
    <row r="73" spans="1:26" s="109" customFormat="1" x14ac:dyDescent="0.25">
      <c r="A73"/>
      <c r="B73"/>
      <c r="C73"/>
      <c r="D73"/>
      <c r="E73" s="35"/>
      <c r="F73"/>
      <c r="G73"/>
      <c r="H73"/>
      <c r="I73"/>
      <c r="J73"/>
      <c r="K73" s="35"/>
      <c r="L73"/>
      <c r="M73"/>
      <c r="N73"/>
      <c r="O73"/>
      <c r="P73"/>
      <c r="Q73" s="35"/>
      <c r="R73"/>
      <c r="S73"/>
      <c r="T73"/>
      <c r="U73"/>
      <c r="V73"/>
      <c r="W73"/>
      <c r="X73"/>
    </row>
    <row r="74" spans="1:26" s="109" customFormat="1" x14ac:dyDescent="0.25">
      <c r="A74"/>
      <c r="B74"/>
      <c r="C74"/>
      <c r="D74"/>
      <c r="E74" s="35"/>
      <c r="F74"/>
      <c r="G74"/>
      <c r="H74"/>
      <c r="I74"/>
      <c r="J74"/>
      <c r="K74" s="35"/>
      <c r="L74"/>
      <c r="M74"/>
      <c r="N74"/>
      <c r="O74"/>
      <c r="P74"/>
      <c r="Q74" s="35"/>
      <c r="R74"/>
      <c r="S74"/>
      <c r="T74"/>
      <c r="U74"/>
      <c r="V74"/>
      <c r="W74"/>
      <c r="X74"/>
    </row>
    <row r="75" spans="1:26" s="109" customFormat="1" x14ac:dyDescent="0.25">
      <c r="A75"/>
      <c r="B75"/>
      <c r="C75"/>
      <c r="D75"/>
      <c r="E75" s="35"/>
      <c r="F75"/>
      <c r="G75"/>
      <c r="H75"/>
      <c r="I75"/>
      <c r="J75"/>
      <c r="K75" s="35"/>
      <c r="L75"/>
      <c r="M75"/>
      <c r="N75"/>
      <c r="O75"/>
      <c r="P75"/>
      <c r="Q75" s="35"/>
      <c r="R75"/>
      <c r="S75"/>
      <c r="T75"/>
      <c r="U75"/>
      <c r="V75"/>
      <c r="W75"/>
      <c r="X75"/>
    </row>
    <row r="76" spans="1:26" s="109" customFormat="1" x14ac:dyDescent="0.25">
      <c r="A76"/>
      <c r="B76"/>
      <c r="C76"/>
      <c r="D76"/>
      <c r="E76" s="35"/>
      <c r="F76"/>
      <c r="G76"/>
      <c r="H76"/>
      <c r="I76"/>
      <c r="J76"/>
      <c r="K76" s="35"/>
      <c r="L76"/>
      <c r="M76"/>
      <c r="N76"/>
      <c r="O76"/>
      <c r="P76"/>
      <c r="Q76" s="35"/>
      <c r="R76"/>
      <c r="S76"/>
      <c r="T76"/>
      <c r="U76"/>
      <c r="V76"/>
      <c r="W76"/>
      <c r="X76"/>
      <c r="Y76"/>
      <c r="Z76"/>
    </row>
    <row r="77" spans="1:26" s="109" customFormat="1" x14ac:dyDescent="0.25">
      <c r="A77"/>
      <c r="B77"/>
      <c r="C77"/>
      <c r="D77"/>
      <c r="E77" s="35"/>
      <c r="F77"/>
      <c r="G77"/>
      <c r="H77"/>
      <c r="I77"/>
      <c r="J77"/>
      <c r="K77" s="35"/>
      <c r="L77"/>
      <c r="M77"/>
      <c r="N77"/>
      <c r="O77"/>
      <c r="P77"/>
      <c r="Q77" s="35"/>
      <c r="R77"/>
      <c r="S77"/>
      <c r="T77"/>
      <c r="U77"/>
      <c r="V77"/>
      <c r="W77"/>
      <c r="X77"/>
      <c r="Y77"/>
      <c r="Z77"/>
    </row>
  </sheetData>
  <protectedRanges>
    <protectedRange sqref="Y17" name="Range1"/>
  </protectedRanges>
  <conditionalFormatting sqref="A62:A1048576 A1:A4 A6 A8:A9 A13:A17 A19:A24 A27 A29 A31:A32 A37:A39 A41:A44 A46:A52 A54 A56 A58">
    <cfRule type="duplicateValues" dxfId="21" priority="14"/>
  </conditionalFormatting>
  <pageMargins left="0.7" right="0.7" top="0.75" bottom="0.75" header="0.3" footer="0.3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J73"/>
  <sheetViews>
    <sheetView workbookViewId="0">
      <selection activeCell="D9" sqref="D9"/>
    </sheetView>
  </sheetViews>
  <sheetFormatPr defaultColWidth="8.85546875" defaultRowHeight="15" x14ac:dyDescent="0.25"/>
  <cols>
    <col min="4" max="4" width="15.140625" customWidth="1"/>
    <col min="5" max="5" width="12.42578125" customWidth="1"/>
    <col min="6" max="6" width="9.42578125" customWidth="1"/>
    <col min="7" max="7" width="12.42578125" customWidth="1"/>
    <col min="8" max="8" width="10.42578125" customWidth="1"/>
    <col min="9" max="9" width="14.28515625" customWidth="1"/>
    <col min="10" max="10" width="22.85546875" customWidth="1"/>
  </cols>
  <sheetData>
    <row r="1" spans="1:10" x14ac:dyDescent="0.25">
      <c r="A1" t="s">
        <v>30</v>
      </c>
      <c r="B1" t="s">
        <v>10</v>
      </c>
      <c r="C1" t="s">
        <v>19</v>
      </c>
      <c r="D1" t="s">
        <v>18</v>
      </c>
      <c r="E1" t="s">
        <v>21</v>
      </c>
      <c r="F1" t="s">
        <v>20</v>
      </c>
      <c r="G1" t="s">
        <v>24</v>
      </c>
      <c r="H1" t="s">
        <v>44</v>
      </c>
      <c r="I1" t="s">
        <v>43</v>
      </c>
      <c r="J1" t="s">
        <v>158</v>
      </c>
    </row>
    <row r="2" spans="1:10" s="110" customFormat="1" x14ac:dyDescent="0.25">
      <c r="A2" s="110" t="s">
        <v>257</v>
      </c>
      <c r="B2" s="110">
        <v>30</v>
      </c>
      <c r="C2" s="110" t="s">
        <v>12</v>
      </c>
      <c r="D2" s="110" t="s">
        <v>58</v>
      </c>
      <c r="E2" s="110">
        <v>465</v>
      </c>
      <c r="F2" s="110">
        <v>5</v>
      </c>
      <c r="G2" s="110">
        <v>0</v>
      </c>
      <c r="H2" s="110">
        <v>0</v>
      </c>
      <c r="J2" s="110" t="str">
        <f>VLOOKUP($D2,DSNhanVien!C:D,2)</f>
        <v>Vũ Kim Anh</v>
      </c>
    </row>
    <row r="3" spans="1:10" s="110" customFormat="1" x14ac:dyDescent="0.25">
      <c r="A3" s="110" t="s">
        <v>256</v>
      </c>
      <c r="B3" s="110">
        <v>30</v>
      </c>
      <c r="C3" s="110" t="s">
        <v>11</v>
      </c>
      <c r="D3" s="110" t="s">
        <v>55</v>
      </c>
      <c r="E3" s="110">
        <v>348</v>
      </c>
      <c r="F3" s="110">
        <v>5</v>
      </c>
      <c r="G3" s="110">
        <v>0</v>
      </c>
      <c r="H3" s="110">
        <v>0</v>
      </c>
      <c r="J3" s="110" t="str">
        <f>VLOOKUP($D3,DSNhanVien!C:D,2)</f>
        <v>Trần Phương Thảo</v>
      </c>
    </row>
    <row r="4" spans="1:10" s="110" customFormat="1" x14ac:dyDescent="0.25">
      <c r="A4" s="110" t="s">
        <v>255</v>
      </c>
      <c r="B4" s="110">
        <v>29</v>
      </c>
      <c r="C4" s="110" t="s">
        <v>12</v>
      </c>
      <c r="D4" s="110" t="s">
        <v>58</v>
      </c>
      <c r="E4" s="110">
        <v>499</v>
      </c>
      <c r="F4" s="110">
        <v>8</v>
      </c>
      <c r="G4" s="110">
        <v>0</v>
      </c>
      <c r="H4" s="110">
        <v>0</v>
      </c>
      <c r="J4" s="110" t="str">
        <f>VLOOKUP($D4,DSNhanVien!C:D,2)</f>
        <v>Vũ Kim Anh</v>
      </c>
    </row>
    <row r="5" spans="1:10" s="110" customFormat="1" x14ac:dyDescent="0.25">
      <c r="A5" s="110" t="s">
        <v>253</v>
      </c>
      <c r="B5" s="110">
        <v>29</v>
      </c>
      <c r="C5" s="110" t="s">
        <v>11</v>
      </c>
      <c r="D5" s="110" t="s">
        <v>59</v>
      </c>
      <c r="E5" s="110">
        <v>670</v>
      </c>
      <c r="F5" s="110">
        <v>6</v>
      </c>
      <c r="G5" s="110">
        <v>0</v>
      </c>
      <c r="H5" s="110">
        <v>0</v>
      </c>
      <c r="J5" s="110" t="str">
        <f>VLOOKUP($D5,DSNhanVien!C:D,2)</f>
        <v>Tăng Hoài Duy</v>
      </c>
    </row>
    <row r="6" spans="1:10" s="110" customFormat="1" x14ac:dyDescent="0.25">
      <c r="A6" s="114" t="s">
        <v>250</v>
      </c>
      <c r="B6" s="110">
        <v>28</v>
      </c>
      <c r="C6" s="110" t="s">
        <v>12</v>
      </c>
      <c r="D6" s="110" t="s">
        <v>55</v>
      </c>
      <c r="E6" s="110">
        <v>279</v>
      </c>
      <c r="F6" s="110">
        <v>3</v>
      </c>
      <c r="G6" s="110">
        <v>0</v>
      </c>
      <c r="H6" s="110">
        <v>0</v>
      </c>
      <c r="J6" s="110" t="str">
        <f>VLOOKUP($D6,DSNhanVien!C:D,2)</f>
        <v>Trần Phương Thảo</v>
      </c>
    </row>
    <row r="7" spans="1:10" s="110" customFormat="1" x14ac:dyDescent="0.25">
      <c r="A7" s="110" t="s">
        <v>252</v>
      </c>
      <c r="B7" s="110">
        <v>28</v>
      </c>
      <c r="C7" s="110" t="s">
        <v>12</v>
      </c>
      <c r="D7" s="110" t="s">
        <v>58</v>
      </c>
      <c r="E7" s="110">
        <v>205</v>
      </c>
      <c r="F7" s="110">
        <v>3</v>
      </c>
      <c r="G7" s="110">
        <v>0</v>
      </c>
      <c r="H7" s="110">
        <v>0</v>
      </c>
      <c r="J7" s="110" t="str">
        <f>VLOOKUP($D7,DSNhanVien!C:D,2)</f>
        <v>Vũ Kim Anh</v>
      </c>
    </row>
    <row r="8" spans="1:10" s="110" customFormat="1" x14ac:dyDescent="0.25">
      <c r="A8" s="110" t="s">
        <v>249</v>
      </c>
      <c r="B8" s="110">
        <v>27</v>
      </c>
      <c r="C8" s="110" t="s">
        <v>12</v>
      </c>
      <c r="D8" s="110" t="s">
        <v>58</v>
      </c>
      <c r="E8" s="110">
        <v>175</v>
      </c>
      <c r="F8" s="110">
        <v>3</v>
      </c>
      <c r="G8" s="110">
        <v>0</v>
      </c>
      <c r="H8" s="110">
        <v>0</v>
      </c>
      <c r="J8" s="110" t="str">
        <f>VLOOKUP($D8,DSNhanVien!C:D,2)</f>
        <v>Vũ Kim Anh</v>
      </c>
    </row>
    <row r="9" spans="1:10" s="110" customFormat="1" x14ac:dyDescent="0.25">
      <c r="A9" s="110" t="s">
        <v>247</v>
      </c>
      <c r="B9" s="110">
        <v>27</v>
      </c>
      <c r="C9" s="110" t="s">
        <v>11</v>
      </c>
      <c r="D9" s="110" t="s">
        <v>61</v>
      </c>
      <c r="E9" s="110">
        <v>102</v>
      </c>
      <c r="F9" s="110">
        <v>3</v>
      </c>
      <c r="G9" s="110">
        <v>0</v>
      </c>
      <c r="H9" s="110">
        <v>0</v>
      </c>
      <c r="J9" s="110" t="str">
        <f>VLOOKUP($D9,DSNhanVien!C:D,2)</f>
        <v>Trần Nam Anh</v>
      </c>
    </row>
    <row r="10" spans="1:10" s="110" customFormat="1" x14ac:dyDescent="0.25">
      <c r="A10" s="110" t="s">
        <v>244</v>
      </c>
      <c r="B10" s="110">
        <v>26</v>
      </c>
      <c r="C10" s="110" t="s">
        <v>11</v>
      </c>
      <c r="D10" s="110" t="s">
        <v>61</v>
      </c>
      <c r="E10" s="110">
        <v>0</v>
      </c>
      <c r="F10" s="110">
        <v>0</v>
      </c>
      <c r="G10" s="110">
        <v>0</v>
      </c>
      <c r="H10" s="110">
        <v>0</v>
      </c>
      <c r="J10" s="110" t="str">
        <f>VLOOKUP($D10,DSNhanVien!C:D,2)</f>
        <v>Trần Nam Anh</v>
      </c>
    </row>
    <row r="11" spans="1:10" s="110" customFormat="1" x14ac:dyDescent="0.25">
      <c r="A11" s="110" t="s">
        <v>242</v>
      </c>
      <c r="B11" s="110">
        <v>26</v>
      </c>
      <c r="C11" s="110" t="s">
        <v>12</v>
      </c>
      <c r="D11" s="110" t="s">
        <v>55</v>
      </c>
      <c r="E11" s="110">
        <v>584</v>
      </c>
      <c r="F11" s="110">
        <v>6</v>
      </c>
      <c r="G11" s="110">
        <v>0</v>
      </c>
      <c r="H11" s="110">
        <v>0</v>
      </c>
      <c r="J11" s="110" t="str">
        <f>VLOOKUP($D11,DSNhanVien!C:D,2)</f>
        <v>Trần Phương Thảo</v>
      </c>
    </row>
    <row r="12" spans="1:10" s="110" customFormat="1" x14ac:dyDescent="0.25">
      <c r="A12" s="110" t="s">
        <v>240</v>
      </c>
      <c r="B12" s="110">
        <v>25</v>
      </c>
      <c r="C12" s="110" t="s">
        <v>12</v>
      </c>
      <c r="D12" s="110" t="s">
        <v>58</v>
      </c>
      <c r="E12" s="110">
        <v>450</v>
      </c>
      <c r="F12" s="110">
        <v>4</v>
      </c>
      <c r="G12" s="110">
        <v>0</v>
      </c>
      <c r="H12" s="110">
        <v>0</v>
      </c>
      <c r="J12" s="110" t="str">
        <f>VLOOKUP($D12,DSNhanVien!C:D,2)</f>
        <v>Vũ Kim Anh</v>
      </c>
    </row>
    <row r="13" spans="1:10" s="110" customFormat="1" x14ac:dyDescent="0.25">
      <c r="A13" s="110" t="s">
        <v>239</v>
      </c>
      <c r="B13" s="110">
        <v>25</v>
      </c>
      <c r="C13" s="110" t="s">
        <v>11</v>
      </c>
      <c r="D13" s="110" t="s">
        <v>61</v>
      </c>
      <c r="E13" s="110">
        <v>137</v>
      </c>
      <c r="F13" s="110">
        <v>3</v>
      </c>
      <c r="G13" s="110">
        <v>0</v>
      </c>
      <c r="H13" s="110">
        <v>0</v>
      </c>
      <c r="J13" s="110" t="str">
        <f>VLOOKUP($D13,DSNhanVien!C:D,2)</f>
        <v>Trần Nam Anh</v>
      </c>
    </row>
    <row r="14" spans="1:10" s="110" customFormat="1" x14ac:dyDescent="0.25">
      <c r="A14" s="110" t="s">
        <v>238</v>
      </c>
      <c r="B14" s="110">
        <v>23</v>
      </c>
      <c r="C14" s="110" t="s">
        <v>12</v>
      </c>
      <c r="D14" s="110" t="s">
        <v>58</v>
      </c>
      <c r="E14" s="110">
        <v>646</v>
      </c>
      <c r="F14" s="110">
        <v>8</v>
      </c>
      <c r="G14" s="110">
        <v>0</v>
      </c>
      <c r="H14" s="110">
        <v>0</v>
      </c>
      <c r="J14" s="110" t="str">
        <f>VLOOKUP($D14,DSNhanVien!C:D,2)</f>
        <v>Vũ Kim Anh</v>
      </c>
    </row>
    <row r="15" spans="1:10" s="110" customFormat="1" x14ac:dyDescent="0.25">
      <c r="A15" s="110" t="s">
        <v>236</v>
      </c>
      <c r="B15" s="110">
        <v>24</v>
      </c>
      <c r="C15" s="110" t="s">
        <v>12</v>
      </c>
      <c r="D15" s="110" t="s">
        <v>59</v>
      </c>
      <c r="E15" s="110">
        <v>702</v>
      </c>
      <c r="F15" s="110">
        <v>9</v>
      </c>
      <c r="G15" s="110">
        <v>0</v>
      </c>
      <c r="H15" s="110">
        <v>0</v>
      </c>
      <c r="J15" s="110" t="str">
        <f>VLOOKUP($D15,DSNhanVien!C:D,2)</f>
        <v>Tăng Hoài Duy</v>
      </c>
    </row>
    <row r="16" spans="1:10" s="110" customFormat="1" x14ac:dyDescent="0.25">
      <c r="A16" s="110" t="s">
        <v>235</v>
      </c>
      <c r="B16" s="110">
        <v>24</v>
      </c>
      <c r="C16" s="110" t="s">
        <v>11</v>
      </c>
      <c r="D16" s="110" t="s">
        <v>55</v>
      </c>
      <c r="E16" s="110">
        <v>70</v>
      </c>
      <c r="F16" s="110">
        <v>3</v>
      </c>
      <c r="G16" s="110">
        <v>0</v>
      </c>
      <c r="H16" s="110">
        <v>0</v>
      </c>
      <c r="J16" s="110" t="str">
        <f>VLOOKUP($D16,DSNhanVien!C:D,2)</f>
        <v>Trần Phương Thảo</v>
      </c>
    </row>
    <row r="17" spans="1:10" s="110" customFormat="1" x14ac:dyDescent="0.25">
      <c r="A17" s="110" t="s">
        <v>234</v>
      </c>
      <c r="B17" s="110">
        <v>23</v>
      </c>
      <c r="C17" s="110" t="s">
        <v>11</v>
      </c>
      <c r="D17" s="110" t="s">
        <v>55</v>
      </c>
      <c r="E17" s="110">
        <v>422</v>
      </c>
      <c r="F17" s="110">
        <v>8</v>
      </c>
      <c r="G17" s="110">
        <v>0</v>
      </c>
      <c r="H17" s="110">
        <v>0</v>
      </c>
      <c r="J17" s="110" t="str">
        <f>VLOOKUP($D17,DSNhanVien!C:D,2)</f>
        <v>Trần Phương Thảo</v>
      </c>
    </row>
    <row r="18" spans="1:10" s="110" customFormat="1" x14ac:dyDescent="0.25">
      <c r="A18" s="110" t="s">
        <v>231</v>
      </c>
      <c r="B18" s="110">
        <v>21</v>
      </c>
      <c r="C18" s="110" t="s">
        <v>11</v>
      </c>
      <c r="D18" s="110" t="s">
        <v>58</v>
      </c>
      <c r="E18" s="110">
        <v>529</v>
      </c>
      <c r="F18" s="110">
        <v>3</v>
      </c>
      <c r="G18" s="110">
        <v>0</v>
      </c>
      <c r="H18" s="110">
        <v>0</v>
      </c>
      <c r="J18" s="110" t="str">
        <f>VLOOKUP($D18,DSNhanVien!C:D,2)</f>
        <v>Vũ Kim Anh</v>
      </c>
    </row>
    <row r="19" spans="1:10" s="110" customFormat="1" x14ac:dyDescent="0.25">
      <c r="A19" s="110" t="s">
        <v>232</v>
      </c>
      <c r="B19" s="110">
        <v>22</v>
      </c>
      <c r="C19" s="110" t="s">
        <v>12</v>
      </c>
      <c r="D19" s="110" t="s">
        <v>59</v>
      </c>
      <c r="E19" s="110">
        <v>1692</v>
      </c>
      <c r="F19" s="110">
        <v>10</v>
      </c>
      <c r="G19" s="110">
        <v>0</v>
      </c>
      <c r="H19" s="110">
        <v>0</v>
      </c>
      <c r="J19" s="110" t="str">
        <f>VLOOKUP($D19,DSNhanVien!C:D,2)</f>
        <v>Tăng Hoài Duy</v>
      </c>
    </row>
    <row r="20" spans="1:10" s="110" customFormat="1" x14ac:dyDescent="0.25">
      <c r="A20" s="110" t="s">
        <v>230</v>
      </c>
      <c r="B20" s="110">
        <v>22</v>
      </c>
      <c r="C20" s="110" t="s">
        <v>11</v>
      </c>
      <c r="D20" s="110" t="s">
        <v>59</v>
      </c>
      <c r="E20" s="110">
        <v>18</v>
      </c>
      <c r="F20" s="110">
        <v>1</v>
      </c>
      <c r="G20" s="110">
        <v>0</v>
      </c>
      <c r="H20" s="110">
        <v>0</v>
      </c>
      <c r="J20" s="110" t="str">
        <f>VLOOKUP($D20,DSNhanVien!C:D,2)</f>
        <v>Tăng Hoài Duy</v>
      </c>
    </row>
    <row r="21" spans="1:10" s="110" customFormat="1" x14ac:dyDescent="0.25">
      <c r="A21" s="110" t="s">
        <v>229</v>
      </c>
      <c r="B21" s="110">
        <v>21</v>
      </c>
      <c r="C21" s="110" t="s">
        <v>12</v>
      </c>
      <c r="D21" s="110" t="s">
        <v>59</v>
      </c>
      <c r="E21" s="110">
        <v>652</v>
      </c>
      <c r="F21" s="110">
        <v>4</v>
      </c>
      <c r="G21" s="110">
        <v>60000</v>
      </c>
      <c r="H21" s="110">
        <v>1</v>
      </c>
      <c r="J21" s="110" t="str">
        <f>VLOOKUP($D21,DSNhanVien!C:D,2)</f>
        <v>Tăng Hoài Duy</v>
      </c>
    </row>
    <row r="22" spans="1:10" s="110" customFormat="1" x14ac:dyDescent="0.25">
      <c r="A22" s="110" t="s">
        <v>227</v>
      </c>
      <c r="B22" s="110">
        <v>20</v>
      </c>
      <c r="C22" s="110" t="s">
        <v>11</v>
      </c>
      <c r="D22" s="110" t="s">
        <v>59</v>
      </c>
      <c r="E22" s="110">
        <v>19</v>
      </c>
      <c r="F22" s="110">
        <v>1</v>
      </c>
      <c r="G22" s="110">
        <v>0</v>
      </c>
      <c r="H22" s="110">
        <v>0</v>
      </c>
      <c r="J22" s="110" t="str">
        <f>VLOOKUP($D22,DSNhanVien!C:D,2)</f>
        <v>Tăng Hoài Duy</v>
      </c>
    </row>
    <row r="23" spans="1:10" s="110" customFormat="1" x14ac:dyDescent="0.25">
      <c r="A23" s="110" t="s">
        <v>226</v>
      </c>
      <c r="B23" s="110">
        <v>20</v>
      </c>
      <c r="C23" s="110" t="s">
        <v>12</v>
      </c>
      <c r="D23" s="110" t="s">
        <v>58</v>
      </c>
      <c r="E23" s="110">
        <v>475</v>
      </c>
      <c r="F23" s="110">
        <v>6</v>
      </c>
      <c r="G23" s="110">
        <v>149</v>
      </c>
      <c r="H23" s="110">
        <v>1</v>
      </c>
      <c r="J23" s="110" t="str">
        <f>VLOOKUP($D23,DSNhanVien!C:D,2)</f>
        <v>Vũ Kim Anh</v>
      </c>
    </row>
    <row r="24" spans="1:10" s="110" customFormat="1" x14ac:dyDescent="0.25">
      <c r="A24" s="110" t="s">
        <v>225</v>
      </c>
      <c r="B24" s="110">
        <v>19</v>
      </c>
      <c r="C24" s="110" t="s">
        <v>12</v>
      </c>
      <c r="D24" s="110" t="s">
        <v>59</v>
      </c>
      <c r="E24" s="110">
        <v>702</v>
      </c>
      <c r="F24" s="110">
        <v>5</v>
      </c>
      <c r="G24" s="110">
        <v>0</v>
      </c>
      <c r="H24" s="110">
        <v>0</v>
      </c>
      <c r="J24" s="110" t="str">
        <f>VLOOKUP($D24,DSNhanVien!C:D,2)</f>
        <v>Tăng Hoài Duy</v>
      </c>
    </row>
    <row r="25" spans="1:10" s="110" customFormat="1" x14ac:dyDescent="0.25">
      <c r="A25" s="110" t="s">
        <v>224</v>
      </c>
      <c r="B25" s="110">
        <v>19</v>
      </c>
      <c r="C25" s="110" t="s">
        <v>11</v>
      </c>
      <c r="D25" s="110" t="s">
        <v>55</v>
      </c>
      <c r="E25" s="110">
        <v>251</v>
      </c>
      <c r="F25" s="110">
        <v>4</v>
      </c>
      <c r="G25" s="110">
        <v>0</v>
      </c>
      <c r="H25" s="110">
        <v>0</v>
      </c>
      <c r="J25" s="110" t="str">
        <f>VLOOKUP($D25,DSNhanVien!C:D,2)</f>
        <v>Trần Phương Thảo</v>
      </c>
    </row>
    <row r="26" spans="1:10" s="110" customFormat="1" x14ac:dyDescent="0.25">
      <c r="A26" s="110" t="s">
        <v>223</v>
      </c>
      <c r="B26" s="110">
        <v>18</v>
      </c>
      <c r="C26" s="110" t="s">
        <v>12</v>
      </c>
      <c r="D26" s="110" t="s">
        <v>58</v>
      </c>
      <c r="E26" s="110">
        <v>458</v>
      </c>
      <c r="F26" s="110">
        <v>5</v>
      </c>
      <c r="G26" s="110">
        <v>0</v>
      </c>
      <c r="H26" s="110">
        <v>0</v>
      </c>
      <c r="J26" s="110" t="str">
        <f>VLOOKUP($D26,DSNhanVien!C:D,2)</f>
        <v>Vũ Kim Anh</v>
      </c>
    </row>
    <row r="27" spans="1:10" s="110" customFormat="1" x14ac:dyDescent="0.25">
      <c r="A27" s="110" t="s">
        <v>221</v>
      </c>
      <c r="B27" s="110">
        <v>18</v>
      </c>
      <c r="C27" s="110" t="s">
        <v>11</v>
      </c>
      <c r="D27" s="110" t="s">
        <v>55</v>
      </c>
      <c r="E27" s="110">
        <v>1114</v>
      </c>
      <c r="F27" s="110">
        <v>3</v>
      </c>
      <c r="G27" s="110">
        <v>0</v>
      </c>
      <c r="H27" s="110">
        <v>0</v>
      </c>
      <c r="J27" s="110" t="str">
        <f>VLOOKUP($D27,DSNhanVien!C:D,2)</f>
        <v>Trần Phương Thảo</v>
      </c>
    </row>
    <row r="28" spans="1:10" s="110" customFormat="1" x14ac:dyDescent="0.25">
      <c r="A28" s="110" t="s">
        <v>219</v>
      </c>
      <c r="B28" s="110">
        <v>16</v>
      </c>
      <c r="C28" s="110" t="s">
        <v>12</v>
      </c>
      <c r="D28" s="110" t="s">
        <v>61</v>
      </c>
      <c r="E28" s="110">
        <v>497</v>
      </c>
      <c r="F28" s="110">
        <v>6</v>
      </c>
      <c r="G28" s="110">
        <v>0</v>
      </c>
      <c r="H28" s="110">
        <v>0</v>
      </c>
      <c r="J28" s="110" t="str">
        <f>VLOOKUP($D28,DSNhanVien!C:D,2)</f>
        <v>Trần Nam Anh</v>
      </c>
    </row>
    <row r="29" spans="1:10" s="110" customFormat="1" x14ac:dyDescent="0.25">
      <c r="A29" s="110" t="s">
        <v>218</v>
      </c>
      <c r="B29" s="110">
        <v>17</v>
      </c>
      <c r="C29" s="110" t="s">
        <v>11</v>
      </c>
      <c r="D29" s="110" t="s">
        <v>58</v>
      </c>
      <c r="E29" s="110">
        <v>187</v>
      </c>
      <c r="F29" s="110">
        <v>2</v>
      </c>
      <c r="G29" s="110">
        <v>0</v>
      </c>
      <c r="H29" s="110">
        <v>0</v>
      </c>
      <c r="J29" s="110" t="str">
        <f>VLOOKUP($D29,DSNhanVien!C:D,2)</f>
        <v>Vũ Kim Anh</v>
      </c>
    </row>
    <row r="30" spans="1:10" s="110" customFormat="1" x14ac:dyDescent="0.25">
      <c r="A30" s="110" t="s">
        <v>217</v>
      </c>
      <c r="B30" s="110">
        <v>17</v>
      </c>
      <c r="C30" s="110" t="s">
        <v>12</v>
      </c>
      <c r="D30" s="110" t="s">
        <v>59</v>
      </c>
      <c r="E30" s="110">
        <v>342</v>
      </c>
      <c r="F30" s="110">
        <v>7</v>
      </c>
      <c r="G30" s="110">
        <v>0</v>
      </c>
      <c r="H30" s="110">
        <v>0</v>
      </c>
      <c r="J30" s="110" t="str">
        <f>VLOOKUP($D30,DSNhanVien!C:D,2)</f>
        <v>Tăng Hoài Duy</v>
      </c>
    </row>
    <row r="31" spans="1:10" s="110" customFormat="1" x14ac:dyDescent="0.25">
      <c r="A31" s="110" t="s">
        <v>215</v>
      </c>
      <c r="B31" s="110">
        <v>16</v>
      </c>
      <c r="C31" s="110" t="s">
        <v>11</v>
      </c>
      <c r="D31" s="110" t="s">
        <v>55</v>
      </c>
      <c r="E31" s="110">
        <v>46</v>
      </c>
      <c r="F31" s="110">
        <v>2</v>
      </c>
      <c r="G31" s="110">
        <v>0</v>
      </c>
      <c r="H31" s="110">
        <v>0</v>
      </c>
      <c r="J31" s="110" t="str">
        <f>VLOOKUP($D31,DSNhanVien!C:D,2)</f>
        <v>Trần Phương Thảo</v>
      </c>
    </row>
    <row r="32" spans="1:10" s="110" customFormat="1" x14ac:dyDescent="0.25">
      <c r="A32" s="110" t="s">
        <v>214</v>
      </c>
      <c r="B32" s="110">
        <v>15</v>
      </c>
      <c r="C32" s="110" t="s">
        <v>12</v>
      </c>
      <c r="D32" s="110" t="s">
        <v>55</v>
      </c>
      <c r="E32" s="110">
        <v>263</v>
      </c>
      <c r="F32" s="110">
        <v>6</v>
      </c>
      <c r="G32" s="110">
        <v>60</v>
      </c>
      <c r="H32" s="110">
        <v>1</v>
      </c>
      <c r="J32" s="110" t="str">
        <f>VLOOKUP($D32,DSNhanVien!C:D,2)</f>
        <v>Trần Phương Thảo</v>
      </c>
    </row>
    <row r="33" spans="1:10" s="110" customFormat="1" x14ac:dyDescent="0.25">
      <c r="A33" s="110" t="s">
        <v>213</v>
      </c>
      <c r="B33" s="110">
        <v>15</v>
      </c>
      <c r="C33" s="110" t="s">
        <v>11</v>
      </c>
      <c r="D33" s="110" t="s">
        <v>59</v>
      </c>
      <c r="E33" s="110">
        <v>225</v>
      </c>
      <c r="F33" s="110">
        <v>4</v>
      </c>
      <c r="G33" s="110">
        <v>0</v>
      </c>
      <c r="H33" s="110">
        <v>0</v>
      </c>
      <c r="J33" s="110" t="str">
        <f>VLOOKUP($D33,DSNhanVien!C:D,2)</f>
        <v>Tăng Hoài Duy</v>
      </c>
    </row>
    <row r="34" spans="1:10" s="110" customFormat="1" x14ac:dyDescent="0.25">
      <c r="A34" s="110" t="s">
        <v>212</v>
      </c>
      <c r="B34" s="110">
        <v>14</v>
      </c>
      <c r="C34" s="110" t="s">
        <v>12</v>
      </c>
      <c r="D34" s="110" t="s">
        <v>61</v>
      </c>
      <c r="E34" s="110">
        <v>592</v>
      </c>
      <c r="F34" s="110">
        <v>6</v>
      </c>
      <c r="G34" s="110">
        <v>0</v>
      </c>
      <c r="H34" s="110">
        <v>0</v>
      </c>
      <c r="J34" s="110" t="str">
        <f>VLOOKUP($D34,DSNhanVien!C:D,2)</f>
        <v>Trần Nam Anh</v>
      </c>
    </row>
    <row r="35" spans="1:10" s="110" customFormat="1" x14ac:dyDescent="0.25">
      <c r="A35" s="110" t="s">
        <v>211</v>
      </c>
      <c r="B35" s="110">
        <v>14</v>
      </c>
      <c r="C35" s="110" t="s">
        <v>11</v>
      </c>
      <c r="D35" s="110" t="s">
        <v>58</v>
      </c>
      <c r="E35" s="110">
        <v>4</v>
      </c>
      <c r="F35" s="110">
        <v>1</v>
      </c>
      <c r="G35" s="110">
        <v>0</v>
      </c>
      <c r="H35" s="110">
        <v>0</v>
      </c>
      <c r="J35" s="110" t="str">
        <f>VLOOKUP($D35,DSNhanVien!C:D,2)</f>
        <v>Vũ Kim Anh</v>
      </c>
    </row>
    <row r="36" spans="1:10" s="110" customFormat="1" x14ac:dyDescent="0.25">
      <c r="A36" s="110" t="s">
        <v>210</v>
      </c>
      <c r="B36" s="110">
        <v>13</v>
      </c>
      <c r="C36" s="110" t="s">
        <v>11</v>
      </c>
      <c r="D36" s="110" t="s">
        <v>58</v>
      </c>
      <c r="E36" s="110">
        <v>181</v>
      </c>
      <c r="F36" s="110">
        <v>2</v>
      </c>
      <c r="G36" s="110">
        <v>0</v>
      </c>
      <c r="H36" s="110">
        <v>0</v>
      </c>
      <c r="J36" s="110" t="str">
        <f>VLOOKUP($D36,DSNhanVien!C:D,2)</f>
        <v>Vũ Kim Anh</v>
      </c>
    </row>
    <row r="37" spans="1:10" s="110" customFormat="1" x14ac:dyDescent="0.25">
      <c r="A37" s="110" t="s">
        <v>209</v>
      </c>
      <c r="B37" s="110">
        <v>13</v>
      </c>
      <c r="C37" s="110" t="s">
        <v>12</v>
      </c>
      <c r="D37" s="110" t="s">
        <v>55</v>
      </c>
      <c r="E37" s="110">
        <v>1083</v>
      </c>
      <c r="F37" s="110">
        <v>14</v>
      </c>
      <c r="G37" s="110">
        <v>0</v>
      </c>
      <c r="H37" s="110">
        <v>0</v>
      </c>
      <c r="J37" s="110" t="str">
        <f>VLOOKUP($D37,DSNhanVien!C:D,2)</f>
        <v>Trần Phương Thảo</v>
      </c>
    </row>
    <row r="38" spans="1:10" s="110" customFormat="1" x14ac:dyDescent="0.25">
      <c r="A38" s="110" t="s">
        <v>208</v>
      </c>
      <c r="B38" s="110">
        <v>12</v>
      </c>
      <c r="C38" s="110" t="s">
        <v>11</v>
      </c>
      <c r="D38" s="110" t="s">
        <v>61</v>
      </c>
      <c r="E38" s="110">
        <v>103</v>
      </c>
      <c r="F38" s="110">
        <v>2</v>
      </c>
      <c r="G38" s="110">
        <v>0</v>
      </c>
      <c r="H38" s="110">
        <v>0</v>
      </c>
      <c r="J38" s="110" t="str">
        <f>VLOOKUP($D38,DSNhanVien!C:D,2)</f>
        <v>Trần Nam Anh</v>
      </c>
    </row>
    <row r="39" spans="1:10" s="110" customFormat="1" x14ac:dyDescent="0.25">
      <c r="A39" s="110" t="s">
        <v>207</v>
      </c>
      <c r="B39" s="110">
        <v>12</v>
      </c>
      <c r="C39" s="110" t="s">
        <v>12</v>
      </c>
      <c r="D39" s="110" t="s">
        <v>58</v>
      </c>
      <c r="E39" s="110">
        <v>455</v>
      </c>
      <c r="F39" s="110">
        <v>6</v>
      </c>
      <c r="G39" s="110">
        <v>0</v>
      </c>
      <c r="H39" s="110">
        <v>0</v>
      </c>
      <c r="J39" s="110" t="str">
        <f>VLOOKUP($D39,DSNhanVien!C:D,2)</f>
        <v>Vũ Kim Anh</v>
      </c>
    </row>
    <row r="40" spans="1:10" s="110" customFormat="1" x14ac:dyDescent="0.25">
      <c r="A40" s="110" t="s">
        <v>201</v>
      </c>
      <c r="B40" s="110">
        <v>10</v>
      </c>
      <c r="C40" s="110" t="s">
        <v>12</v>
      </c>
      <c r="D40" s="110" t="s">
        <v>58</v>
      </c>
      <c r="E40" s="110">
        <v>170</v>
      </c>
      <c r="F40" s="110">
        <v>3</v>
      </c>
      <c r="G40" s="110">
        <v>0</v>
      </c>
      <c r="H40" s="110">
        <v>0</v>
      </c>
      <c r="J40" s="110" t="str">
        <f>VLOOKUP($D40,DSNhanVien!C:D,2)</f>
        <v>Vũ Kim Anh</v>
      </c>
    </row>
    <row r="41" spans="1:10" s="110" customFormat="1" x14ac:dyDescent="0.25">
      <c r="A41" s="110" t="s">
        <v>204</v>
      </c>
      <c r="B41" s="110">
        <v>10</v>
      </c>
      <c r="C41" s="110" t="s">
        <v>11</v>
      </c>
      <c r="D41" s="110" t="s">
        <v>61</v>
      </c>
      <c r="E41" s="110">
        <v>293</v>
      </c>
      <c r="F41" s="110">
        <v>4</v>
      </c>
      <c r="G41" s="110">
        <v>0</v>
      </c>
      <c r="H41" s="110">
        <v>0</v>
      </c>
      <c r="J41" s="110" t="str">
        <f>VLOOKUP($D41,DSNhanVien!C:D,2)</f>
        <v>Trần Nam Anh</v>
      </c>
    </row>
    <row r="42" spans="1:10" s="110" customFormat="1" x14ac:dyDescent="0.25">
      <c r="A42" s="110" t="s">
        <v>205</v>
      </c>
      <c r="B42" s="110">
        <v>11</v>
      </c>
      <c r="C42" s="110" t="s">
        <v>12</v>
      </c>
      <c r="D42" s="110" t="s">
        <v>61</v>
      </c>
      <c r="E42" s="110">
        <v>874</v>
      </c>
      <c r="F42" s="110">
        <v>8</v>
      </c>
      <c r="G42" s="110">
        <v>0</v>
      </c>
      <c r="H42" s="110">
        <v>0</v>
      </c>
      <c r="J42" s="110" t="str">
        <f>VLOOKUP($D42,DSNhanVien!C:D,2)</f>
        <v>Trần Nam Anh</v>
      </c>
    </row>
    <row r="43" spans="1:10" s="110" customFormat="1" x14ac:dyDescent="0.25">
      <c r="A43" s="110" t="s">
        <v>203</v>
      </c>
      <c r="B43" s="110">
        <v>11</v>
      </c>
      <c r="C43" s="110" t="s">
        <v>11</v>
      </c>
      <c r="D43" s="110" t="s">
        <v>55</v>
      </c>
      <c r="E43" s="110">
        <v>291.5</v>
      </c>
      <c r="F43" s="110">
        <v>5</v>
      </c>
      <c r="G43" s="110">
        <v>0</v>
      </c>
      <c r="H43" s="110">
        <v>0</v>
      </c>
      <c r="J43" s="110" t="str">
        <f>VLOOKUP($D43,DSNhanVien!C:D,2)</f>
        <v>Trần Phương Thảo</v>
      </c>
    </row>
    <row r="44" spans="1:10" s="110" customFormat="1" x14ac:dyDescent="0.25">
      <c r="A44" s="110" t="s">
        <v>199</v>
      </c>
      <c r="B44" s="110">
        <v>9</v>
      </c>
      <c r="C44" s="110" t="s">
        <v>12</v>
      </c>
      <c r="D44" s="110" t="s">
        <v>64</v>
      </c>
      <c r="E44" s="110">
        <v>215</v>
      </c>
      <c r="F44" s="110">
        <v>7</v>
      </c>
      <c r="G44" s="110">
        <v>0</v>
      </c>
      <c r="H44" s="110">
        <v>0</v>
      </c>
      <c r="J44" s="110" t="str">
        <f>VLOOKUP($D44,DSNhanVien!C:D,2)</f>
        <v>Nguyễn Hương Giang</v>
      </c>
    </row>
    <row r="45" spans="1:10" s="110" customFormat="1" x14ac:dyDescent="0.25">
      <c r="A45" s="110" t="s">
        <v>198</v>
      </c>
      <c r="B45" s="110">
        <v>9</v>
      </c>
      <c r="C45" s="110" t="s">
        <v>11</v>
      </c>
      <c r="D45" s="110" t="s">
        <v>55</v>
      </c>
      <c r="E45" s="110">
        <v>251</v>
      </c>
      <c r="F45" s="110">
        <v>3</v>
      </c>
      <c r="G45" s="110">
        <v>0</v>
      </c>
      <c r="H45" s="110">
        <v>0</v>
      </c>
      <c r="J45" s="110" t="str">
        <f>VLOOKUP($D45,DSNhanVien!C:D,2)</f>
        <v>Trần Phương Thảo</v>
      </c>
    </row>
    <row r="46" spans="1:10" s="110" customFormat="1" x14ac:dyDescent="0.25">
      <c r="A46" s="110" t="s">
        <v>197</v>
      </c>
      <c r="B46" s="110">
        <v>8</v>
      </c>
      <c r="C46" s="110" t="s">
        <v>12</v>
      </c>
      <c r="D46" s="110" t="s">
        <v>64</v>
      </c>
      <c r="E46" s="110">
        <v>296.5</v>
      </c>
      <c r="F46" s="110">
        <v>7</v>
      </c>
      <c r="G46" s="110">
        <v>0</v>
      </c>
      <c r="H46" s="110">
        <v>0</v>
      </c>
      <c r="J46" s="110" t="str">
        <f>VLOOKUP($D46,DSNhanVien!C:D,2)</f>
        <v>Nguyễn Hương Giang</v>
      </c>
    </row>
    <row r="47" spans="1:10" s="110" customFormat="1" x14ac:dyDescent="0.25">
      <c r="A47" s="110" t="s">
        <v>196</v>
      </c>
      <c r="B47" s="110">
        <v>8</v>
      </c>
      <c r="C47" s="110" t="s">
        <v>11</v>
      </c>
      <c r="D47" s="110" t="s">
        <v>58</v>
      </c>
      <c r="E47" s="110">
        <v>127</v>
      </c>
      <c r="F47" s="110">
        <v>3</v>
      </c>
      <c r="G47" s="110">
        <v>0</v>
      </c>
      <c r="H47" s="110">
        <v>0</v>
      </c>
      <c r="J47" s="110" t="str">
        <f>VLOOKUP($D47,DSNhanVien!C:D,2)</f>
        <v>Vũ Kim Anh</v>
      </c>
    </row>
    <row r="48" spans="1:10" s="110" customFormat="1" x14ac:dyDescent="0.25">
      <c r="A48" s="110" t="s">
        <v>195</v>
      </c>
      <c r="B48" s="110">
        <v>7</v>
      </c>
      <c r="C48" s="110" t="s">
        <v>12</v>
      </c>
      <c r="D48" s="110" t="s">
        <v>59</v>
      </c>
      <c r="E48" s="110">
        <v>182</v>
      </c>
      <c r="F48" s="110">
        <v>5</v>
      </c>
      <c r="G48" s="110">
        <v>0</v>
      </c>
      <c r="H48" s="110">
        <v>0</v>
      </c>
      <c r="J48" s="110" t="str">
        <f>VLOOKUP($D48,DSNhanVien!C:D,2)</f>
        <v>Tăng Hoài Duy</v>
      </c>
    </row>
    <row r="49" spans="1:10" s="110" customFormat="1" x14ac:dyDescent="0.25">
      <c r="A49" s="110" t="s">
        <v>193</v>
      </c>
      <c r="B49" s="110">
        <v>7</v>
      </c>
      <c r="C49" s="110" t="s">
        <v>11</v>
      </c>
      <c r="D49" s="110" t="s">
        <v>58</v>
      </c>
      <c r="E49" s="110">
        <v>110</v>
      </c>
      <c r="F49" s="110">
        <v>2</v>
      </c>
      <c r="G49" s="110">
        <v>0</v>
      </c>
      <c r="H49" s="110">
        <v>0</v>
      </c>
      <c r="J49" s="110" t="str">
        <f>VLOOKUP($D49,DSNhanVien!C:D,2)</f>
        <v>Vũ Kim Anh</v>
      </c>
    </row>
    <row r="50" spans="1:10" s="110" customFormat="1" x14ac:dyDescent="0.25">
      <c r="A50" s="110" t="s">
        <v>186</v>
      </c>
      <c r="B50" s="110">
        <v>4</v>
      </c>
      <c r="C50" s="110" t="s">
        <v>12</v>
      </c>
      <c r="D50" s="110" t="s">
        <v>64</v>
      </c>
      <c r="E50" s="110">
        <v>36</v>
      </c>
      <c r="F50" s="110">
        <v>1</v>
      </c>
      <c r="G50" s="110">
        <v>0</v>
      </c>
      <c r="H50" s="110">
        <v>0</v>
      </c>
      <c r="J50" s="110" t="str">
        <f>VLOOKUP($D50,DSNhanVien!C:D,2)</f>
        <v>Nguyễn Hương Giang</v>
      </c>
    </row>
    <row r="51" spans="1:10" s="110" customFormat="1" x14ac:dyDescent="0.25">
      <c r="A51" s="110" t="s">
        <v>192</v>
      </c>
      <c r="B51" s="110">
        <v>6</v>
      </c>
      <c r="C51" s="110" t="s">
        <v>11</v>
      </c>
      <c r="D51" s="110" t="s">
        <v>58</v>
      </c>
      <c r="E51" s="110">
        <v>198</v>
      </c>
      <c r="F51" s="110">
        <v>2</v>
      </c>
      <c r="G51" s="110">
        <v>0</v>
      </c>
      <c r="H51" s="110">
        <v>0</v>
      </c>
      <c r="J51" s="110" t="str">
        <f>VLOOKUP($D51,DSNhanVien!C:D,2)</f>
        <v>Vũ Kim Anh</v>
      </c>
    </row>
    <row r="52" spans="1:10" s="110" customFormat="1" x14ac:dyDescent="0.25">
      <c r="A52" s="110" t="s">
        <v>191</v>
      </c>
      <c r="B52" s="110">
        <v>6</v>
      </c>
      <c r="C52" s="110" t="s">
        <v>12</v>
      </c>
      <c r="D52" s="110" t="s">
        <v>61</v>
      </c>
      <c r="E52" s="110">
        <v>723</v>
      </c>
      <c r="F52" s="110">
        <v>4</v>
      </c>
      <c r="G52" s="110">
        <v>0</v>
      </c>
      <c r="H52" s="110">
        <v>0</v>
      </c>
      <c r="J52" s="110" t="str">
        <f>VLOOKUP($D52,DSNhanVien!C:D,2)</f>
        <v>Trần Nam Anh</v>
      </c>
    </row>
    <row r="53" spans="1:10" s="110" customFormat="1" x14ac:dyDescent="0.25">
      <c r="A53" s="110" t="s">
        <v>183</v>
      </c>
      <c r="B53" s="110">
        <v>4</v>
      </c>
      <c r="C53" s="110" t="s">
        <v>11</v>
      </c>
      <c r="D53" s="110" t="s">
        <v>61</v>
      </c>
      <c r="E53" s="110">
        <v>175</v>
      </c>
      <c r="F53" s="110">
        <v>3</v>
      </c>
      <c r="G53" s="110">
        <v>0</v>
      </c>
      <c r="H53" s="110">
        <v>0</v>
      </c>
      <c r="J53" s="110" t="str">
        <f>VLOOKUP($D53,DSNhanVien!C:D,2)</f>
        <v>Trần Nam Anh</v>
      </c>
    </row>
    <row r="54" spans="1:10" s="110" customFormat="1" x14ac:dyDescent="0.25">
      <c r="A54" s="110" t="s">
        <v>185</v>
      </c>
      <c r="B54" s="110">
        <v>5</v>
      </c>
      <c r="C54" s="110" t="s">
        <v>11</v>
      </c>
      <c r="D54" s="110" t="s">
        <v>61</v>
      </c>
      <c r="E54" s="110">
        <v>94</v>
      </c>
      <c r="F54" s="110">
        <v>1</v>
      </c>
      <c r="G54" s="110">
        <v>0</v>
      </c>
      <c r="H54" s="110">
        <v>0</v>
      </c>
      <c r="J54" s="110" t="str">
        <f>VLOOKUP($D54,DSNhanVien!C:D,2)</f>
        <v>Trần Nam Anh</v>
      </c>
    </row>
    <row r="55" spans="1:10" s="110" customFormat="1" x14ac:dyDescent="0.25">
      <c r="A55" s="110" t="s">
        <v>184</v>
      </c>
      <c r="B55" s="110">
        <v>5</v>
      </c>
      <c r="C55" s="110" t="s">
        <v>12</v>
      </c>
      <c r="D55" s="110" t="s">
        <v>58</v>
      </c>
      <c r="E55" s="110">
        <v>745</v>
      </c>
      <c r="F55" s="110">
        <v>8</v>
      </c>
      <c r="G55" s="110">
        <v>0</v>
      </c>
      <c r="H55" s="110">
        <v>0</v>
      </c>
      <c r="J55" s="110" t="str">
        <f>VLOOKUP($D55,DSNhanVien!C:D,2)</f>
        <v>Vũ Kim Anh</v>
      </c>
    </row>
    <row r="56" spans="1:10" s="110" customFormat="1" x14ac:dyDescent="0.25">
      <c r="A56" s="110" t="s">
        <v>180</v>
      </c>
      <c r="B56" s="110">
        <v>3</v>
      </c>
      <c r="C56" s="110" t="s">
        <v>12</v>
      </c>
      <c r="D56" s="110" t="s">
        <v>58</v>
      </c>
      <c r="E56" s="110">
        <v>383</v>
      </c>
      <c r="F56" s="110">
        <v>5</v>
      </c>
      <c r="G56" s="110">
        <v>0</v>
      </c>
      <c r="H56" s="110">
        <v>0</v>
      </c>
      <c r="J56" s="110" t="str">
        <f>VLOOKUP($D56,DSNhanVien!C:D,2)</f>
        <v>Vũ Kim Anh</v>
      </c>
    </row>
    <row r="57" spans="1:10" s="110" customFormat="1" x14ac:dyDescent="0.25">
      <c r="A57" s="110" t="s">
        <v>181</v>
      </c>
      <c r="B57" s="110">
        <v>1</v>
      </c>
      <c r="C57" s="110" t="s">
        <v>11</v>
      </c>
      <c r="D57" s="110" t="s">
        <v>58</v>
      </c>
      <c r="E57" s="110">
        <v>76</v>
      </c>
      <c r="F57" s="110">
        <v>1</v>
      </c>
      <c r="G57" s="110">
        <v>0</v>
      </c>
      <c r="H57" s="110">
        <v>0</v>
      </c>
      <c r="J57" s="110" t="str">
        <f>VLOOKUP($D57,DSNhanVien!C:D,2)</f>
        <v>Vũ Kim Anh</v>
      </c>
    </row>
    <row r="58" spans="1:10" s="110" customFormat="1" x14ac:dyDescent="0.25">
      <c r="A58" s="110" t="s">
        <v>178</v>
      </c>
      <c r="B58" s="110">
        <v>3</v>
      </c>
      <c r="C58" s="110" t="s">
        <v>11</v>
      </c>
      <c r="D58" s="110" t="s">
        <v>55</v>
      </c>
      <c r="E58" s="110">
        <v>173</v>
      </c>
      <c r="F58" s="110">
        <v>3</v>
      </c>
      <c r="G58" s="110">
        <v>0</v>
      </c>
      <c r="H58" s="110">
        <v>0</v>
      </c>
      <c r="J58" s="110" t="str">
        <f>VLOOKUP($D58,DSNhanVien!C:D,2)</f>
        <v>Trần Phương Thảo</v>
      </c>
    </row>
    <row r="59" spans="1:10" s="110" customFormat="1" x14ac:dyDescent="0.25">
      <c r="A59" s="110" t="s">
        <v>177</v>
      </c>
      <c r="B59" s="110">
        <v>2</v>
      </c>
      <c r="C59" s="110" t="s">
        <v>12</v>
      </c>
      <c r="D59" s="110" t="s">
        <v>61</v>
      </c>
      <c r="E59" s="110">
        <v>576</v>
      </c>
      <c r="F59" s="110">
        <v>5</v>
      </c>
      <c r="G59" s="110">
        <v>0</v>
      </c>
      <c r="H59" s="110">
        <v>0</v>
      </c>
      <c r="J59" s="110" t="str">
        <f>VLOOKUP($D59,DSNhanVien!C:D,2)</f>
        <v>Trần Nam Anh</v>
      </c>
    </row>
    <row r="60" spans="1:10" s="110" customFormat="1" x14ac:dyDescent="0.25">
      <c r="A60" s="110" t="s">
        <v>176</v>
      </c>
      <c r="B60" s="110">
        <v>2</v>
      </c>
      <c r="C60" s="110" t="s">
        <v>11</v>
      </c>
      <c r="D60" s="110" t="s">
        <v>55</v>
      </c>
      <c r="E60" s="110">
        <v>580</v>
      </c>
      <c r="F60" s="110">
        <v>5</v>
      </c>
      <c r="G60" s="110">
        <v>0</v>
      </c>
      <c r="H60" s="110">
        <v>0</v>
      </c>
      <c r="J60" s="110" t="str">
        <f>VLOOKUP($D60,DSNhanVien!C:D,2)</f>
        <v>Trần Phương Thảo</v>
      </c>
    </row>
    <row r="61" spans="1:10" s="110" customFormat="1" x14ac:dyDescent="0.25">
      <c r="A61" s="110" t="s">
        <v>175</v>
      </c>
      <c r="B61" s="110">
        <v>1</v>
      </c>
      <c r="C61" s="110" t="s">
        <v>12</v>
      </c>
      <c r="D61" s="110" t="s">
        <v>55</v>
      </c>
      <c r="E61" s="110">
        <v>975</v>
      </c>
      <c r="F61" s="110">
        <v>9</v>
      </c>
      <c r="G61" s="110">
        <v>0</v>
      </c>
      <c r="H61" s="110">
        <v>0</v>
      </c>
      <c r="J61" s="110" t="str">
        <f>VLOOKUP($D61,DSNhanVien!C:D,2)</f>
        <v>Trần Phương Thảo</v>
      </c>
    </row>
    <row r="62" spans="1:10" s="110" customFormat="1" x14ac:dyDescent="0.25">
      <c r="A62"/>
      <c r="B62"/>
      <c r="C62"/>
      <c r="D62"/>
      <c r="E62"/>
      <c r="F62"/>
      <c r="G62"/>
      <c r="H62"/>
      <c r="I62"/>
      <c r="J62" t="e">
        <f>VLOOKUP($D62,DSNhanVien!C:D,2)</f>
        <v>#N/A</v>
      </c>
    </row>
    <row r="63" spans="1:10" s="110" customFormat="1" x14ac:dyDescent="0.25">
      <c r="A63"/>
      <c r="B63"/>
      <c r="C63"/>
      <c r="D63"/>
      <c r="E63"/>
      <c r="F63"/>
      <c r="G63"/>
      <c r="H63"/>
      <c r="I63"/>
      <c r="J63"/>
    </row>
    <row r="64" spans="1:10" s="110" customFormat="1" x14ac:dyDescent="0.25">
      <c r="A64"/>
      <c r="B64"/>
      <c r="C64"/>
      <c r="D64"/>
      <c r="E64"/>
      <c r="F64"/>
      <c r="G64"/>
      <c r="H64"/>
      <c r="I64"/>
      <c r="J64"/>
    </row>
    <row r="65" spans="1:10" s="109" customFormat="1" x14ac:dyDescent="0.25">
      <c r="A65"/>
      <c r="B65"/>
      <c r="C65"/>
      <c r="D65"/>
      <c r="E65"/>
      <c r="F65"/>
      <c r="G65"/>
      <c r="H65"/>
      <c r="I65"/>
      <c r="J65"/>
    </row>
    <row r="66" spans="1:10" s="109" customFormat="1" x14ac:dyDescent="0.25">
      <c r="A66"/>
      <c r="B66"/>
      <c r="C66"/>
      <c r="D66"/>
      <c r="E66"/>
      <c r="F66"/>
      <c r="G66"/>
      <c r="H66"/>
      <c r="I66"/>
      <c r="J66"/>
    </row>
    <row r="67" spans="1:10" s="109" customFormat="1" x14ac:dyDescent="0.25">
      <c r="A67"/>
      <c r="B67"/>
      <c r="C67"/>
      <c r="D67"/>
      <c r="E67"/>
      <c r="F67"/>
      <c r="G67"/>
      <c r="H67"/>
      <c r="I67"/>
      <c r="J67"/>
    </row>
    <row r="68" spans="1:10" s="109" customFormat="1" x14ac:dyDescent="0.25">
      <c r="A68"/>
      <c r="B68"/>
      <c r="C68"/>
      <c r="D68"/>
      <c r="E68"/>
      <c r="F68"/>
      <c r="G68"/>
      <c r="H68"/>
      <c r="I68"/>
      <c r="J68"/>
    </row>
    <row r="69" spans="1:10" s="109" customFormat="1" x14ac:dyDescent="0.25">
      <c r="A69"/>
      <c r="B69"/>
      <c r="C69"/>
      <c r="D69"/>
      <c r="E69"/>
      <c r="F69"/>
      <c r="G69"/>
      <c r="H69"/>
      <c r="I69"/>
      <c r="J69"/>
    </row>
    <row r="70" spans="1:10" s="109" customFormat="1" x14ac:dyDescent="0.25">
      <c r="A70"/>
      <c r="B70"/>
      <c r="C70"/>
      <c r="D70"/>
      <c r="E70"/>
      <c r="F70"/>
      <c r="G70"/>
      <c r="H70"/>
      <c r="I70"/>
      <c r="J70"/>
    </row>
    <row r="71" spans="1:10" s="109" customFormat="1" x14ac:dyDescent="0.25">
      <c r="A71"/>
      <c r="B71"/>
      <c r="C71"/>
      <c r="D71"/>
      <c r="E71"/>
      <c r="F71"/>
      <c r="G71"/>
      <c r="H71"/>
      <c r="I71"/>
      <c r="J71"/>
    </row>
    <row r="72" spans="1:10" s="109" customFormat="1" x14ac:dyDescent="0.25">
      <c r="A72"/>
      <c r="B72"/>
      <c r="C72"/>
      <c r="D72"/>
      <c r="E72"/>
      <c r="F72"/>
      <c r="G72"/>
      <c r="H72"/>
      <c r="I72"/>
      <c r="J72"/>
    </row>
    <row r="73" spans="1:10" s="109" customFormat="1" x14ac:dyDescent="0.25">
      <c r="A73"/>
      <c r="B73"/>
      <c r="C73"/>
      <c r="D73"/>
      <c r="E73"/>
      <c r="F73"/>
      <c r="G73"/>
      <c r="H73"/>
      <c r="I73"/>
      <c r="J73"/>
    </row>
  </sheetData>
  <sheetProtection password="92B2" sheet="1" objects="1" scenarios="1"/>
  <conditionalFormatting sqref="A1:A1048576">
    <cfRule type="duplicateValues" dxfId="5" priority="15"/>
  </conditionalFormatting>
  <pageMargins left="0.7" right="0.7" top="0.75" bottom="0.75" header="0.3" footer="0.3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J53"/>
  <sheetViews>
    <sheetView workbookViewId="0">
      <selection activeCell="A2" sqref="A2"/>
    </sheetView>
  </sheetViews>
  <sheetFormatPr defaultColWidth="8.85546875" defaultRowHeight="15" x14ac:dyDescent="0.25"/>
  <cols>
    <col min="4" max="4" width="15.42578125" customWidth="1"/>
    <col min="5" max="5" width="12.42578125" customWidth="1"/>
    <col min="6" max="6" width="9.42578125" customWidth="1"/>
    <col min="7" max="7" width="12.42578125" customWidth="1"/>
    <col min="8" max="8" width="10.42578125" customWidth="1"/>
    <col min="9" max="9" width="14.28515625" customWidth="1"/>
    <col min="10" max="10" width="22.85546875" customWidth="1"/>
  </cols>
  <sheetData>
    <row r="1" spans="1:10" x14ac:dyDescent="0.25">
      <c r="A1" t="s">
        <v>30</v>
      </c>
      <c r="B1" t="s">
        <v>10</v>
      </c>
      <c r="C1" t="s">
        <v>19</v>
      </c>
      <c r="D1" t="s">
        <v>18</v>
      </c>
      <c r="E1" t="s">
        <v>21</v>
      </c>
      <c r="F1" t="s">
        <v>20</v>
      </c>
      <c r="G1" t="s">
        <v>27</v>
      </c>
      <c r="H1" t="s">
        <v>44</v>
      </c>
      <c r="I1" t="s">
        <v>43</v>
      </c>
      <c r="J1" t="s">
        <v>158</v>
      </c>
    </row>
    <row r="2" spans="1:10" s="110" customFormat="1" x14ac:dyDescent="0.25">
      <c r="A2" s="110" t="s">
        <v>224</v>
      </c>
      <c r="B2" s="110">
        <v>19</v>
      </c>
      <c r="C2" s="110" t="s">
        <v>11</v>
      </c>
      <c r="D2" s="110" t="s">
        <v>68</v>
      </c>
      <c r="E2" s="110">
        <v>98</v>
      </c>
      <c r="F2" s="110">
        <v>3</v>
      </c>
      <c r="G2" s="110">
        <v>0</v>
      </c>
      <c r="H2" s="110">
        <v>0</v>
      </c>
      <c r="J2" s="110" t="str">
        <f>VLOOKUP($D2,DSNhanVien!C:D,2)</f>
        <v>Phạm Uyển Trinh</v>
      </c>
    </row>
    <row r="3" spans="1:10" s="110" customFormat="1" x14ac:dyDescent="0.25">
      <c r="A3" s="110" t="s">
        <v>223</v>
      </c>
      <c r="B3" s="110">
        <v>18</v>
      </c>
      <c r="C3" s="110" t="s">
        <v>12</v>
      </c>
      <c r="D3" s="110" t="s">
        <v>68</v>
      </c>
      <c r="E3" s="110">
        <v>209</v>
      </c>
      <c r="F3" s="110">
        <v>3</v>
      </c>
      <c r="G3" s="110">
        <v>0</v>
      </c>
      <c r="H3" s="110">
        <v>0</v>
      </c>
      <c r="J3" s="110" t="str">
        <f>VLOOKUP($D3,DSNhanVien!C:D,2)</f>
        <v>Phạm Uyển Trinh</v>
      </c>
    </row>
    <row r="4" spans="1:10" s="110" customFormat="1" x14ac:dyDescent="0.25">
      <c r="A4" s="110" t="s">
        <v>221</v>
      </c>
      <c r="B4" s="110">
        <v>18</v>
      </c>
      <c r="C4" s="110" t="s">
        <v>11</v>
      </c>
      <c r="D4" s="110" t="s">
        <v>68</v>
      </c>
      <c r="E4" s="110">
        <v>209</v>
      </c>
      <c r="F4" s="110">
        <v>3</v>
      </c>
      <c r="G4" s="110">
        <v>0</v>
      </c>
      <c r="H4" s="110">
        <v>0</v>
      </c>
      <c r="J4" s="110" t="str">
        <f>VLOOKUP($D4,DSNhanVien!C:D,2)</f>
        <v>Phạm Uyển Trinh</v>
      </c>
    </row>
    <row r="5" spans="1:10" s="110" customFormat="1" x14ac:dyDescent="0.25">
      <c r="A5" s="110" t="s">
        <v>221</v>
      </c>
      <c r="B5" s="110">
        <v>18</v>
      </c>
      <c r="C5" s="110" t="s">
        <v>11</v>
      </c>
      <c r="D5" s="110" t="s">
        <v>68</v>
      </c>
      <c r="E5" s="110">
        <v>35</v>
      </c>
      <c r="F5" s="110">
        <v>2</v>
      </c>
      <c r="G5" s="110">
        <v>0</v>
      </c>
      <c r="H5" s="110">
        <v>0</v>
      </c>
      <c r="J5" s="110" t="str">
        <f>VLOOKUP($D5,DSNhanVien!C:D,2)</f>
        <v>Phạm Uyển Trinh</v>
      </c>
    </row>
    <row r="6" spans="1:10" s="110" customFormat="1" x14ac:dyDescent="0.25">
      <c r="A6" s="110" t="s">
        <v>218</v>
      </c>
      <c r="B6" s="110">
        <v>17</v>
      </c>
      <c r="C6" s="110" t="s">
        <v>11</v>
      </c>
      <c r="D6" s="110" t="s">
        <v>68</v>
      </c>
      <c r="E6" s="110">
        <v>92</v>
      </c>
      <c r="F6" s="110">
        <v>1</v>
      </c>
      <c r="G6" s="110">
        <v>0</v>
      </c>
      <c r="H6" s="110">
        <v>0</v>
      </c>
      <c r="J6" s="110" t="str">
        <f>VLOOKUP($D6,DSNhanVien!C:D,2)</f>
        <v>Phạm Uyển Trinh</v>
      </c>
    </row>
    <row r="7" spans="1:10" s="110" customFormat="1" x14ac:dyDescent="0.25">
      <c r="A7" s="110" t="s">
        <v>219</v>
      </c>
      <c r="B7" s="110">
        <v>16</v>
      </c>
      <c r="C7" s="110" t="s">
        <v>12</v>
      </c>
      <c r="D7" s="110" t="s">
        <v>68</v>
      </c>
      <c r="E7" s="110">
        <v>133</v>
      </c>
      <c r="F7" s="110">
        <v>2</v>
      </c>
      <c r="G7" s="110">
        <v>0</v>
      </c>
      <c r="H7" s="110">
        <v>0</v>
      </c>
      <c r="J7" s="110" t="str">
        <f>VLOOKUP($D7,DSNhanVien!C:D,2)</f>
        <v>Phạm Uyển Trinh</v>
      </c>
    </row>
    <row r="8" spans="1:10" s="110" customFormat="1" x14ac:dyDescent="0.25">
      <c r="A8" s="110" t="s">
        <v>215</v>
      </c>
      <c r="B8" s="110">
        <v>16</v>
      </c>
      <c r="C8" s="110" t="s">
        <v>11</v>
      </c>
      <c r="D8" s="110" t="s">
        <v>68</v>
      </c>
      <c r="E8" s="110">
        <v>44</v>
      </c>
      <c r="F8" s="110">
        <v>1</v>
      </c>
      <c r="G8" s="110">
        <v>0</v>
      </c>
      <c r="H8" s="110">
        <v>0</v>
      </c>
      <c r="J8" s="110" t="str">
        <f>VLOOKUP($D8,DSNhanVien!C:D,2)</f>
        <v>Phạm Uyển Trinh</v>
      </c>
    </row>
    <row r="9" spans="1:10" s="110" customFormat="1" x14ac:dyDescent="0.25">
      <c r="A9" s="110" t="s">
        <v>214</v>
      </c>
      <c r="B9" s="110">
        <v>15</v>
      </c>
      <c r="C9" s="110" t="s">
        <v>12</v>
      </c>
      <c r="D9" s="110" t="s">
        <v>68</v>
      </c>
      <c r="E9" s="110">
        <v>140</v>
      </c>
      <c r="F9" s="110">
        <v>3</v>
      </c>
      <c r="G9" s="110">
        <v>0</v>
      </c>
      <c r="H9" s="110">
        <v>0</v>
      </c>
      <c r="J9" s="110" t="str">
        <f>VLOOKUP($D9,DSNhanVien!C:D,2)</f>
        <v>Phạm Uyển Trinh</v>
      </c>
    </row>
    <row r="10" spans="1:10" s="110" customFormat="1" x14ac:dyDescent="0.25">
      <c r="A10" s="110" t="s">
        <v>213</v>
      </c>
      <c r="B10" s="110">
        <v>15</v>
      </c>
      <c r="C10" s="110" t="s">
        <v>11</v>
      </c>
      <c r="D10" s="110" t="s">
        <v>68</v>
      </c>
      <c r="E10" s="110">
        <v>24</v>
      </c>
      <c r="F10" s="110">
        <v>1</v>
      </c>
      <c r="G10" s="110">
        <v>0</v>
      </c>
      <c r="H10" s="110">
        <v>0</v>
      </c>
      <c r="J10" s="110" t="str">
        <f>VLOOKUP($D10,DSNhanVien!C:D,2)</f>
        <v>Phạm Uyển Trinh</v>
      </c>
    </row>
    <row r="11" spans="1:10" s="110" customFormat="1" x14ac:dyDescent="0.25">
      <c r="A11" s="110" t="s">
        <v>209</v>
      </c>
      <c r="B11" s="110">
        <v>13</v>
      </c>
      <c r="C11" s="110" t="s">
        <v>12</v>
      </c>
      <c r="D11" s="110" t="s">
        <v>65</v>
      </c>
      <c r="E11" s="110">
        <v>413</v>
      </c>
      <c r="F11" s="110">
        <v>6</v>
      </c>
      <c r="J11" s="110" t="str">
        <f>VLOOKUP($D11,DSNhanVien!C:D,2)</f>
        <v>Phan Vân Anh</v>
      </c>
    </row>
    <row r="12" spans="1:10" s="110" customFormat="1" x14ac:dyDescent="0.25">
      <c r="A12" s="110" t="s">
        <v>217</v>
      </c>
      <c r="B12" s="110">
        <v>17</v>
      </c>
      <c r="C12" s="110" t="s">
        <v>12</v>
      </c>
      <c r="D12" s="110" t="s">
        <v>68</v>
      </c>
      <c r="E12" s="110">
        <v>43</v>
      </c>
      <c r="F12" s="110">
        <v>2</v>
      </c>
      <c r="J12" s="110" t="str">
        <f>VLOOKUP($D12,DSNhanVien!C:D,2)</f>
        <v>Phạm Uyển Trinh</v>
      </c>
    </row>
    <row r="13" spans="1:10" s="110" customFormat="1" x14ac:dyDescent="0.25">
      <c r="A13" s="110" t="s">
        <v>212</v>
      </c>
      <c r="B13" s="110">
        <v>14</v>
      </c>
      <c r="C13" s="110" t="s">
        <v>12</v>
      </c>
      <c r="D13" s="110" t="s">
        <v>182</v>
      </c>
      <c r="E13" s="110">
        <v>484</v>
      </c>
      <c r="F13" s="110">
        <v>6</v>
      </c>
      <c r="J13" s="110" t="str">
        <f>VLOOKUP($D13,DSNhanVien!C:D,2)</f>
        <v>Đỗ Thu Thùy</v>
      </c>
    </row>
    <row r="14" spans="1:10" s="110" customFormat="1" x14ac:dyDescent="0.25">
      <c r="A14" s="110" t="s">
        <v>211</v>
      </c>
      <c r="B14" s="110">
        <v>14</v>
      </c>
      <c r="C14" s="110" t="s">
        <v>11</v>
      </c>
      <c r="D14" s="110" t="s">
        <v>182</v>
      </c>
      <c r="E14" s="110">
        <v>250</v>
      </c>
      <c r="F14" s="110">
        <v>2</v>
      </c>
      <c r="J14" s="110" t="str">
        <f>VLOOKUP($D14,DSNhanVien!C:D,2)</f>
        <v>Đỗ Thu Thùy</v>
      </c>
    </row>
    <row r="15" spans="1:10" s="110" customFormat="1" x14ac:dyDescent="0.25">
      <c r="A15" s="110" t="s">
        <v>209</v>
      </c>
      <c r="B15" s="110">
        <v>13</v>
      </c>
      <c r="C15" s="110" t="s">
        <v>12</v>
      </c>
      <c r="D15" s="110" t="s">
        <v>65</v>
      </c>
      <c r="E15" s="110">
        <v>525</v>
      </c>
      <c r="F15" s="110">
        <v>6</v>
      </c>
      <c r="J15" s="110" t="str">
        <f>VLOOKUP($D15,DSNhanVien!C:D,2)</f>
        <v>Phan Vân Anh</v>
      </c>
    </row>
    <row r="16" spans="1:10" s="110" customFormat="1" x14ac:dyDescent="0.25">
      <c r="A16" s="110" t="s">
        <v>210</v>
      </c>
      <c r="B16" s="110">
        <v>13</v>
      </c>
      <c r="C16" s="110" t="s">
        <v>11</v>
      </c>
      <c r="D16" s="110" t="s">
        <v>154</v>
      </c>
      <c r="E16" s="110">
        <v>53</v>
      </c>
      <c r="F16" s="110">
        <v>2</v>
      </c>
      <c r="J16" s="110" t="str">
        <f>VLOOKUP($D16,DSNhanVien!C:D,2)</f>
        <v>Trần Linh Chi</v>
      </c>
    </row>
    <row r="17" spans="1:10" s="110" customFormat="1" x14ac:dyDescent="0.25">
      <c r="A17" s="110" t="s">
        <v>207</v>
      </c>
      <c r="B17" s="110">
        <v>12</v>
      </c>
      <c r="C17" s="110" t="s">
        <v>12</v>
      </c>
      <c r="D17" s="110" t="s">
        <v>154</v>
      </c>
      <c r="E17" s="110">
        <v>273</v>
      </c>
      <c r="F17" s="110">
        <v>7</v>
      </c>
      <c r="J17" s="110" t="str">
        <f>VLOOKUP($D17,DSNhanVien!C:D,2)</f>
        <v>Trần Linh Chi</v>
      </c>
    </row>
    <row r="18" spans="1:10" s="110" customFormat="1" x14ac:dyDescent="0.25">
      <c r="A18" s="110" t="s">
        <v>208</v>
      </c>
      <c r="B18" s="110">
        <v>12</v>
      </c>
      <c r="C18" s="110" t="s">
        <v>11</v>
      </c>
      <c r="D18" s="110" t="s">
        <v>68</v>
      </c>
      <c r="E18" s="110">
        <v>42</v>
      </c>
      <c r="F18" s="110">
        <v>2</v>
      </c>
      <c r="J18" s="110" t="str">
        <f>VLOOKUP($D18,DSNhanVien!C:D,2)</f>
        <v>Phạm Uyển Trinh</v>
      </c>
    </row>
    <row r="19" spans="1:10" s="110" customFormat="1" x14ac:dyDescent="0.25">
      <c r="A19" s="110" t="s">
        <v>211</v>
      </c>
      <c r="B19" s="110">
        <v>14</v>
      </c>
      <c r="C19" s="110" t="s">
        <v>11</v>
      </c>
      <c r="D19" s="110" t="s">
        <v>57</v>
      </c>
      <c r="E19" s="110">
        <v>250</v>
      </c>
      <c r="F19" s="110">
        <v>2</v>
      </c>
      <c r="J19" s="110" t="str">
        <f>VLOOKUP($D19,DSNhanVien!C:D,2)</f>
        <v>Đỗ Thu Thùy</v>
      </c>
    </row>
    <row r="20" spans="1:10" s="110" customFormat="1" x14ac:dyDescent="0.25">
      <c r="A20" s="110" t="s">
        <v>205</v>
      </c>
      <c r="B20" s="110">
        <v>11</v>
      </c>
      <c r="C20" s="110" t="s">
        <v>12</v>
      </c>
      <c r="D20" s="110" t="s">
        <v>68</v>
      </c>
      <c r="E20" s="110">
        <v>169</v>
      </c>
      <c r="F20" s="110">
        <v>3</v>
      </c>
      <c r="J20" s="110" t="str">
        <f>VLOOKUP($D20,DSNhanVien!C:D,2)</f>
        <v>Phạm Uyển Trinh</v>
      </c>
    </row>
    <row r="21" spans="1:10" s="110" customFormat="1" x14ac:dyDescent="0.25">
      <c r="A21" s="110" t="s">
        <v>203</v>
      </c>
      <c r="B21" s="110">
        <v>11</v>
      </c>
      <c r="C21" s="110" t="s">
        <v>11</v>
      </c>
      <c r="D21" s="110" t="s">
        <v>68</v>
      </c>
      <c r="E21" s="110">
        <v>55</v>
      </c>
      <c r="F21" s="110">
        <v>1</v>
      </c>
      <c r="J21" s="110" t="str">
        <f>VLOOKUP($D21,DSNhanVien!C:D,2)</f>
        <v>Phạm Uyển Trinh</v>
      </c>
    </row>
    <row r="22" spans="1:10" s="110" customFormat="1" x14ac:dyDescent="0.25">
      <c r="A22" s="110" t="s">
        <v>201</v>
      </c>
      <c r="B22" s="110">
        <v>10</v>
      </c>
      <c r="C22" s="110" t="s">
        <v>12</v>
      </c>
      <c r="D22" s="110" t="s">
        <v>68</v>
      </c>
      <c r="E22" s="110">
        <v>234</v>
      </c>
      <c r="F22" s="110">
        <v>4</v>
      </c>
      <c r="J22" s="110" t="str">
        <f>VLOOKUP($D22,DSNhanVien!C:D,2)</f>
        <v>Phạm Uyển Trinh</v>
      </c>
    </row>
    <row r="23" spans="1:10" s="110" customFormat="1" x14ac:dyDescent="0.25">
      <c r="A23" s="110" t="s">
        <v>204</v>
      </c>
      <c r="B23" s="110">
        <v>10</v>
      </c>
      <c r="C23" s="110" t="s">
        <v>11</v>
      </c>
      <c r="D23" s="110" t="s">
        <v>68</v>
      </c>
      <c r="E23" s="110">
        <v>0</v>
      </c>
      <c r="F23" s="110">
        <v>0</v>
      </c>
      <c r="J23" s="110" t="str">
        <f>VLOOKUP($D23,DSNhanVien!C:D,2)</f>
        <v>Phạm Uyển Trinh</v>
      </c>
    </row>
    <row r="24" spans="1:10" s="110" customFormat="1" x14ac:dyDescent="0.25">
      <c r="A24" s="110" t="s">
        <v>177</v>
      </c>
      <c r="B24" s="110">
        <v>2</v>
      </c>
      <c r="C24" s="110" t="s">
        <v>12</v>
      </c>
      <c r="D24" s="110" t="s">
        <v>63</v>
      </c>
      <c r="E24" s="110">
        <v>607</v>
      </c>
      <c r="F24" s="110">
        <v>10</v>
      </c>
      <c r="J24" s="110" t="str">
        <f>VLOOKUP($D24,DSNhanVien!C:D,2)</f>
        <v>Hồng</v>
      </c>
    </row>
    <row r="25" spans="1:10" s="110" customFormat="1" x14ac:dyDescent="0.25">
      <c r="A25" s="110" t="s">
        <v>199</v>
      </c>
      <c r="B25" s="110">
        <v>9</v>
      </c>
      <c r="C25" s="110" t="s">
        <v>12</v>
      </c>
      <c r="D25" s="110" t="s">
        <v>63</v>
      </c>
      <c r="E25" s="110">
        <v>208</v>
      </c>
      <c r="F25" s="110">
        <v>5</v>
      </c>
      <c r="J25" s="110" t="str">
        <f>VLOOKUP($D25,DSNhanVien!C:D,2)</f>
        <v>Hồng</v>
      </c>
    </row>
    <row r="26" spans="1:10" s="110" customFormat="1" x14ac:dyDescent="0.25">
      <c r="A26" s="110" t="s">
        <v>178</v>
      </c>
      <c r="B26" s="110">
        <v>3</v>
      </c>
      <c r="C26" s="110" t="s">
        <v>11</v>
      </c>
      <c r="D26" s="110" t="s">
        <v>63</v>
      </c>
      <c r="E26" s="110">
        <v>82</v>
      </c>
      <c r="F26" s="110">
        <v>1</v>
      </c>
      <c r="J26" s="110" t="str">
        <f>VLOOKUP($D26,DSNhanVien!C:D,2)</f>
        <v>Hồng</v>
      </c>
    </row>
    <row r="27" spans="1:10" s="110" customFormat="1" x14ac:dyDescent="0.25">
      <c r="A27" s="110" t="s">
        <v>184</v>
      </c>
      <c r="B27" s="110">
        <v>5</v>
      </c>
      <c r="C27" s="110" t="s">
        <v>12</v>
      </c>
      <c r="D27" s="110" t="s">
        <v>66</v>
      </c>
      <c r="E27" s="110">
        <v>141</v>
      </c>
      <c r="F27" s="110">
        <v>4</v>
      </c>
      <c r="J27" s="110" t="str">
        <f>VLOOKUP($D27,DSNhanVien!C:D,2)</f>
        <v>Nguyễn Linh Phương</v>
      </c>
    </row>
    <row r="28" spans="1:10" s="110" customFormat="1" x14ac:dyDescent="0.25">
      <c r="A28" s="110" t="s">
        <v>186</v>
      </c>
      <c r="B28" s="110">
        <v>4</v>
      </c>
      <c r="C28" s="110" t="s">
        <v>12</v>
      </c>
      <c r="D28" s="110" t="s">
        <v>66</v>
      </c>
      <c r="E28" s="110">
        <v>163</v>
      </c>
      <c r="F28" s="110">
        <v>3</v>
      </c>
      <c r="J28" s="110" t="str">
        <f>VLOOKUP($D28,DSNhanVien!C:D,2)</f>
        <v>Nguyễn Linh Phương</v>
      </c>
    </row>
    <row r="29" spans="1:10" s="110" customFormat="1" x14ac:dyDescent="0.25">
      <c r="A29" s="110" t="s">
        <v>198</v>
      </c>
      <c r="B29" s="110">
        <v>9</v>
      </c>
      <c r="C29" s="110" t="s">
        <v>11</v>
      </c>
      <c r="D29" s="110" t="s">
        <v>57</v>
      </c>
      <c r="E29" s="110">
        <v>6</v>
      </c>
      <c r="F29" s="110">
        <v>1</v>
      </c>
      <c r="J29" s="110" t="str">
        <f>VLOOKUP($D29,DSNhanVien!C:D,2)</f>
        <v>Đỗ Thu Thùy</v>
      </c>
    </row>
    <row r="30" spans="1:10" s="110" customFormat="1" x14ac:dyDescent="0.25">
      <c r="A30" s="110" t="s">
        <v>180</v>
      </c>
      <c r="B30" s="110">
        <v>3</v>
      </c>
      <c r="C30" s="110" t="s">
        <v>12</v>
      </c>
      <c r="D30" s="110" t="s">
        <v>63</v>
      </c>
      <c r="E30" s="110">
        <v>87</v>
      </c>
      <c r="F30" s="110">
        <v>3</v>
      </c>
      <c r="J30" s="110" t="str">
        <f>VLOOKUP($D30,DSNhanVien!C:D,2)</f>
        <v>Hồng</v>
      </c>
    </row>
    <row r="31" spans="1:10" s="110" customFormat="1" x14ac:dyDescent="0.25">
      <c r="A31" s="110" t="s">
        <v>197</v>
      </c>
      <c r="B31" s="110">
        <v>8</v>
      </c>
      <c r="C31" s="110" t="s">
        <v>12</v>
      </c>
      <c r="D31" s="110" t="s">
        <v>68</v>
      </c>
      <c r="E31" s="110">
        <v>31.5</v>
      </c>
      <c r="F31" s="110">
        <v>1</v>
      </c>
      <c r="J31" s="110" t="str">
        <f>VLOOKUP($D31,DSNhanVien!C:D,2)</f>
        <v>Phạm Uyển Trinh</v>
      </c>
    </row>
    <row r="32" spans="1:10" s="110" customFormat="1" x14ac:dyDescent="0.25">
      <c r="A32" s="110" t="s">
        <v>196</v>
      </c>
      <c r="B32" s="110">
        <v>8</v>
      </c>
      <c r="C32" s="110" t="s">
        <v>11</v>
      </c>
      <c r="D32" s="110" t="s">
        <v>68</v>
      </c>
      <c r="E32" s="110">
        <v>166</v>
      </c>
      <c r="F32" s="110">
        <v>4</v>
      </c>
      <c r="J32" s="110" t="str">
        <f>VLOOKUP($D32,DSNhanVien!C:D,2)</f>
        <v>Phạm Uyển Trinh</v>
      </c>
    </row>
    <row r="33" spans="1:10" s="110" customFormat="1" x14ac:dyDescent="0.25">
      <c r="A33" s="110" t="s">
        <v>195</v>
      </c>
      <c r="B33" s="110">
        <v>7</v>
      </c>
      <c r="C33" s="110" t="s">
        <v>12</v>
      </c>
      <c r="D33" s="110" t="s">
        <v>68</v>
      </c>
      <c r="E33" s="110">
        <v>247</v>
      </c>
      <c r="F33" s="110">
        <v>2</v>
      </c>
      <c r="J33" s="110" t="str">
        <f>VLOOKUP($D33,DSNhanVien!C:D,2)</f>
        <v>Phạm Uyển Trinh</v>
      </c>
    </row>
    <row r="34" spans="1:10" s="110" customFormat="1" x14ac:dyDescent="0.25">
      <c r="A34" s="110" t="s">
        <v>193</v>
      </c>
      <c r="B34" s="110">
        <v>7</v>
      </c>
      <c r="C34" s="110" t="s">
        <v>11</v>
      </c>
      <c r="D34" s="110" t="s">
        <v>68</v>
      </c>
      <c r="E34" s="110">
        <v>60</v>
      </c>
      <c r="F34" s="110">
        <v>2</v>
      </c>
      <c r="J34" s="110" t="str">
        <f>VLOOKUP($D34,DSNhanVien!C:D,2)</f>
        <v>Phạm Uyển Trinh</v>
      </c>
    </row>
    <row r="35" spans="1:10" s="110" customFormat="1" x14ac:dyDescent="0.25">
      <c r="A35" s="110" t="s">
        <v>191</v>
      </c>
      <c r="B35" s="110">
        <v>6</v>
      </c>
      <c r="C35" s="110" t="s">
        <v>12</v>
      </c>
      <c r="D35" s="110" t="s">
        <v>68</v>
      </c>
      <c r="E35" s="110">
        <v>44</v>
      </c>
      <c r="F35" s="110">
        <v>1</v>
      </c>
      <c r="J35" s="110" t="str">
        <f>VLOOKUP($D35,DSNhanVien!C:D,2)</f>
        <v>Phạm Uyển Trinh</v>
      </c>
    </row>
    <row r="36" spans="1:10" s="110" customFormat="1" x14ac:dyDescent="0.25">
      <c r="A36" s="110" t="s">
        <v>192</v>
      </c>
      <c r="B36" s="110">
        <v>6</v>
      </c>
      <c r="C36" s="110" t="s">
        <v>11</v>
      </c>
      <c r="D36" s="110" t="s">
        <v>68</v>
      </c>
      <c r="E36" s="110">
        <v>57</v>
      </c>
      <c r="F36" s="110">
        <v>2</v>
      </c>
      <c r="J36" s="110" t="str">
        <f>VLOOKUP($D36,DSNhanVien!C:D,2)</f>
        <v>Phạm Uyển Trinh</v>
      </c>
    </row>
    <row r="37" spans="1:10" s="110" customFormat="1" x14ac:dyDescent="0.25">
      <c r="A37" s="110" t="s">
        <v>185</v>
      </c>
      <c r="B37" s="110">
        <v>5</v>
      </c>
      <c r="C37" s="110" t="s">
        <v>11</v>
      </c>
      <c r="D37" s="110" t="s">
        <v>68</v>
      </c>
      <c r="E37" s="110">
        <v>6</v>
      </c>
      <c r="F37" s="110">
        <v>1</v>
      </c>
      <c r="J37" s="110" t="str">
        <f>VLOOKUP($D37,DSNhanVien!C:D,2)</f>
        <v>Phạm Uyển Trinh</v>
      </c>
    </row>
    <row r="38" spans="1:10" s="110" customFormat="1" x14ac:dyDescent="0.25">
      <c r="A38" s="110" t="s">
        <v>175</v>
      </c>
      <c r="B38" s="110">
        <v>1</v>
      </c>
      <c r="C38" s="110" t="s">
        <v>12</v>
      </c>
      <c r="D38" s="110" t="s">
        <v>68</v>
      </c>
      <c r="E38" s="110">
        <v>6</v>
      </c>
      <c r="F38" s="110">
        <v>1</v>
      </c>
      <c r="J38" s="110" t="str">
        <f>VLOOKUP($D38,DSNhanVien!C:D,2)</f>
        <v>Phạm Uyển Trinh</v>
      </c>
    </row>
    <row r="39" spans="1:10" s="110" customFormat="1" x14ac:dyDescent="0.25">
      <c r="A39" s="110" t="s">
        <v>183</v>
      </c>
      <c r="B39" s="110">
        <v>4</v>
      </c>
      <c r="C39" s="110" t="s">
        <v>11</v>
      </c>
      <c r="D39" s="110" t="s">
        <v>57</v>
      </c>
      <c r="E39" s="110">
        <v>210</v>
      </c>
      <c r="F39" s="110">
        <v>3</v>
      </c>
      <c r="J39" s="110" t="str">
        <f>VLOOKUP($D39,DSNhanVien!C:D,2)</f>
        <v>Đỗ Thu Thùy</v>
      </c>
    </row>
    <row r="40" spans="1:10" s="110" customFormat="1" x14ac:dyDescent="0.25">
      <c r="A40" s="110" t="s">
        <v>176</v>
      </c>
      <c r="B40" s="110">
        <v>2</v>
      </c>
      <c r="C40" s="110" t="s">
        <v>11</v>
      </c>
      <c r="D40" s="110" t="s">
        <v>57</v>
      </c>
      <c r="E40" s="110">
        <v>7</v>
      </c>
      <c r="F40" s="110">
        <v>1</v>
      </c>
      <c r="J40" s="110" t="str">
        <f>VLOOKUP($D40,DSNhanVien!C:D,2)</f>
        <v>Đỗ Thu Thùy</v>
      </c>
    </row>
    <row r="41" spans="1:10" s="110" customFormat="1" x14ac:dyDescent="0.25">
      <c r="A41" s="110" t="s">
        <v>175</v>
      </c>
      <c r="B41" s="110">
        <v>1</v>
      </c>
      <c r="C41" s="110" t="s">
        <v>12</v>
      </c>
      <c r="D41" s="110" t="s">
        <v>57</v>
      </c>
      <c r="E41" s="110">
        <v>175</v>
      </c>
      <c r="F41" s="110">
        <v>2</v>
      </c>
      <c r="J41" s="110" t="str">
        <f>VLOOKUP($D41,DSNhanVien!C:D,2)</f>
        <v>Đỗ Thu Thùy</v>
      </c>
    </row>
    <row r="42" spans="1:10" s="110" customFormat="1" x14ac:dyDescent="0.25">
      <c r="A42" s="110" t="s">
        <v>181</v>
      </c>
      <c r="B42" s="110">
        <v>1</v>
      </c>
      <c r="C42" s="110" t="s">
        <v>11</v>
      </c>
      <c r="D42" s="110" t="s">
        <v>182</v>
      </c>
      <c r="E42" s="110">
        <v>85</v>
      </c>
      <c r="F42" s="110">
        <v>1</v>
      </c>
      <c r="J42" s="110" t="str">
        <f>VLOOKUP($D42,DSNhanVien!C:D,2)</f>
        <v>Đỗ Thu Thùy</v>
      </c>
    </row>
    <row r="43" spans="1:10" s="110" customFormat="1" x14ac:dyDescent="0.25">
      <c r="J43" s="110" t="e">
        <f>VLOOKUP($D43,DSNhanVien!C:D,2)</f>
        <v>#N/A</v>
      </c>
    </row>
    <row r="44" spans="1:10" s="110" customFormat="1" x14ac:dyDescent="0.25">
      <c r="A44"/>
      <c r="B44"/>
      <c r="C44"/>
      <c r="D44"/>
      <c r="E44"/>
      <c r="F44"/>
      <c r="G44"/>
      <c r="H44"/>
      <c r="I44"/>
      <c r="J44"/>
    </row>
    <row r="45" spans="1:10" s="109" customFormat="1" x14ac:dyDescent="0.25">
      <c r="A45"/>
      <c r="B45"/>
      <c r="C45"/>
      <c r="D45"/>
      <c r="E45"/>
      <c r="F45"/>
      <c r="G45"/>
      <c r="H45"/>
      <c r="I45"/>
      <c r="J45"/>
    </row>
    <row r="46" spans="1:10" s="109" customFormat="1" x14ac:dyDescent="0.25">
      <c r="A46"/>
      <c r="B46"/>
      <c r="C46"/>
      <c r="D46"/>
      <c r="E46"/>
      <c r="F46"/>
      <c r="G46"/>
      <c r="H46"/>
      <c r="I46"/>
      <c r="J46"/>
    </row>
    <row r="47" spans="1:10" s="109" customFormat="1" x14ac:dyDescent="0.25">
      <c r="A47"/>
      <c r="B47"/>
      <c r="C47"/>
      <c r="D47"/>
      <c r="E47"/>
      <c r="F47"/>
      <c r="G47"/>
      <c r="H47"/>
      <c r="I47"/>
      <c r="J47"/>
    </row>
    <row r="48" spans="1:10" s="109" customFormat="1" x14ac:dyDescent="0.25">
      <c r="A48"/>
      <c r="B48"/>
      <c r="C48"/>
      <c r="D48"/>
      <c r="E48"/>
      <c r="F48"/>
      <c r="G48"/>
      <c r="H48"/>
      <c r="I48"/>
      <c r="J48"/>
    </row>
    <row r="49" spans="1:10" s="109" customFormat="1" x14ac:dyDescent="0.25">
      <c r="A49"/>
      <c r="B49"/>
      <c r="C49"/>
      <c r="D49"/>
      <c r="E49"/>
      <c r="F49"/>
      <c r="G49"/>
      <c r="H49"/>
      <c r="I49"/>
      <c r="J49"/>
    </row>
    <row r="50" spans="1:10" s="109" customFormat="1" x14ac:dyDescent="0.25">
      <c r="A50"/>
      <c r="B50"/>
      <c r="C50"/>
      <c r="D50"/>
      <c r="E50"/>
      <c r="F50"/>
      <c r="G50"/>
      <c r="H50"/>
      <c r="I50"/>
      <c r="J50"/>
    </row>
    <row r="51" spans="1:10" s="109" customFormat="1" x14ac:dyDescent="0.25">
      <c r="A51"/>
      <c r="B51"/>
      <c r="C51"/>
      <c r="D51"/>
      <c r="E51"/>
      <c r="F51"/>
      <c r="G51"/>
      <c r="H51"/>
      <c r="I51"/>
      <c r="J51"/>
    </row>
    <row r="52" spans="1:10" s="109" customFormat="1" x14ac:dyDescent="0.25">
      <c r="A52"/>
      <c r="B52"/>
      <c r="C52"/>
      <c r="D52"/>
      <c r="E52"/>
      <c r="F52"/>
      <c r="G52"/>
      <c r="H52"/>
      <c r="I52"/>
      <c r="J52"/>
    </row>
    <row r="53" spans="1:10" s="109" customFormat="1" x14ac:dyDescent="0.25">
      <c r="A53"/>
      <c r="B53"/>
      <c r="C53"/>
      <c r="D53"/>
      <c r="E53"/>
      <c r="F53"/>
      <c r="G53"/>
      <c r="H53"/>
      <c r="I53"/>
      <c r="J53"/>
    </row>
  </sheetData>
  <sheetProtection algorithmName="SHA-512" hashValue="7OsUO00V1M7nJeAY5mytk5ZZSJ5EFXFFKrpRGYBBEJwFEAoxK8+deBapzSnhf7ZkIgriN/uSbOEogEXX9Q6qgw==" saltValue="3Ucus/15gbSY5MAfCbGtgw==" spinCount="100000" sheet="1" objects="1" scenarios="1"/>
  <conditionalFormatting sqref="A1:A1048576">
    <cfRule type="duplicateValues" dxfId="2" priority="16"/>
  </conditionalFormatting>
  <pageMargins left="0.7" right="0.7" top="0.75" bottom="0.75" header="0.3" footer="0.3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CH38"/>
  <sheetViews>
    <sheetView workbookViewId="0">
      <pane xSplit="1" ySplit="5" topLeftCell="CA20" activePane="bottomRight" state="frozen"/>
      <selection pane="topRight" activeCell="B1" sqref="B1"/>
      <selection pane="bottomLeft" activeCell="A6" sqref="A6"/>
      <selection pane="bottomRight" activeCell="CD28" sqref="CD28"/>
    </sheetView>
  </sheetViews>
  <sheetFormatPr defaultColWidth="8.85546875" defaultRowHeight="15" x14ac:dyDescent="0.25"/>
  <cols>
    <col min="1" max="1" width="4.85546875" customWidth="1"/>
    <col min="2" max="3" width="6.140625" customWidth="1"/>
    <col min="4" max="4" width="7.42578125" bestFit="1" customWidth="1"/>
    <col min="5" max="5" width="5.140625" customWidth="1"/>
    <col min="6" max="7" width="5.42578125" customWidth="1"/>
    <col min="8" max="8" width="6.42578125" customWidth="1"/>
    <col min="9" max="9" width="5.42578125" customWidth="1"/>
    <col min="10" max="10" width="6" customWidth="1"/>
    <col min="11" max="11" width="5.42578125" customWidth="1"/>
    <col min="12" max="12" width="5.85546875" customWidth="1"/>
    <col min="13" max="14" width="6.42578125" customWidth="1"/>
    <col min="15" max="15" width="5.42578125" customWidth="1"/>
    <col min="16" max="17" width="6.42578125" customWidth="1"/>
    <col min="18" max="18" width="5" customWidth="1"/>
    <col min="19" max="19" width="6.42578125" customWidth="1"/>
    <col min="20" max="20" width="6" customWidth="1"/>
    <col min="21" max="21" width="6.42578125" customWidth="1"/>
    <col min="22" max="22" width="6" customWidth="1"/>
    <col min="23" max="23" width="5.85546875" customWidth="1"/>
    <col min="24" max="24" width="6.42578125" customWidth="1"/>
    <col min="25" max="25" width="6.140625" customWidth="1"/>
    <col min="26" max="26" width="5.42578125" customWidth="1"/>
    <col min="27" max="27" width="6.42578125" customWidth="1"/>
    <col min="28" max="28" width="5.42578125" customWidth="1"/>
    <col min="29" max="29" width="6.42578125" customWidth="1"/>
    <col min="30" max="30" width="5.42578125" customWidth="1"/>
    <col min="31" max="31" width="7" customWidth="1"/>
    <col min="32" max="33" width="5.42578125" customWidth="1"/>
    <col min="34" max="34" width="5.85546875" customWidth="1"/>
    <col min="35" max="35" width="6.140625" customWidth="1"/>
    <col min="36" max="36" width="6.42578125" customWidth="1"/>
    <col min="37" max="37" width="6" customWidth="1"/>
    <col min="38" max="38" width="7" customWidth="1"/>
    <col min="39" max="39" width="6" customWidth="1"/>
    <col min="40" max="40" width="6.140625" customWidth="1"/>
    <col min="41" max="42" width="6.42578125" customWidth="1"/>
    <col min="43" max="43" width="5.42578125" customWidth="1"/>
    <col min="44" max="44" width="6.42578125" customWidth="1"/>
    <col min="45" max="45" width="6.140625" customWidth="1"/>
    <col min="46" max="46" width="6.42578125" customWidth="1"/>
    <col min="47" max="52" width="7.140625" customWidth="1"/>
    <col min="53" max="53" width="7.42578125" customWidth="1"/>
    <col min="54" max="54" width="6.42578125" customWidth="1"/>
    <col min="55" max="55" width="7" customWidth="1"/>
    <col min="56" max="56" width="6.140625" customWidth="1"/>
    <col min="57" max="57" width="6.42578125" customWidth="1"/>
    <col min="58" max="58" width="8" customWidth="1"/>
    <col min="59" max="61" width="7.42578125" customWidth="1"/>
    <col min="62" max="62" width="6.42578125" customWidth="1"/>
    <col min="63" max="63" width="7.42578125" customWidth="1"/>
    <col min="64" max="64" width="7.85546875" customWidth="1"/>
    <col min="65" max="65" width="8.42578125" customWidth="1"/>
    <col min="66" max="66" width="6.42578125" customWidth="1"/>
    <col min="67" max="67" width="9.140625" customWidth="1"/>
    <col min="68" max="68" width="7.42578125" customWidth="1"/>
    <col min="69" max="70" width="6.42578125" customWidth="1"/>
    <col min="71" max="71" width="7.42578125" customWidth="1"/>
    <col min="72" max="72" width="7.140625" customWidth="1"/>
    <col min="73" max="74" width="7.42578125" customWidth="1"/>
    <col min="81" max="82" width="6.140625" style="110" customWidth="1"/>
    <col min="83" max="83" width="6" style="110" bestFit="1" customWidth="1"/>
    <col min="84" max="84" width="5.140625" style="110" customWidth="1"/>
    <col min="85" max="86" width="8.85546875" style="110"/>
  </cols>
  <sheetData>
    <row r="1" spans="1:86" x14ac:dyDescent="0.25">
      <c r="A1" s="1"/>
      <c r="B1" s="133" t="s">
        <v>0</v>
      </c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28" t="s">
        <v>1</v>
      </c>
      <c r="R1" s="128"/>
      <c r="S1" s="128"/>
      <c r="T1" s="128"/>
      <c r="U1" s="135"/>
      <c r="V1" s="135"/>
      <c r="W1" s="135"/>
      <c r="X1" s="135"/>
      <c r="Y1" s="135"/>
      <c r="Z1" s="135"/>
      <c r="AA1" s="135"/>
      <c r="AB1" s="135"/>
      <c r="AC1" s="129"/>
      <c r="AD1" s="129"/>
      <c r="AE1" s="135"/>
      <c r="AF1" s="137" t="s">
        <v>2</v>
      </c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AU1" s="132" t="s">
        <v>3</v>
      </c>
      <c r="AV1" s="132"/>
      <c r="AW1" s="132"/>
      <c r="AX1" s="132"/>
      <c r="AY1" s="132"/>
      <c r="AZ1" s="132"/>
      <c r="BA1" s="132"/>
      <c r="BB1" s="132" t="s">
        <v>4</v>
      </c>
      <c r="BC1" s="132"/>
      <c r="BD1" s="132"/>
      <c r="BE1" s="132"/>
      <c r="BF1" s="132"/>
      <c r="BG1" s="132"/>
      <c r="BH1" s="132"/>
      <c r="BI1" s="133" t="s">
        <v>5</v>
      </c>
      <c r="BJ1" s="133"/>
      <c r="BK1" s="133"/>
      <c r="BL1" s="133"/>
      <c r="BM1" s="133"/>
      <c r="BN1" s="133"/>
      <c r="BO1" s="133"/>
      <c r="BP1" s="128" t="s">
        <v>6</v>
      </c>
      <c r="BQ1" s="128"/>
      <c r="BR1" s="128"/>
      <c r="BS1" s="128"/>
      <c r="BT1" s="129"/>
      <c r="BU1" s="129"/>
      <c r="BV1" s="130"/>
      <c r="BW1" s="144" t="s">
        <v>173</v>
      </c>
      <c r="BX1" s="145"/>
      <c r="BY1" s="145"/>
      <c r="BZ1" s="145"/>
      <c r="CA1" s="145"/>
      <c r="CB1" s="145"/>
      <c r="CC1" s="122" t="s">
        <v>187</v>
      </c>
      <c r="CD1" s="122"/>
      <c r="CE1" s="122"/>
      <c r="CF1" s="122"/>
      <c r="CG1" s="122"/>
      <c r="CH1" s="122"/>
    </row>
    <row r="2" spans="1:86" x14ac:dyDescent="0.25">
      <c r="A2" s="2"/>
      <c r="B2" s="133" t="s">
        <v>7</v>
      </c>
      <c r="C2" s="133"/>
      <c r="D2" s="133"/>
      <c r="E2" s="133"/>
      <c r="F2" s="133" t="s">
        <v>8</v>
      </c>
      <c r="G2" s="133"/>
      <c r="H2" s="133"/>
      <c r="I2" s="133"/>
      <c r="J2" s="133" t="s">
        <v>9</v>
      </c>
      <c r="K2" s="133"/>
      <c r="L2" s="133"/>
      <c r="M2" s="133"/>
      <c r="N2" s="2"/>
      <c r="O2" s="2"/>
      <c r="P2" s="2"/>
      <c r="Q2" s="3" t="s">
        <v>7</v>
      </c>
      <c r="R2" s="3"/>
      <c r="S2" s="3"/>
      <c r="T2" s="3"/>
      <c r="U2" s="136" t="s">
        <v>8</v>
      </c>
      <c r="V2" s="138"/>
      <c r="W2" s="139"/>
      <c r="X2" s="140"/>
      <c r="Y2" s="136" t="s">
        <v>9</v>
      </c>
      <c r="Z2" s="136"/>
      <c r="AA2" s="141"/>
      <c r="AB2" s="136"/>
      <c r="AC2" s="4"/>
      <c r="AD2" s="4"/>
      <c r="AE2" s="5"/>
      <c r="AF2" s="133" t="s">
        <v>7</v>
      </c>
      <c r="AG2" s="133"/>
      <c r="AH2" s="133"/>
      <c r="AI2" s="133"/>
      <c r="AJ2" s="133" t="s">
        <v>8</v>
      </c>
      <c r="AK2" s="133"/>
      <c r="AL2" s="133"/>
      <c r="AM2" s="133"/>
      <c r="AN2" s="133" t="s">
        <v>9</v>
      </c>
      <c r="AO2" s="133"/>
      <c r="AP2" s="133"/>
      <c r="AQ2" s="133"/>
      <c r="AR2" s="2"/>
      <c r="AS2" s="2"/>
      <c r="AT2" s="2"/>
      <c r="AU2" s="133" t="s">
        <v>7</v>
      </c>
      <c r="AV2" s="133"/>
      <c r="AW2" s="133"/>
      <c r="AX2" s="133"/>
      <c r="AY2" s="2"/>
      <c r="AZ2" s="2"/>
      <c r="BA2" s="2"/>
      <c r="BB2" s="133" t="s">
        <v>7</v>
      </c>
      <c r="BC2" s="133"/>
      <c r="BD2" s="133"/>
      <c r="BE2" s="133"/>
      <c r="BF2" s="2"/>
      <c r="BG2" s="2"/>
      <c r="BH2" s="2"/>
      <c r="BI2" s="133" t="s">
        <v>7</v>
      </c>
      <c r="BJ2" s="133"/>
      <c r="BK2" s="133"/>
      <c r="BL2" s="133"/>
      <c r="BM2" s="2"/>
      <c r="BN2" s="2"/>
      <c r="BO2" s="2"/>
      <c r="BP2" s="136" t="s">
        <v>7</v>
      </c>
      <c r="BQ2" s="136"/>
      <c r="BR2" s="136"/>
      <c r="BS2" s="136"/>
      <c r="BT2" s="4"/>
      <c r="BU2" s="134"/>
      <c r="BV2" s="135"/>
      <c r="BW2" s="104"/>
      <c r="BX2" s="105"/>
      <c r="BY2" s="105"/>
      <c r="BZ2" s="146"/>
      <c r="CA2" s="146"/>
      <c r="CB2" s="146"/>
      <c r="CC2" s="123"/>
      <c r="CD2" s="124"/>
      <c r="CE2" s="124"/>
      <c r="CF2" s="124"/>
      <c r="CG2" s="124"/>
      <c r="CH2" s="124"/>
    </row>
    <row r="3" spans="1:86" ht="30" customHeight="1" x14ac:dyDescent="0.25">
      <c r="A3" s="125" t="s">
        <v>10</v>
      </c>
      <c r="B3" s="125" t="s">
        <v>11</v>
      </c>
      <c r="C3" s="125"/>
      <c r="D3" s="126" t="s">
        <v>12</v>
      </c>
      <c r="E3" s="126"/>
      <c r="F3" s="125" t="s">
        <v>11</v>
      </c>
      <c r="G3" s="125"/>
      <c r="H3" s="126" t="s">
        <v>12</v>
      </c>
      <c r="I3" s="126"/>
      <c r="J3" s="125" t="s">
        <v>11</v>
      </c>
      <c r="K3" s="125"/>
      <c r="L3" s="126" t="s">
        <v>12</v>
      </c>
      <c r="M3" s="126"/>
      <c r="N3" s="125" t="s">
        <v>13</v>
      </c>
      <c r="O3" s="125" t="s">
        <v>14</v>
      </c>
      <c r="P3" s="6" t="s">
        <v>15</v>
      </c>
      <c r="Q3" s="125" t="s">
        <v>11</v>
      </c>
      <c r="R3" s="125"/>
      <c r="S3" s="126" t="s">
        <v>12</v>
      </c>
      <c r="T3" s="126"/>
      <c r="U3" s="125" t="s">
        <v>11</v>
      </c>
      <c r="V3" s="125"/>
      <c r="W3" s="126" t="s">
        <v>12</v>
      </c>
      <c r="X3" s="126"/>
      <c r="Y3" s="125" t="s">
        <v>11</v>
      </c>
      <c r="Z3" s="125"/>
      <c r="AA3" s="126" t="s">
        <v>12</v>
      </c>
      <c r="AB3" s="126"/>
      <c r="AC3" s="125" t="s">
        <v>13</v>
      </c>
      <c r="AD3" s="125" t="s">
        <v>14</v>
      </c>
      <c r="AE3" s="7" t="s">
        <v>15</v>
      </c>
      <c r="AF3" s="125" t="s">
        <v>11</v>
      </c>
      <c r="AG3" s="125"/>
      <c r="AH3" s="126" t="s">
        <v>12</v>
      </c>
      <c r="AI3" s="126"/>
      <c r="AJ3" s="125" t="s">
        <v>11</v>
      </c>
      <c r="AK3" s="125"/>
      <c r="AL3" s="126" t="s">
        <v>12</v>
      </c>
      <c r="AM3" s="126"/>
      <c r="AN3" s="125" t="s">
        <v>11</v>
      </c>
      <c r="AO3" s="125"/>
      <c r="AP3" s="126" t="s">
        <v>12</v>
      </c>
      <c r="AQ3" s="126"/>
      <c r="AR3" s="125" t="s">
        <v>13</v>
      </c>
      <c r="AS3" s="125" t="s">
        <v>14</v>
      </c>
      <c r="AT3" s="6" t="s">
        <v>15</v>
      </c>
      <c r="AU3" s="125" t="s">
        <v>11</v>
      </c>
      <c r="AV3" s="125"/>
      <c r="AW3" s="126" t="s">
        <v>12</v>
      </c>
      <c r="AX3" s="126"/>
      <c r="AY3" s="125" t="s">
        <v>13</v>
      </c>
      <c r="AZ3" s="125" t="s">
        <v>14</v>
      </c>
      <c r="BA3" s="6" t="s">
        <v>15</v>
      </c>
      <c r="BB3" s="125" t="s">
        <v>11</v>
      </c>
      <c r="BC3" s="125"/>
      <c r="BD3" s="126" t="s">
        <v>12</v>
      </c>
      <c r="BE3" s="126"/>
      <c r="BF3" s="125" t="s">
        <v>13</v>
      </c>
      <c r="BG3" s="125" t="s">
        <v>14</v>
      </c>
      <c r="BH3" s="6" t="s">
        <v>15</v>
      </c>
      <c r="BI3" s="125" t="s">
        <v>11</v>
      </c>
      <c r="BJ3" s="125"/>
      <c r="BK3" s="126" t="s">
        <v>12</v>
      </c>
      <c r="BL3" s="126"/>
      <c r="BM3" s="125" t="s">
        <v>13</v>
      </c>
      <c r="BN3" s="125" t="s">
        <v>14</v>
      </c>
      <c r="BO3" s="6" t="s">
        <v>15</v>
      </c>
      <c r="BP3" s="125" t="s">
        <v>11</v>
      </c>
      <c r="BQ3" s="125"/>
      <c r="BR3" s="126" t="s">
        <v>12</v>
      </c>
      <c r="BS3" s="126"/>
      <c r="BT3" s="125" t="s">
        <v>13</v>
      </c>
      <c r="BU3" s="125" t="s">
        <v>14</v>
      </c>
      <c r="BV3" s="100" t="s">
        <v>15</v>
      </c>
      <c r="BW3" s="131" t="s">
        <v>8</v>
      </c>
      <c r="BX3" s="131"/>
      <c r="BY3" s="142" t="s">
        <v>172</v>
      </c>
      <c r="BZ3" s="143"/>
      <c r="CA3" s="120" t="s">
        <v>13</v>
      </c>
      <c r="CB3" s="121" t="s">
        <v>14</v>
      </c>
      <c r="CC3" s="125" t="s">
        <v>11</v>
      </c>
      <c r="CD3" s="125"/>
      <c r="CE3" s="126" t="s">
        <v>12</v>
      </c>
      <c r="CF3" s="126"/>
      <c r="CG3" s="120" t="s">
        <v>13</v>
      </c>
      <c r="CH3" s="121" t="s">
        <v>14</v>
      </c>
    </row>
    <row r="4" spans="1:86" x14ac:dyDescent="0.25">
      <c r="A4" s="127"/>
      <c r="B4" s="8" t="s">
        <v>16</v>
      </c>
      <c r="C4" s="8" t="s">
        <v>17</v>
      </c>
      <c r="D4" s="9" t="s">
        <v>16</v>
      </c>
      <c r="E4" s="9" t="s">
        <v>17</v>
      </c>
      <c r="F4" s="8" t="s">
        <v>16</v>
      </c>
      <c r="G4" s="8" t="s">
        <v>17</v>
      </c>
      <c r="H4" s="9" t="s">
        <v>16</v>
      </c>
      <c r="I4" s="9" t="s">
        <v>17</v>
      </c>
      <c r="J4" s="8" t="s">
        <v>16</v>
      </c>
      <c r="K4" s="8" t="s">
        <v>17</v>
      </c>
      <c r="L4" s="9" t="s">
        <v>16</v>
      </c>
      <c r="M4" s="9" t="s">
        <v>17</v>
      </c>
      <c r="N4" s="127"/>
      <c r="O4" s="127"/>
      <c r="P4" s="10"/>
      <c r="Q4" s="8" t="s">
        <v>16</v>
      </c>
      <c r="R4" s="8" t="s">
        <v>17</v>
      </c>
      <c r="S4" s="9" t="s">
        <v>16</v>
      </c>
      <c r="T4" s="9" t="s">
        <v>17</v>
      </c>
      <c r="U4" s="8" t="s">
        <v>16</v>
      </c>
      <c r="V4" s="8" t="s">
        <v>17</v>
      </c>
      <c r="W4" s="9" t="s">
        <v>16</v>
      </c>
      <c r="X4" s="9" t="s">
        <v>17</v>
      </c>
      <c r="Y4" s="8" t="s">
        <v>16</v>
      </c>
      <c r="Z4" s="8" t="s">
        <v>17</v>
      </c>
      <c r="AA4" s="9" t="s">
        <v>16</v>
      </c>
      <c r="AB4" s="9" t="s">
        <v>17</v>
      </c>
      <c r="AC4" s="127"/>
      <c r="AD4" s="127"/>
      <c r="AE4" s="8"/>
      <c r="AF4" s="8" t="s">
        <v>16</v>
      </c>
      <c r="AG4" s="8" t="s">
        <v>17</v>
      </c>
      <c r="AH4" s="9" t="s">
        <v>16</v>
      </c>
      <c r="AI4" s="9" t="s">
        <v>17</v>
      </c>
      <c r="AJ4" s="8" t="s">
        <v>16</v>
      </c>
      <c r="AK4" s="8" t="s">
        <v>17</v>
      </c>
      <c r="AL4" s="9" t="s">
        <v>16</v>
      </c>
      <c r="AM4" s="9" t="s">
        <v>17</v>
      </c>
      <c r="AN4" s="8" t="s">
        <v>16</v>
      </c>
      <c r="AO4" s="8" t="s">
        <v>17</v>
      </c>
      <c r="AP4" s="9" t="s">
        <v>16</v>
      </c>
      <c r="AQ4" s="9" t="s">
        <v>17</v>
      </c>
      <c r="AR4" s="127"/>
      <c r="AS4" s="127"/>
      <c r="AT4" s="10"/>
      <c r="AU4" s="8" t="s">
        <v>16</v>
      </c>
      <c r="AV4" s="8" t="s">
        <v>17</v>
      </c>
      <c r="AW4" s="9" t="s">
        <v>16</v>
      </c>
      <c r="AX4" s="9" t="s">
        <v>17</v>
      </c>
      <c r="AY4" s="127"/>
      <c r="AZ4" s="127"/>
      <c r="BA4" s="10"/>
      <c r="BB4" s="8" t="s">
        <v>16</v>
      </c>
      <c r="BC4" s="8" t="s">
        <v>17</v>
      </c>
      <c r="BD4" s="9" t="s">
        <v>16</v>
      </c>
      <c r="BE4" s="9" t="s">
        <v>17</v>
      </c>
      <c r="BF4" s="127"/>
      <c r="BG4" s="127"/>
      <c r="BH4" s="10"/>
      <c r="BI4" s="8" t="s">
        <v>16</v>
      </c>
      <c r="BJ4" s="8" t="s">
        <v>17</v>
      </c>
      <c r="BK4" s="9" t="s">
        <v>16</v>
      </c>
      <c r="BL4" s="9" t="s">
        <v>17</v>
      </c>
      <c r="BM4" s="127"/>
      <c r="BN4" s="127"/>
      <c r="BO4" s="10"/>
      <c r="BP4" s="8" t="s">
        <v>16</v>
      </c>
      <c r="BQ4" s="8" t="s">
        <v>17</v>
      </c>
      <c r="BR4" s="9" t="s">
        <v>16</v>
      </c>
      <c r="BS4" s="9" t="s">
        <v>17</v>
      </c>
      <c r="BT4" s="127"/>
      <c r="BU4" s="127"/>
      <c r="BV4" s="101"/>
      <c r="BW4" s="107" t="s">
        <v>16</v>
      </c>
      <c r="BX4" s="107" t="s">
        <v>17</v>
      </c>
      <c r="BY4" s="108" t="s">
        <v>174</v>
      </c>
      <c r="BZ4" s="108" t="s">
        <v>17</v>
      </c>
      <c r="CA4" s="120"/>
      <c r="CB4" s="121"/>
      <c r="CC4" s="111" t="s">
        <v>16</v>
      </c>
      <c r="CD4" s="111" t="s">
        <v>17</v>
      </c>
      <c r="CE4" s="9" t="s">
        <v>16</v>
      </c>
      <c r="CF4" s="9" t="s">
        <v>17</v>
      </c>
      <c r="CG4" s="120"/>
      <c r="CH4" s="121"/>
    </row>
    <row r="5" spans="1:86" x14ac:dyDescent="0.25">
      <c r="A5" s="11"/>
      <c r="B5" s="11">
        <f>SUM(B6:B36)</f>
        <v>15453.5</v>
      </c>
      <c r="C5" s="11">
        <f t="shared" ref="C5:M5" si="0">SUM(C6:C36)</f>
        <v>192</v>
      </c>
      <c r="D5" s="12">
        <f t="shared" si="0"/>
        <v>26963.5</v>
      </c>
      <c r="E5" s="12">
        <f t="shared" si="0"/>
        <v>339</v>
      </c>
      <c r="F5" s="11">
        <f t="shared" si="0"/>
        <v>347</v>
      </c>
      <c r="G5" s="11">
        <f t="shared" si="0"/>
        <v>3</v>
      </c>
      <c r="H5" s="12">
        <f t="shared" si="0"/>
        <v>5358</v>
      </c>
      <c r="I5" s="12">
        <f t="shared" si="0"/>
        <v>50</v>
      </c>
      <c r="J5" s="11">
        <f t="shared" si="0"/>
        <v>0</v>
      </c>
      <c r="K5" s="11">
        <f t="shared" si="0"/>
        <v>0</v>
      </c>
      <c r="L5" s="12">
        <f t="shared" si="0"/>
        <v>3661</v>
      </c>
      <c r="M5" s="12">
        <f t="shared" si="0"/>
        <v>17</v>
      </c>
      <c r="N5" s="11">
        <f>SUM(B5,D5,F5,H5,J5,L5)</f>
        <v>51783</v>
      </c>
      <c r="O5" s="11">
        <f>SUM(C5,E5,G5,I5,K5,M5)</f>
        <v>601</v>
      </c>
      <c r="P5" s="11"/>
      <c r="Q5" s="11">
        <f t="shared" ref="Q5:AB5" si="1">SUM(Q6:Q36)</f>
        <v>576</v>
      </c>
      <c r="R5" s="11">
        <f t="shared" si="1"/>
        <v>12</v>
      </c>
      <c r="S5" s="11">
        <f t="shared" si="1"/>
        <v>1494</v>
      </c>
      <c r="T5" s="11">
        <f t="shared" si="1"/>
        <v>25</v>
      </c>
      <c r="U5" s="11">
        <f t="shared" si="1"/>
        <v>0</v>
      </c>
      <c r="V5" s="11">
        <f t="shared" si="1"/>
        <v>0</v>
      </c>
      <c r="W5" s="11">
        <f t="shared" si="1"/>
        <v>0</v>
      </c>
      <c r="X5" s="11">
        <f t="shared" si="1"/>
        <v>0</v>
      </c>
      <c r="Y5" s="11">
        <f t="shared" si="1"/>
        <v>0</v>
      </c>
      <c r="Z5" s="11">
        <f t="shared" si="1"/>
        <v>0</v>
      </c>
      <c r="AA5" s="11">
        <f t="shared" si="1"/>
        <v>0</v>
      </c>
      <c r="AB5" s="11">
        <f t="shared" si="1"/>
        <v>0</v>
      </c>
      <c r="AC5" s="11">
        <f t="shared" ref="AC5:AD36" si="2">SUM(Q5,S5)</f>
        <v>2070</v>
      </c>
      <c r="AD5" s="11">
        <f t="shared" si="2"/>
        <v>37</v>
      </c>
      <c r="AE5" s="11"/>
      <c r="AF5" s="11">
        <f t="shared" ref="AF5:AQ5" si="3">SUM(AF6:AF36)</f>
        <v>343</v>
      </c>
      <c r="AG5" s="11">
        <f t="shared" si="3"/>
        <v>4</v>
      </c>
      <c r="AH5" s="12">
        <f t="shared" si="3"/>
        <v>1428</v>
      </c>
      <c r="AI5" s="12">
        <f t="shared" si="3"/>
        <v>21</v>
      </c>
      <c r="AJ5" s="11">
        <f t="shared" si="3"/>
        <v>0</v>
      </c>
      <c r="AK5" s="11">
        <f t="shared" si="3"/>
        <v>0</v>
      </c>
      <c r="AL5" s="12">
        <f t="shared" si="3"/>
        <v>400</v>
      </c>
      <c r="AM5" s="12">
        <f t="shared" si="3"/>
        <v>2</v>
      </c>
      <c r="AN5" s="11">
        <f t="shared" si="3"/>
        <v>0</v>
      </c>
      <c r="AO5" s="11">
        <f t="shared" si="3"/>
        <v>0</v>
      </c>
      <c r="AP5" s="12">
        <f t="shared" si="3"/>
        <v>0</v>
      </c>
      <c r="AQ5" s="12">
        <f t="shared" si="3"/>
        <v>0</v>
      </c>
      <c r="AR5" s="11">
        <f t="shared" ref="AR5:AS36" si="4">SUM(AF5,AH5,AJ5,AL5,AN5,AP5)</f>
        <v>2171</v>
      </c>
      <c r="AS5" s="11">
        <f t="shared" si="4"/>
        <v>27</v>
      </c>
      <c r="AT5" s="11"/>
      <c r="AU5" s="11">
        <f>SUM(AU6:AU36)</f>
        <v>6999.5</v>
      </c>
      <c r="AV5" s="11">
        <f>SUM(AV6:AV36)</f>
        <v>88</v>
      </c>
      <c r="AW5" s="11">
        <f>SUM(AW6:AW36)</f>
        <v>16186.5</v>
      </c>
      <c r="AX5" s="11">
        <f>SUM(AX6:AX36)</f>
        <v>183</v>
      </c>
      <c r="AY5" s="11">
        <f>SUM(AU5,AW5)</f>
        <v>23186</v>
      </c>
      <c r="AZ5" s="11">
        <f>SUM(AV5,AX5)</f>
        <v>271</v>
      </c>
      <c r="BA5" s="11"/>
      <c r="BB5" s="11">
        <f t="shared" ref="BB5:BE5" si="5">SUM(BB6:BB36)</f>
        <v>0</v>
      </c>
      <c r="BC5" s="11">
        <f t="shared" si="5"/>
        <v>0</v>
      </c>
      <c r="BD5" s="12">
        <f t="shared" si="5"/>
        <v>60209</v>
      </c>
      <c r="BE5" s="12">
        <f t="shared" si="5"/>
        <v>3</v>
      </c>
      <c r="BF5" s="11">
        <f>SUM(BB5,BD5)</f>
        <v>60209</v>
      </c>
      <c r="BG5" s="11">
        <f>SUM(BC5,BE5)</f>
        <v>3</v>
      </c>
      <c r="BH5" s="11"/>
      <c r="BI5" s="11">
        <f>SUM(BI6:BI36)</f>
        <v>1546</v>
      </c>
      <c r="BJ5" s="11">
        <f>SUM(BJ6:BJ36)</f>
        <v>32</v>
      </c>
      <c r="BK5" s="12">
        <f>SUM(BK6:BK36)</f>
        <v>3632.5</v>
      </c>
      <c r="BL5" s="12">
        <f>SUM(BL6:BL36)</f>
        <v>66</v>
      </c>
      <c r="BM5" s="11">
        <f>SUM(BI5,BK5)</f>
        <v>5178.5</v>
      </c>
      <c r="BN5" s="11">
        <f>SUM(BJ5,BL5)</f>
        <v>98</v>
      </c>
      <c r="BO5" s="11"/>
      <c r="BP5" s="11">
        <f>SUM(BP6:BP36)</f>
        <v>0</v>
      </c>
      <c r="BQ5" s="11">
        <f>SUM(BQ6:BQ36)</f>
        <v>0</v>
      </c>
      <c r="BR5" s="11">
        <f>SUM(BR6:BR36)</f>
        <v>0</v>
      </c>
      <c r="BS5" s="11">
        <f>SUM(BS6:BS36)</f>
        <v>0</v>
      </c>
      <c r="BT5" s="11">
        <f>SUM(BP5,BR5)</f>
        <v>0</v>
      </c>
      <c r="BU5" s="11">
        <f>SUM(BQ5,BS5)</f>
        <v>0</v>
      </c>
      <c r="BV5" s="102"/>
      <c r="BW5" s="106">
        <f>SUM(BW6:BW36)</f>
        <v>675</v>
      </c>
      <c r="BX5" s="106">
        <f>SUM(BX6:BX36)</f>
        <v>2</v>
      </c>
      <c r="BY5" s="106">
        <f>SUM(BY6:BY36)</f>
        <v>655</v>
      </c>
      <c r="BZ5" s="106">
        <f>SUM(BZ6:BZ36)</f>
        <v>1</v>
      </c>
      <c r="CA5" s="106">
        <f>SUM(BW5,BY5)</f>
        <v>1330</v>
      </c>
      <c r="CB5" s="106">
        <f>SUM(BX5,BZ5)</f>
        <v>3</v>
      </c>
      <c r="CC5" s="11">
        <f>SUM(CC6:CC36)</f>
        <v>13312</v>
      </c>
      <c r="CD5" s="11">
        <f t="shared" ref="CD5:CF5" si="6">SUM(CD6:CD36)</f>
        <v>89</v>
      </c>
      <c r="CE5" s="12">
        <f t="shared" si="6"/>
        <v>24490</v>
      </c>
      <c r="CF5" s="12">
        <f t="shared" si="6"/>
        <v>166</v>
      </c>
      <c r="CG5" s="106">
        <f>SUM(CC5,CE5)</f>
        <v>37802</v>
      </c>
      <c r="CH5" s="106">
        <f>SUM(CD5,CF5)</f>
        <v>255</v>
      </c>
    </row>
    <row r="6" spans="1:86" x14ac:dyDescent="0.25">
      <c r="A6" s="13">
        <v>1</v>
      </c>
      <c r="B6" s="14">
        <f>IFERROR(VLOOKUP(IF(MOD(COLUMN(B6),2)=0,$A6&amp;"-"&amp;B$3,$A6&amp;"-"&amp;A$3),CoSo1[],B$38,0),"")</f>
        <v>667.5</v>
      </c>
      <c r="C6" s="14">
        <f>IFERROR(VLOOKUP(IF(MOD(COLUMN(C6),2)=0,$A6&amp;"-"&amp;C$3,$A6&amp;"-"&amp;B$3),CoSo1[],C$38,0),"")</f>
        <v>7</v>
      </c>
      <c r="D6" s="14">
        <f>IFERROR(VLOOKUP(IF(MOD(COLUMN(D6),2)=0,$A6&amp;"-"&amp;D$3,$A6&amp;"-"&amp;C$3),CoSo1[],D$38,0),"")</f>
        <v>859.5</v>
      </c>
      <c r="E6" s="14">
        <f>IFERROR(VLOOKUP(IF(MOD(COLUMN(E6),2)=0,$A6&amp;"-"&amp;E$3,$A6&amp;"-"&amp;D$3),CoSo1[],E$38,0),"")</f>
        <v>11</v>
      </c>
      <c r="F6" s="14">
        <f>IFERROR(VLOOKUP(IF(MOD(COLUMN(F6),2)=0,$A6&amp;"-"&amp;F$3,$A6&amp;"-"&amp;E$3),CoSo1[],F$38,0),"")</f>
        <v>0</v>
      </c>
      <c r="G6" s="14">
        <f>IFERROR(VLOOKUP(IF(MOD(COLUMN(G6),2)=0,$A6&amp;"-"&amp;G$3,$A6&amp;"-"&amp;F$3),CoSo1[],G$38,0),"")</f>
        <v>0</v>
      </c>
      <c r="H6" s="14">
        <f>IFERROR(VLOOKUP(IF(MOD(COLUMN(H6),2)=0,$A6&amp;"-"&amp;H$3,$A6&amp;"-"&amp;G$3),CoSo1[],H$38,0),"")</f>
        <v>0</v>
      </c>
      <c r="I6" s="14">
        <f>IFERROR(VLOOKUP(IF(MOD(COLUMN(I6),2)=0,$A6&amp;"-"&amp;I$3,$A6&amp;"-"&amp;H$3),CoSo1[],I$38,0),"")</f>
        <v>0</v>
      </c>
      <c r="J6" s="14">
        <f>IFERROR(VLOOKUP(IF(MOD(COLUMN(J6),2)=0,$A6&amp;"-"&amp;J$3,$A6&amp;"-"&amp;I$3),CoSo1[],J$38,0),"")</f>
        <v>0</v>
      </c>
      <c r="K6" s="14">
        <f>IFERROR(VLOOKUP(IF(MOD(COLUMN(K6),2)=0,$A6&amp;"-"&amp;K$3,$A6&amp;"-"&amp;J$3),CoSo1[],K$38,0),"")</f>
        <v>0</v>
      </c>
      <c r="L6" s="14">
        <f>IFERROR(VLOOKUP(IF(MOD(COLUMN(L6),2)=0,$A6&amp;"-"&amp;L$3,$A6&amp;"-"&amp;K$3),CoSo1[],L$38,0),"")</f>
        <v>0</v>
      </c>
      <c r="M6" s="14">
        <f>IFERROR(VLOOKUP(IF(MOD(COLUMN(M6),2)=0,$A6&amp;"-"&amp;M$3,$A6&amp;"-"&amp;L$3),CoSo1[],M$38,0),"")</f>
        <v>0</v>
      </c>
      <c r="N6" s="11">
        <f>SUM(B6,D6,F6,H6,J6,L6)</f>
        <v>1527</v>
      </c>
      <c r="O6" s="11">
        <f>SUM(C6,E6,G6,I6,K6,M6)</f>
        <v>18</v>
      </c>
      <c r="P6" s="14"/>
      <c r="Q6" s="14">
        <f>IFERROR(VLOOKUP(IF(MOD(COLUMN(Q6),2)=1,$A6&amp;"-"&amp;Q$3,$A6&amp;"-"&amp;P$3),CoSo1[],Q$38,0),"")</f>
        <v>129</v>
      </c>
      <c r="R6" s="14">
        <f>IFERROR(VLOOKUP(IF(MOD(COLUMN(R6),2)=1,$A6&amp;"-"&amp;R$3,$A6&amp;"-"&amp;Q$3),CoSo1[],R$38,0),"")</f>
        <v>3</v>
      </c>
      <c r="S6" s="14">
        <f>IFERROR(VLOOKUP(IF(MOD(COLUMN(S6),2)=1,$A6&amp;"-"&amp;S$3,$A6&amp;"-"&amp;R$3),CoSo1[],S$38,0),"")</f>
        <v>0</v>
      </c>
      <c r="T6" s="14">
        <f>IFERROR(VLOOKUP(IF(MOD(COLUMN(T6),2)=1,$A6&amp;"-"&amp;T$3,$A6&amp;"-"&amp;S$3),CoSo1[],T$38,0),"")</f>
        <v>0</v>
      </c>
      <c r="U6" s="14">
        <f>IFERROR(VLOOKUP(IF(MOD(COLUMN(U6),2)=1,$A6&amp;"-"&amp;U$3,$A6&amp;"-"&amp;T$3),CoSo1[],U$38,0),"")</f>
        <v>0</v>
      </c>
      <c r="V6" s="14">
        <f>IFERROR(VLOOKUP(IF(MOD(COLUMN(V6),2)=1,$A6&amp;"-"&amp;V$3,$A6&amp;"-"&amp;U$3),CoSo1[],V$38,0),"")</f>
        <v>0</v>
      </c>
      <c r="W6" s="14">
        <f>IFERROR(VLOOKUP(IF(MOD(COLUMN(W6),2)=1,$A6&amp;"-"&amp;W$3,$A6&amp;"-"&amp;V$3),CoSo1[],W$38,0),"")</f>
        <v>0</v>
      </c>
      <c r="X6" s="14">
        <f>IFERROR(VLOOKUP(IF(MOD(COLUMN(X6),2)=1,$A6&amp;"-"&amp;X$3,$A6&amp;"-"&amp;W$3),CoSo1[],X$38,0),"")</f>
        <v>0</v>
      </c>
      <c r="Y6" s="14">
        <f>IFERROR(VLOOKUP(IF(MOD(COLUMN(Y6),2)=1,$A6&amp;"-"&amp;Y$3,$A6&amp;"-"&amp;X$3),CoSo1[],Y$38,0),"")</f>
        <v>0</v>
      </c>
      <c r="Z6" s="14">
        <f>IFERROR(VLOOKUP(IF(MOD(COLUMN(Z6),2)=1,$A6&amp;"-"&amp;Z$3,$A6&amp;"-"&amp;Y$3),CoSo1[],Z$38,0),"")</f>
        <v>0</v>
      </c>
      <c r="AA6" s="14">
        <f>IFERROR(VLOOKUP(IF(MOD(COLUMN(AA6),2)=1,$A6&amp;"-"&amp;AA$3,$A6&amp;"-"&amp;Z$3),CoSo1[],AA$38,0),"")</f>
        <v>0</v>
      </c>
      <c r="AB6" s="14">
        <f>IFERROR(VLOOKUP(IF(MOD(COLUMN(AB6),2)=1,$A6&amp;"-"&amp;AB$3,$A6&amp;"-"&amp;AA$3),CoSo1[],AB$38,0),"")</f>
        <v>0</v>
      </c>
      <c r="AC6" s="11">
        <f t="shared" si="2"/>
        <v>129</v>
      </c>
      <c r="AD6" s="11">
        <f t="shared" si="2"/>
        <v>3</v>
      </c>
      <c r="AE6" s="14"/>
      <c r="AF6" s="14">
        <f>IFERROR(VLOOKUP(IF(MOD(COLUMN(AF6),2)=0,$A6&amp;"-"&amp;AF$3,$A6&amp;"-"&amp;AE$3),CoSo1[],AF$38,0),"")</f>
        <v>0</v>
      </c>
      <c r="AG6" s="14">
        <f>IFERROR(VLOOKUP(IF(MOD(COLUMN(AG6),2)=0,$A6&amp;"-"&amp;AG$3,$A6&amp;"-"&amp;AF$3),CoSo1[],AG$38,0),"")</f>
        <v>0</v>
      </c>
      <c r="AH6" s="14">
        <f>IFERROR(VLOOKUP(IF(MOD(COLUMN(AH6),2)=0,$A6&amp;"-"&amp;AH$3,$A6&amp;"-"&amp;AG$3),CoSo1[],AH$38,0),"")</f>
        <v>0</v>
      </c>
      <c r="AI6" s="14">
        <f>IFERROR(VLOOKUP(IF(MOD(COLUMN(AI6),2)=0,$A6&amp;"-"&amp;AI$3,$A6&amp;"-"&amp;AH$3),CoSo1[],AI$38,0),"")</f>
        <v>0</v>
      </c>
      <c r="AJ6" s="14">
        <f>IFERROR(VLOOKUP(IF(MOD(COLUMN(AJ6),2)=0,$A6&amp;"-"&amp;AJ$3,$A6&amp;"-"&amp;AI$3),CoSo1[],AJ$38,0),"")</f>
        <v>0</v>
      </c>
      <c r="AK6" s="14">
        <f>IFERROR(VLOOKUP(IF(MOD(COLUMN(AK6),2)=0,$A6&amp;"-"&amp;AK$3,$A6&amp;"-"&amp;AJ$3),CoSo1[],AK$38,0),"")</f>
        <v>0</v>
      </c>
      <c r="AL6" s="14">
        <f>IFERROR(VLOOKUP(IF(MOD(COLUMN(AL6),2)=0,$A6&amp;"-"&amp;AL$3,$A6&amp;"-"&amp;AK$3),CoSo1[],AL$38,0),"")</f>
        <v>0</v>
      </c>
      <c r="AM6" s="14">
        <f>IFERROR(VLOOKUP(IF(MOD(COLUMN(AM6),2)=0,$A6&amp;"-"&amp;AM$3,$A6&amp;"-"&amp;AL$3),CoSo1[],AM$38,0),"")</f>
        <v>0</v>
      </c>
      <c r="AN6" s="14">
        <f>IFERROR(VLOOKUP(IF(MOD(COLUMN(AN6),2)=0,$A6&amp;"-"&amp;AN$3,$A6&amp;"-"&amp;AM$3),CoSo1[],AN$38,0),"")</f>
        <v>0</v>
      </c>
      <c r="AO6" s="14">
        <f>IFERROR(VLOOKUP(IF(MOD(COLUMN(AO6),2)=0,$A6&amp;"-"&amp;AO$3,$A6&amp;"-"&amp;AN$3),CoSo1[],AO$38,0),"")</f>
        <v>0</v>
      </c>
      <c r="AP6" s="14">
        <f>IFERROR(VLOOKUP(IF(MOD(COLUMN(AP6),2)=0,$A6&amp;"-"&amp;AP$3,$A6&amp;"-"&amp;AO$3),CoSo1[],AP$38,0),"")</f>
        <v>0</v>
      </c>
      <c r="AQ6" s="14">
        <f>IFERROR(VLOOKUP(IF(MOD(COLUMN(AQ6),2)=0,$A6&amp;"-"&amp;AQ$3,$A6&amp;"-"&amp;AP$3),CoSo1[],AQ$38,0),"")</f>
        <v>0</v>
      </c>
      <c r="AR6" s="11">
        <f t="shared" si="4"/>
        <v>0</v>
      </c>
      <c r="AS6" s="11">
        <f t="shared" si="4"/>
        <v>0</v>
      </c>
      <c r="AT6" s="14"/>
      <c r="AU6" s="14">
        <f>IFERROR(VLOOKUP(IF(MOD(COLUMN(AU6),2)=1,$A6&amp;"-"&amp;AU$3,$A6&amp;"-"&amp;AT$3),CoSo3[],DoanhThuThang!AU$38,0),"")</f>
        <v>76</v>
      </c>
      <c r="AV6" s="14">
        <f>IFERROR(VLOOKUP(IF(MOD(COLUMN(AV6),2)=1,$A6&amp;"-"&amp;AV$3,$A6&amp;"-"&amp;AU$3),CoSo3[],DoanhThuThang!AV$38,0),"")</f>
        <v>1</v>
      </c>
      <c r="AW6" s="14">
        <f>IFERROR(VLOOKUP(IF(MOD(COLUMN(AW6),2)=1,$A6&amp;"-"&amp;AW$3,$A6&amp;"-"&amp;AV$3),CoSo3[],DoanhThuThang!AW$38,0),"")</f>
        <v>975</v>
      </c>
      <c r="AX6" s="14">
        <f>IFERROR(VLOOKUP(IF(MOD(COLUMN(AX6),2)=1,$A6&amp;"-"&amp;AX$3,$A6&amp;"-"&amp;AW$3),CoSo3[],DoanhThuThang!AX$38,0),"")</f>
        <v>9</v>
      </c>
      <c r="AY6" s="11">
        <f t="shared" ref="AY6:AY36" si="7">SUM(AU6,AW6)</f>
        <v>1051</v>
      </c>
      <c r="AZ6" s="11">
        <f t="shared" ref="AZ6:AZ36" si="8">SUM(AV6,AX6)</f>
        <v>10</v>
      </c>
      <c r="BA6" s="14"/>
      <c r="BB6" s="14">
        <f>IFERROR(VLOOKUP(IF(MOD(COLUMN(BB6),2)=0,$A6&amp;"-"&amp;BB$3,$A6&amp;"-"&amp;BA$3),CoSo3[],DoanhThuThang!BB$38,0),"")</f>
        <v>0</v>
      </c>
      <c r="BC6" s="14">
        <f>IFERROR(VLOOKUP(IF(MOD(COLUMN(BC6),2)=0,$A6&amp;"-"&amp;BC$3,$A6&amp;"-"&amp;BB$3),CoSo3[],DoanhThuThang!BC$38,0),"")</f>
        <v>0</v>
      </c>
      <c r="BD6" s="14">
        <f>IFERROR(VLOOKUP(IF(MOD(COLUMN(BD6),2)=0,$A6&amp;"-"&amp;BD$3,$A6&amp;"-"&amp;BC$3),CoSo3[],DoanhThuThang!BD$38,0),"")</f>
        <v>0</v>
      </c>
      <c r="BE6" s="14">
        <f>IFERROR(VLOOKUP(IF(MOD(COLUMN(BE6),2)=0,$A6&amp;"-"&amp;BE$3,$A6&amp;"-"&amp;BD$3),CoSo3[],DoanhThuThang!BE$38,0),"")</f>
        <v>0</v>
      </c>
      <c r="BF6" s="11">
        <f t="shared" ref="BF6:BF36" si="9">SUM(BB6,BD6)</f>
        <v>0</v>
      </c>
      <c r="BG6" s="11">
        <f t="shared" ref="BG6:BG36" si="10">SUM(BC6,BE6)</f>
        <v>0</v>
      </c>
      <c r="BH6" s="14"/>
      <c r="BI6" s="14">
        <f>IFERROR(VLOOKUP(IF(MOD(COLUMN(BI6),2)=1,$A6&amp;"-"&amp;BI$3,$A6&amp;"-"&amp;BH$3),CoSo4[],DoanhThuThang!BI$38,0),"")</f>
        <v>85</v>
      </c>
      <c r="BJ6" s="14">
        <f>IFERROR(VLOOKUP(IF(MOD(COLUMN(BJ6),2)=1,$A6&amp;"-"&amp;BJ$3,$A6&amp;"-"&amp;BI$3),CoSo4[],DoanhThuThang!BJ$38,0),"")</f>
        <v>1</v>
      </c>
      <c r="BK6" s="14">
        <f>IFERROR(VLOOKUP(IF(MOD(COLUMN(BK6),2)=1,$A6&amp;"-"&amp;BK$3,$A6&amp;"-"&amp;BJ$3),CoSo4[],DoanhThuThang!BK$38,0),"")</f>
        <v>6</v>
      </c>
      <c r="BL6" s="14">
        <f>IFERROR(VLOOKUP(IF(MOD(COLUMN(BL6),2)=1,$A6&amp;"-"&amp;BL$3,$A6&amp;"-"&amp;BK$3),CoSo4[],DoanhThuThang!BL$38,0),"")</f>
        <v>1</v>
      </c>
      <c r="BM6" s="11">
        <f t="shared" ref="BM6:BM36" si="11">SUM(BI6,BK6)</f>
        <v>91</v>
      </c>
      <c r="BN6" s="11">
        <f t="shared" ref="BN6:BN36" si="12">SUM(BJ6,BL6)</f>
        <v>2</v>
      </c>
      <c r="BO6" s="14"/>
      <c r="BP6" s="14">
        <f>IFERROR(VLOOKUP(IF(MOD(COLUMN(BP6),2)=0,$A6&amp;"-"&amp;BP$3,$A6&amp;"-"&amp;BO$3),CoSo4[],DoanhThuThang!BP$38,0),"")</f>
        <v>0</v>
      </c>
      <c r="BQ6" s="14">
        <f>IFERROR(VLOOKUP(IF(MOD(COLUMN(BQ6),2)=0,$A6&amp;"-"&amp;BQ$3,$A6&amp;"-"&amp;BP$3),CoSo4[],DoanhThuThang!BQ$38,0),"")</f>
        <v>0</v>
      </c>
      <c r="BR6" s="14">
        <f>IFERROR(VLOOKUP(IF(MOD(COLUMN(BR6),2)=0,$A6&amp;"-"&amp;BR$3,$A6&amp;"-"&amp;BQ$3),CoSo4[],DoanhThuThang!BR$38,0),"")</f>
        <v>0</v>
      </c>
      <c r="BS6" s="14">
        <f>IFERROR(VLOOKUP(IF(MOD(COLUMN(BS6),2)=0,$A6&amp;"-"&amp;BS$3,$A6&amp;"-"&amp;BR$3),CoSo4[],DoanhThuThang!BS$38,0),"")</f>
        <v>0</v>
      </c>
      <c r="BT6" s="11">
        <f t="shared" ref="BT6:BT36" si="13">SUM(BP6,BR6)</f>
        <v>0</v>
      </c>
      <c r="BU6" s="11">
        <f t="shared" ref="BU6:BU36" si="14">SUM(BQ6,BS6)</f>
        <v>0</v>
      </c>
      <c r="BV6" s="103"/>
      <c r="BW6" s="14" t="str">
        <f>IFERROR(VLOOKUP($A6,BanBuon[],DoanhThuThang!BW$38,0),"")</f>
        <v/>
      </c>
      <c r="BX6" s="14" t="str">
        <f>IFERROR(VLOOKUP($A6,BanBuon[],DoanhThuThang!BX$38,0),"")</f>
        <v/>
      </c>
      <c r="BY6" s="14" t="str">
        <f>IFERROR(VLOOKUP($A6,BanBuon[],DoanhThuThang!BY$38,0),"")</f>
        <v/>
      </c>
      <c r="BZ6" s="14" t="str">
        <f>IFERROR(VLOOKUP($A6,BanBuon[],DoanhThuThang!BZ$38,0),"")</f>
        <v/>
      </c>
      <c r="CA6" s="106">
        <f>SUM(BW6,BY6)</f>
        <v>0</v>
      </c>
      <c r="CB6" s="106">
        <f>SUM(BX6,BZ6)</f>
        <v>0</v>
      </c>
      <c r="CC6" s="14">
        <f>IFERROR(VLOOKUP(IF(MOD(COLUMN(B6),2)=0,$A6&amp;"-"&amp;B$3,$A6&amp;"-"&amp;A$3),CoSo1[],CC$38,0),"")</f>
        <v>0</v>
      </c>
      <c r="CD6" s="14">
        <f>IFERROR(VLOOKUP(IF(MOD(COLUMN(C6),2)=0,$A6&amp;"-"&amp;CD$3,$A6&amp;"-"&amp;CC$3),CoSo1[],CD$38,0),"")</f>
        <v>0</v>
      </c>
      <c r="CE6" s="14">
        <f>IFERROR(VLOOKUP(IF(MOD(COLUMN(D6),2)=0,$A6&amp;"-"&amp;D$3,$A6&amp;"-"&amp;C$3),CoSo1[],CE$38,0),"")</f>
        <v>0</v>
      </c>
      <c r="CF6" s="14">
        <f>IFERROR(VLOOKUP(IF(MOD(COLUMN(E6),2)=0,$A6&amp;"-"&amp;E$3,$A6&amp;"-"&amp;D$3),CoSo1[],CF$38,0),"")</f>
        <v>0</v>
      </c>
      <c r="CG6" s="106">
        <f>SUM(CC6,CE6)</f>
        <v>0</v>
      </c>
      <c r="CH6" s="106">
        <f>SUM(CD6,CF6)</f>
        <v>0</v>
      </c>
    </row>
    <row r="7" spans="1:86" x14ac:dyDescent="0.25">
      <c r="A7" s="13">
        <v>2</v>
      </c>
      <c r="B7" s="14">
        <f>IFERROR(VLOOKUP(IF(MOD(COLUMN(B7),2)=0,$A7&amp;"-"&amp;B$3,$A7&amp;"-"&amp;A$3),CoSo1[],B$38,0),"")</f>
        <v>529</v>
      </c>
      <c r="C7" s="14">
        <f>IFERROR(VLOOKUP(IF(MOD(COLUMN(C7),2)=0,$A7&amp;"-"&amp;C$3,$A7&amp;"-"&amp;B$3),CoSo1[],C$38,0),"")</f>
        <v>4</v>
      </c>
      <c r="D7" s="14">
        <f>IFERROR(VLOOKUP(IF(MOD(COLUMN(D7),2)=0,$A7&amp;"-"&amp;D$3,$A7&amp;"-"&amp;C$3),CoSo1[],D$38,0),"")</f>
        <v>551</v>
      </c>
      <c r="E7" s="14">
        <f>IFERROR(VLOOKUP(IF(MOD(COLUMN(E7),2)=0,$A7&amp;"-"&amp;E$3,$A7&amp;"-"&amp;D$3),CoSo1[],E$38,0),"")</f>
        <v>7</v>
      </c>
      <c r="F7" s="14">
        <f>IFERROR(VLOOKUP(IF(MOD(COLUMN(F7),2)=0,$A7&amp;"-"&amp;F$3,$A7&amp;"-"&amp;E$3),CoSo1[],F$38,0),"")</f>
        <v>0</v>
      </c>
      <c r="G7" s="14">
        <f>IFERROR(VLOOKUP(IF(MOD(COLUMN(G7),2)=0,$A7&amp;"-"&amp;G$3,$A7&amp;"-"&amp;F$3),CoSo1[],G$38,0),"")</f>
        <v>0</v>
      </c>
      <c r="H7" s="14">
        <f>IFERROR(VLOOKUP(IF(MOD(COLUMN(H7),2)=0,$A7&amp;"-"&amp;H$3,$A7&amp;"-"&amp;G$3),CoSo1[],H$38,0),"")</f>
        <v>580</v>
      </c>
      <c r="I7" s="14">
        <f>IFERROR(VLOOKUP(IF(MOD(COLUMN(I7),2)=0,$A7&amp;"-"&amp;I$3,$A7&amp;"-"&amp;H$3),CoSo1[],I$38,0),"")</f>
        <v>1</v>
      </c>
      <c r="J7" s="14">
        <f>IFERROR(VLOOKUP(IF(MOD(COLUMN(J7),2)=0,$A7&amp;"-"&amp;J$3,$A7&amp;"-"&amp;I$3),CoSo1[],J$38,0),"")</f>
        <v>0</v>
      </c>
      <c r="K7" s="14">
        <f>IFERROR(VLOOKUP(IF(MOD(COLUMN(K7),2)=0,$A7&amp;"-"&amp;K$3,$A7&amp;"-"&amp;J$3),CoSo1[],K$38,0),"")</f>
        <v>0</v>
      </c>
      <c r="L7" s="14">
        <f>IFERROR(VLOOKUP(IF(MOD(COLUMN(L7),2)=0,$A7&amp;"-"&amp;L$3,$A7&amp;"-"&amp;K$3),CoSo1[],L$38,0),"")</f>
        <v>641</v>
      </c>
      <c r="M7" s="14">
        <f>IFERROR(VLOOKUP(IF(MOD(COLUMN(M7),2)=0,$A7&amp;"-"&amp;M$3,$A7&amp;"-"&amp;L$3),CoSo1[],M$38,0),"")</f>
        <v>4</v>
      </c>
      <c r="N7" s="11">
        <f t="shared" ref="N7:N36" si="15">SUM(B7,D7,F7,H7,J7,L7)</f>
        <v>2301</v>
      </c>
      <c r="O7" s="11">
        <f t="shared" ref="O7:O36" si="16">SUM(C7,E7,G7,I7,K7,M7)</f>
        <v>16</v>
      </c>
      <c r="P7" s="14"/>
      <c r="Q7" s="14">
        <f>IFERROR(VLOOKUP(IF(MOD(COLUMN(Q7),2)=1,$A7&amp;"-"&amp;Q$3,$A7&amp;"-"&amp;P$3),CoSo1[],Q$38,0),"")</f>
        <v>0</v>
      </c>
      <c r="R7" s="14">
        <f>IFERROR(VLOOKUP(IF(MOD(COLUMN(R7),2)=1,$A7&amp;"-"&amp;R$3,$A7&amp;"-"&amp;Q$3),CoSo1[],R$38,0),"")</f>
        <v>0</v>
      </c>
      <c r="S7" s="14">
        <f>IFERROR(VLOOKUP(IF(MOD(COLUMN(S7),2)=1,$A7&amp;"-"&amp;S$3,$A7&amp;"-"&amp;R$3),CoSo1[],S$38,0),"")</f>
        <v>0</v>
      </c>
      <c r="T7" s="14">
        <f>IFERROR(VLOOKUP(IF(MOD(COLUMN(T7),2)=1,$A7&amp;"-"&amp;T$3,$A7&amp;"-"&amp;S$3),CoSo1[],T$38,0),"")</f>
        <v>0</v>
      </c>
      <c r="U7" s="14">
        <f>IFERROR(VLOOKUP(IF(MOD(COLUMN(U7),2)=1,$A7&amp;"-"&amp;U$3,$A7&amp;"-"&amp;T$3),CoSo1[],U$38,0),"")</f>
        <v>0</v>
      </c>
      <c r="V7" s="14">
        <f>IFERROR(VLOOKUP(IF(MOD(COLUMN(V7),2)=1,$A7&amp;"-"&amp;V$3,$A7&amp;"-"&amp;U$3),CoSo1[],V$38,0),"")</f>
        <v>0</v>
      </c>
      <c r="W7" s="14">
        <f>IFERROR(VLOOKUP(IF(MOD(COLUMN(W7),2)=1,$A7&amp;"-"&amp;W$3,$A7&amp;"-"&amp;V$3),CoSo1[],W$38,0),"")</f>
        <v>0</v>
      </c>
      <c r="X7" s="14">
        <f>IFERROR(VLOOKUP(IF(MOD(COLUMN(X7),2)=1,$A7&amp;"-"&amp;X$3,$A7&amp;"-"&amp;W$3),CoSo1[],X$38,0),"")</f>
        <v>0</v>
      </c>
      <c r="Y7" s="14">
        <f>IFERROR(VLOOKUP(IF(MOD(COLUMN(Y7),2)=1,$A7&amp;"-"&amp;Y$3,$A7&amp;"-"&amp;X$3),CoSo1[],Y$38,0),"")</f>
        <v>0</v>
      </c>
      <c r="Z7" s="14">
        <f>IFERROR(VLOOKUP(IF(MOD(COLUMN(Z7),2)=1,$A7&amp;"-"&amp;Z$3,$A7&amp;"-"&amp;Y$3),CoSo1[],Z$38,0),"")</f>
        <v>0</v>
      </c>
      <c r="AA7" s="14">
        <f>IFERROR(VLOOKUP(IF(MOD(COLUMN(AA7),2)=1,$A7&amp;"-"&amp;AA$3,$A7&amp;"-"&amp;Z$3),CoSo1[],AA$38,0),"")</f>
        <v>0</v>
      </c>
      <c r="AB7" s="14">
        <f>IFERROR(VLOOKUP(IF(MOD(COLUMN(AB7),2)=1,$A7&amp;"-"&amp;AB$3,$A7&amp;"-"&amp;AA$3),CoSo1[],AB$38,0),"")</f>
        <v>0</v>
      </c>
      <c r="AC7" s="11">
        <f t="shared" si="2"/>
        <v>0</v>
      </c>
      <c r="AD7" s="11">
        <f t="shared" si="2"/>
        <v>0</v>
      </c>
      <c r="AE7" s="14"/>
      <c r="AF7" s="14">
        <f>IFERROR(VLOOKUP(IF(MOD(COLUMN(AF7),2)=0,$A7&amp;"-"&amp;AF$3,$A7&amp;"-"&amp;AE$3),CoSo1[],AF$38,0),"")</f>
        <v>0</v>
      </c>
      <c r="AG7" s="14">
        <f>IFERROR(VLOOKUP(IF(MOD(COLUMN(AG7),2)=0,$A7&amp;"-"&amp;AG$3,$A7&amp;"-"&amp;AF$3),CoSo1[],AG$38,0),"")</f>
        <v>0</v>
      </c>
      <c r="AH7" s="14">
        <f>IFERROR(VLOOKUP(IF(MOD(COLUMN(AH7),2)=0,$A7&amp;"-"&amp;AH$3,$A7&amp;"-"&amp;AG$3),CoSo1[],AH$38,0),"")</f>
        <v>0</v>
      </c>
      <c r="AI7" s="14">
        <f>IFERROR(VLOOKUP(IF(MOD(COLUMN(AI7),2)=0,$A7&amp;"-"&amp;AI$3,$A7&amp;"-"&amp;AH$3),CoSo1[],AI$38,0),"")</f>
        <v>0</v>
      </c>
      <c r="AJ7" s="14">
        <f>IFERROR(VLOOKUP(IF(MOD(COLUMN(AJ7),2)=0,$A7&amp;"-"&amp;AJ$3,$A7&amp;"-"&amp;AI$3),CoSo1[],AJ$38,0),"")</f>
        <v>0</v>
      </c>
      <c r="AK7" s="14">
        <f>IFERROR(VLOOKUP(IF(MOD(COLUMN(AK7),2)=0,$A7&amp;"-"&amp;AK$3,$A7&amp;"-"&amp;AJ$3),CoSo1[],AK$38,0),"")</f>
        <v>0</v>
      </c>
      <c r="AL7" s="14">
        <f>IFERROR(VLOOKUP(IF(MOD(COLUMN(AL7),2)=0,$A7&amp;"-"&amp;AL$3,$A7&amp;"-"&amp;AK$3),CoSo1[],AL$38,0),"")</f>
        <v>0</v>
      </c>
      <c r="AM7" s="14">
        <f>IFERROR(VLOOKUP(IF(MOD(COLUMN(AM7),2)=0,$A7&amp;"-"&amp;AM$3,$A7&amp;"-"&amp;AL$3),CoSo1[],AM$38,0),"")</f>
        <v>0</v>
      </c>
      <c r="AN7" s="14">
        <f>IFERROR(VLOOKUP(IF(MOD(COLUMN(AN7),2)=0,$A7&amp;"-"&amp;AN$3,$A7&amp;"-"&amp;AM$3),CoSo1[],AN$38,0),"")</f>
        <v>0</v>
      </c>
      <c r="AO7" s="14">
        <f>IFERROR(VLOOKUP(IF(MOD(COLUMN(AO7),2)=0,$A7&amp;"-"&amp;AO$3,$A7&amp;"-"&amp;AN$3),CoSo1[],AO$38,0),"")</f>
        <v>0</v>
      </c>
      <c r="AP7" s="14">
        <f>IFERROR(VLOOKUP(IF(MOD(COLUMN(AP7),2)=0,$A7&amp;"-"&amp;AP$3,$A7&amp;"-"&amp;AO$3),CoSo1[],AP$38,0),"")</f>
        <v>0</v>
      </c>
      <c r="AQ7" s="14">
        <f>IFERROR(VLOOKUP(IF(MOD(COLUMN(AQ7),2)=0,$A7&amp;"-"&amp;AQ$3,$A7&amp;"-"&amp;AP$3),CoSo1[],AQ$38,0),"")</f>
        <v>0</v>
      </c>
      <c r="AR7" s="11">
        <f t="shared" si="4"/>
        <v>0</v>
      </c>
      <c r="AS7" s="11">
        <f t="shared" si="4"/>
        <v>0</v>
      </c>
      <c r="AT7" s="14"/>
      <c r="AU7" s="14">
        <f>IFERROR(VLOOKUP(IF(MOD(COLUMN(AU7),2)=1,$A7&amp;"-"&amp;AU$3,$A7&amp;"-"&amp;AT$3),CoSo3[],DoanhThuThang!AU$38,0),"")</f>
        <v>580</v>
      </c>
      <c r="AV7" s="14">
        <f>IFERROR(VLOOKUP(IF(MOD(COLUMN(AV7),2)=1,$A7&amp;"-"&amp;AV$3,$A7&amp;"-"&amp;AU$3),CoSo3[],DoanhThuThang!AV$38,0),"")</f>
        <v>5</v>
      </c>
      <c r="AW7" s="14">
        <f>IFERROR(VLOOKUP(IF(MOD(COLUMN(AW7),2)=1,$A7&amp;"-"&amp;AW$3,$A7&amp;"-"&amp;AV$3),CoSo3[],DoanhThuThang!AW$38,0),"")</f>
        <v>576</v>
      </c>
      <c r="AX7" s="14">
        <f>IFERROR(VLOOKUP(IF(MOD(COLUMN(AX7),2)=1,$A7&amp;"-"&amp;AX$3,$A7&amp;"-"&amp;AW$3),CoSo3[],DoanhThuThang!AX$38,0),"")</f>
        <v>5</v>
      </c>
      <c r="AY7" s="11">
        <f t="shared" si="7"/>
        <v>1156</v>
      </c>
      <c r="AZ7" s="11">
        <f t="shared" si="8"/>
        <v>10</v>
      </c>
      <c r="BA7" s="14"/>
      <c r="BB7" s="14">
        <f>IFERROR(VLOOKUP(IF(MOD(COLUMN(BB7),2)=0,$A7&amp;"-"&amp;BB$3,$A7&amp;"-"&amp;BA$3),CoSo3[],DoanhThuThang!BB$38,0),"")</f>
        <v>0</v>
      </c>
      <c r="BC7" s="14">
        <f>IFERROR(VLOOKUP(IF(MOD(COLUMN(BC7),2)=0,$A7&amp;"-"&amp;BC$3,$A7&amp;"-"&amp;BB$3),CoSo3[],DoanhThuThang!BC$38,0),"")</f>
        <v>0</v>
      </c>
      <c r="BD7" s="14">
        <f>IFERROR(VLOOKUP(IF(MOD(COLUMN(BD7),2)=0,$A7&amp;"-"&amp;BD$3,$A7&amp;"-"&amp;BC$3),CoSo3[],DoanhThuThang!BD$38,0),"")</f>
        <v>0</v>
      </c>
      <c r="BE7" s="14">
        <f>IFERROR(VLOOKUP(IF(MOD(COLUMN(BE7),2)=0,$A7&amp;"-"&amp;BE$3,$A7&amp;"-"&amp;BD$3),CoSo3[],DoanhThuThang!BE$38,0),"")</f>
        <v>0</v>
      </c>
      <c r="BF7" s="11">
        <f t="shared" si="9"/>
        <v>0</v>
      </c>
      <c r="BG7" s="11">
        <f t="shared" si="10"/>
        <v>0</v>
      </c>
      <c r="BH7" s="14"/>
      <c r="BI7" s="14">
        <f>IFERROR(VLOOKUP(IF(MOD(COLUMN(BI7),2)=1,$A7&amp;"-"&amp;BI$3,$A7&amp;"-"&amp;BH$3),CoSo4[],DoanhThuThang!BI$38,0),"")</f>
        <v>7</v>
      </c>
      <c r="BJ7" s="14">
        <f>IFERROR(VLOOKUP(IF(MOD(COLUMN(BJ7),2)=1,$A7&amp;"-"&amp;BJ$3,$A7&amp;"-"&amp;BI$3),CoSo4[],DoanhThuThang!BJ$38,0),"")</f>
        <v>1</v>
      </c>
      <c r="BK7" s="14">
        <f>IFERROR(VLOOKUP(IF(MOD(COLUMN(BK7),2)=1,$A7&amp;"-"&amp;BK$3,$A7&amp;"-"&amp;BJ$3),CoSo4[],DoanhThuThang!BK$38,0),"")</f>
        <v>607</v>
      </c>
      <c r="BL7" s="14">
        <f>IFERROR(VLOOKUP(IF(MOD(COLUMN(BL7),2)=1,$A7&amp;"-"&amp;BL$3,$A7&amp;"-"&amp;BK$3),CoSo4[],DoanhThuThang!BL$38,0),"")</f>
        <v>10</v>
      </c>
      <c r="BM7" s="11">
        <f t="shared" si="11"/>
        <v>614</v>
      </c>
      <c r="BN7" s="11">
        <f t="shared" si="12"/>
        <v>11</v>
      </c>
      <c r="BO7" s="14"/>
      <c r="BP7" s="14">
        <f>IFERROR(VLOOKUP(IF(MOD(COLUMN(BP7),2)=0,$A7&amp;"-"&amp;BP$3,$A7&amp;"-"&amp;BO$3),CoSo4[],DoanhThuThang!BP$38,0),"")</f>
        <v>0</v>
      </c>
      <c r="BQ7" s="14">
        <f>IFERROR(VLOOKUP(IF(MOD(COLUMN(BQ7),2)=0,$A7&amp;"-"&amp;BQ$3,$A7&amp;"-"&amp;BP$3),CoSo4[],DoanhThuThang!BQ$38,0),"")</f>
        <v>0</v>
      </c>
      <c r="BR7" s="14">
        <f>IFERROR(VLOOKUP(IF(MOD(COLUMN(BR7),2)=0,$A7&amp;"-"&amp;BR$3,$A7&amp;"-"&amp;BQ$3),CoSo4[],DoanhThuThang!BR$38,0),"")</f>
        <v>0</v>
      </c>
      <c r="BS7" s="14">
        <f>IFERROR(VLOOKUP(IF(MOD(COLUMN(BS7),2)=0,$A7&amp;"-"&amp;BS$3,$A7&amp;"-"&amp;BR$3),CoSo4[],DoanhThuThang!BS$38,0),"")</f>
        <v>0</v>
      </c>
      <c r="BT7" s="11">
        <f t="shared" si="13"/>
        <v>0</v>
      </c>
      <c r="BU7" s="11">
        <f t="shared" si="14"/>
        <v>0</v>
      </c>
      <c r="BV7" s="103"/>
      <c r="BW7" s="14">
        <f>IFERROR(VLOOKUP($A7,BanBuon[],DoanhThuThang!BW$38,0),"")</f>
        <v>175</v>
      </c>
      <c r="BX7" s="14">
        <f>IFERROR(VLOOKUP($A7,BanBuon[],DoanhThuThang!BX$38,0),"")</f>
        <v>1</v>
      </c>
      <c r="BY7" s="14">
        <f>IFERROR(VLOOKUP($A7,BanBuon[],DoanhThuThang!BY$38,0),"")</f>
        <v>0</v>
      </c>
      <c r="BZ7" s="14">
        <f>IFERROR(VLOOKUP($A7,BanBuon[],DoanhThuThang!BZ$38,0),"")</f>
        <v>0</v>
      </c>
      <c r="CA7" s="106">
        <f>SUM(BW7,BY7)</f>
        <v>175</v>
      </c>
      <c r="CB7" s="106">
        <f t="shared" ref="CB7:CB36" si="17">SUM(BX7,BZ7)</f>
        <v>1</v>
      </c>
      <c r="CC7" s="14">
        <f>IFERROR(VLOOKUP(IF(MOD(COLUMN(B7),2)=0,$A7&amp;"-"&amp;B$3,$A7&amp;"-"&amp;A$3),CoSo1[],CC$38,0),"")</f>
        <v>0</v>
      </c>
      <c r="CD7" s="14">
        <f>IFERROR(VLOOKUP(IF(MOD(COLUMN(C7),2)=0,$A7&amp;"-"&amp;CD$3,$A7&amp;"-"&amp;CC$3),CoSo1[],CD$38,0),"")</f>
        <v>0</v>
      </c>
      <c r="CE7" s="14">
        <f>IFERROR(VLOOKUP(IF(MOD(COLUMN(D7),2)=0,$A7&amp;"-"&amp;D$3,$A7&amp;"-"&amp;C$3),CoSo1[],CE$38,0),"")</f>
        <v>115</v>
      </c>
      <c r="CF7" s="14">
        <f>IFERROR(VLOOKUP(IF(MOD(COLUMN(E7),2)=0,$A7&amp;"-"&amp;E$3,$A7&amp;"-"&amp;D$3),CoSo1[],CF$38,0),"")</f>
        <v>1</v>
      </c>
      <c r="CG7" s="106">
        <f>SUM(CC7,CE7)</f>
        <v>115</v>
      </c>
      <c r="CH7" s="106">
        <f t="shared" ref="CH7:CH36" si="18">SUM(CD7,CF7)</f>
        <v>1</v>
      </c>
    </row>
    <row r="8" spans="1:86" x14ac:dyDescent="0.25">
      <c r="A8" s="13">
        <v>3</v>
      </c>
      <c r="B8" s="14">
        <f>IFERROR(VLOOKUP(IF(MOD(COLUMN(B8),2)=0,$A8&amp;"-"&amp;B$3,$A8&amp;"-"&amp;A$3),CoSo1[],B$38,0),"")</f>
        <v>296</v>
      </c>
      <c r="C8" s="14">
        <f>IFERROR(VLOOKUP(IF(MOD(COLUMN(C8),2)=0,$A8&amp;"-"&amp;C$3,$A8&amp;"-"&amp;B$3),CoSo1[],C$38,0),"")</f>
        <v>5</v>
      </c>
      <c r="D8" s="14">
        <f>IFERROR(VLOOKUP(IF(MOD(COLUMN(D8),2)=0,$A8&amp;"-"&amp;D$3,$A8&amp;"-"&amp;C$3),CoSo1[],D$38,0),"")</f>
        <v>644</v>
      </c>
      <c r="E8" s="14">
        <f>IFERROR(VLOOKUP(IF(MOD(COLUMN(E8),2)=0,$A8&amp;"-"&amp;E$3,$A8&amp;"-"&amp;D$3),CoSo1[],E$38,0),"")</f>
        <v>6</v>
      </c>
      <c r="F8" s="14">
        <f>IFERROR(VLOOKUP(IF(MOD(COLUMN(F8),2)=0,$A8&amp;"-"&amp;F$3,$A8&amp;"-"&amp;E$3),CoSo1[],F$38,0),"")</f>
        <v>0</v>
      </c>
      <c r="G8" s="14">
        <f>IFERROR(VLOOKUP(IF(MOD(COLUMN(G8),2)=0,$A8&amp;"-"&amp;G$3,$A8&amp;"-"&amp;F$3),CoSo1[],G$38,0),"")</f>
        <v>0</v>
      </c>
      <c r="H8" s="14">
        <f>IFERROR(VLOOKUP(IF(MOD(COLUMN(H8),2)=0,$A8&amp;"-"&amp;H$3,$A8&amp;"-"&amp;G$3),CoSo1[],H$38,0),"")</f>
        <v>210</v>
      </c>
      <c r="I8" s="14">
        <f>IFERROR(VLOOKUP(IF(MOD(COLUMN(I8),2)=0,$A8&amp;"-"&amp;I$3,$A8&amp;"-"&amp;H$3),CoSo1[],I$38,0),"")</f>
        <v>2</v>
      </c>
      <c r="J8" s="14">
        <f>IFERROR(VLOOKUP(IF(MOD(COLUMN(J8),2)=0,$A8&amp;"-"&amp;J$3,$A8&amp;"-"&amp;I$3),CoSo1[],J$38,0),"")</f>
        <v>0</v>
      </c>
      <c r="K8" s="14">
        <f>IFERROR(VLOOKUP(IF(MOD(COLUMN(K8),2)=0,$A8&amp;"-"&amp;K$3,$A8&amp;"-"&amp;J$3),CoSo1[],K$38,0),"")</f>
        <v>0</v>
      </c>
      <c r="L8" s="14">
        <f>IFERROR(VLOOKUP(IF(MOD(COLUMN(L8),2)=0,$A8&amp;"-"&amp;L$3,$A8&amp;"-"&amp;K$3),CoSo1[],L$38,0),"")</f>
        <v>0</v>
      </c>
      <c r="M8" s="14">
        <f>IFERROR(VLOOKUP(IF(MOD(COLUMN(M8),2)=0,$A8&amp;"-"&amp;M$3,$A8&amp;"-"&amp;L$3),CoSo1[],M$38,0),"")</f>
        <v>0</v>
      </c>
      <c r="N8" s="11">
        <f t="shared" si="15"/>
        <v>1150</v>
      </c>
      <c r="O8" s="11">
        <f t="shared" si="16"/>
        <v>13</v>
      </c>
      <c r="P8" s="14"/>
      <c r="Q8" s="14">
        <f>IFERROR(VLOOKUP(IF(MOD(COLUMN(Q8),2)=1,$A8&amp;"-"&amp;Q$3,$A8&amp;"-"&amp;P$3),CoSo1[],Q$38,0),"")</f>
        <v>0</v>
      </c>
      <c r="R8" s="14">
        <f>IFERROR(VLOOKUP(IF(MOD(COLUMN(R8),2)=1,$A8&amp;"-"&amp;R$3,$A8&amp;"-"&amp;Q$3),CoSo1[],R$38,0),"")</f>
        <v>0</v>
      </c>
      <c r="S8" s="14">
        <f>IFERROR(VLOOKUP(IF(MOD(COLUMN(S8),2)=1,$A8&amp;"-"&amp;S$3,$A8&amp;"-"&amp;R$3),CoSo1[],S$38,0),"")</f>
        <v>166</v>
      </c>
      <c r="T8" s="14">
        <f>IFERROR(VLOOKUP(IF(MOD(COLUMN(T8),2)=1,$A8&amp;"-"&amp;T$3,$A8&amp;"-"&amp;S$3),CoSo1[],T$38,0),"")</f>
        <v>1</v>
      </c>
      <c r="U8" s="14">
        <f>IFERROR(VLOOKUP(IF(MOD(COLUMN(U8),2)=1,$A8&amp;"-"&amp;U$3,$A8&amp;"-"&amp;T$3),CoSo1[],U$38,0),"")</f>
        <v>0</v>
      </c>
      <c r="V8" s="14">
        <f>IFERROR(VLOOKUP(IF(MOD(COLUMN(V8),2)=1,$A8&amp;"-"&amp;V$3,$A8&amp;"-"&amp;U$3),CoSo1[],V$38,0),"")</f>
        <v>0</v>
      </c>
      <c r="W8" s="14">
        <f>IFERROR(VLOOKUP(IF(MOD(COLUMN(W8),2)=1,$A8&amp;"-"&amp;W$3,$A8&amp;"-"&amp;V$3),CoSo1[],W$38,0),"")</f>
        <v>0</v>
      </c>
      <c r="X8" s="14">
        <f>IFERROR(VLOOKUP(IF(MOD(COLUMN(X8),2)=1,$A8&amp;"-"&amp;X$3,$A8&amp;"-"&amp;W$3),CoSo1[],X$38,0),"")</f>
        <v>0</v>
      </c>
      <c r="Y8" s="14">
        <f>IFERROR(VLOOKUP(IF(MOD(COLUMN(Y8),2)=1,$A8&amp;"-"&amp;Y$3,$A8&amp;"-"&amp;X$3),CoSo1[],Y$38,0),"")</f>
        <v>0</v>
      </c>
      <c r="Z8" s="14">
        <f>IFERROR(VLOOKUP(IF(MOD(COLUMN(Z8),2)=1,$A8&amp;"-"&amp;Z$3,$A8&amp;"-"&amp;Y$3),CoSo1[],Z$38,0),"")</f>
        <v>0</v>
      </c>
      <c r="AA8" s="14">
        <f>IFERROR(VLOOKUP(IF(MOD(COLUMN(AA8),2)=1,$A8&amp;"-"&amp;AA$3,$A8&amp;"-"&amp;Z$3),CoSo1[],AA$38,0),"")</f>
        <v>0</v>
      </c>
      <c r="AB8" s="14">
        <f>IFERROR(VLOOKUP(IF(MOD(COLUMN(AB8),2)=1,$A8&amp;"-"&amp;AB$3,$A8&amp;"-"&amp;AA$3),CoSo1[],AB$38,0),"")</f>
        <v>0</v>
      </c>
      <c r="AC8" s="11">
        <f t="shared" si="2"/>
        <v>166</v>
      </c>
      <c r="AD8" s="11">
        <f t="shared" si="2"/>
        <v>1</v>
      </c>
      <c r="AE8" s="14"/>
      <c r="AF8" s="14">
        <f>IFERROR(VLOOKUP(IF(MOD(COLUMN(AF8),2)=0,$A8&amp;"-"&amp;AF$3,$A8&amp;"-"&amp;AE$3),CoSo1[],AF$38,0),"")</f>
        <v>0</v>
      </c>
      <c r="AG8" s="14">
        <f>IFERROR(VLOOKUP(IF(MOD(COLUMN(AG8),2)=0,$A8&amp;"-"&amp;AG$3,$A8&amp;"-"&amp;AF$3),CoSo1[],AG$38,0),"")</f>
        <v>0</v>
      </c>
      <c r="AH8" s="14">
        <f>IFERROR(VLOOKUP(IF(MOD(COLUMN(AH8),2)=0,$A8&amp;"-"&amp;AH$3,$A8&amp;"-"&amp;AG$3),CoSo1[],AH$38,0),"")</f>
        <v>90</v>
      </c>
      <c r="AI8" s="14">
        <f>IFERROR(VLOOKUP(IF(MOD(COLUMN(AI8),2)=0,$A8&amp;"-"&amp;AI$3,$A8&amp;"-"&amp;AH$3),CoSo1[],AI$38,0),"")</f>
        <v>1</v>
      </c>
      <c r="AJ8" s="14">
        <f>IFERROR(VLOOKUP(IF(MOD(COLUMN(AJ8),2)=0,$A8&amp;"-"&amp;AJ$3,$A8&amp;"-"&amp;AI$3),CoSo1[],AJ$38,0),"")</f>
        <v>0</v>
      </c>
      <c r="AK8" s="14">
        <f>IFERROR(VLOOKUP(IF(MOD(COLUMN(AK8),2)=0,$A8&amp;"-"&amp;AK$3,$A8&amp;"-"&amp;AJ$3),CoSo1[],AK$38,0),"")</f>
        <v>0</v>
      </c>
      <c r="AL8" s="14">
        <f>IFERROR(VLOOKUP(IF(MOD(COLUMN(AL8),2)=0,$A8&amp;"-"&amp;AL$3,$A8&amp;"-"&amp;AK$3),CoSo1[],AL$38,0),"")</f>
        <v>0</v>
      </c>
      <c r="AM8" s="14">
        <f>IFERROR(VLOOKUP(IF(MOD(COLUMN(AM8),2)=0,$A8&amp;"-"&amp;AM$3,$A8&amp;"-"&amp;AL$3),CoSo1[],AM$38,0),"")</f>
        <v>0</v>
      </c>
      <c r="AN8" s="14">
        <f>IFERROR(VLOOKUP(IF(MOD(COLUMN(AN8),2)=0,$A8&amp;"-"&amp;AN$3,$A8&amp;"-"&amp;AM$3),CoSo1[],AN$38,0),"")</f>
        <v>0</v>
      </c>
      <c r="AO8" s="14">
        <f>IFERROR(VLOOKUP(IF(MOD(COLUMN(AO8),2)=0,$A8&amp;"-"&amp;AO$3,$A8&amp;"-"&amp;AN$3),CoSo1[],AO$38,0),"")</f>
        <v>0</v>
      </c>
      <c r="AP8" s="14">
        <f>IFERROR(VLOOKUP(IF(MOD(COLUMN(AP8),2)=0,$A8&amp;"-"&amp;AP$3,$A8&amp;"-"&amp;AO$3),CoSo1[],AP$38,0),"")</f>
        <v>0</v>
      </c>
      <c r="AQ8" s="14">
        <f>IFERROR(VLOOKUP(IF(MOD(COLUMN(AQ8),2)=0,$A8&amp;"-"&amp;AQ$3,$A8&amp;"-"&amp;AP$3),CoSo1[],AQ$38,0),"")</f>
        <v>0</v>
      </c>
      <c r="AR8" s="11">
        <f t="shared" si="4"/>
        <v>90</v>
      </c>
      <c r="AS8" s="11">
        <f t="shared" si="4"/>
        <v>1</v>
      </c>
      <c r="AT8" s="14"/>
      <c r="AU8" s="14">
        <f>IFERROR(VLOOKUP(IF(MOD(COLUMN(AU8),2)=1,$A8&amp;"-"&amp;AU$3,$A8&amp;"-"&amp;AT$3),CoSo3[],DoanhThuThang!AU$38,0),"")</f>
        <v>173</v>
      </c>
      <c r="AV8" s="14">
        <f>IFERROR(VLOOKUP(IF(MOD(COLUMN(AV8),2)=1,$A8&amp;"-"&amp;AV$3,$A8&amp;"-"&amp;AU$3),CoSo3[],DoanhThuThang!AV$38,0),"")</f>
        <v>3</v>
      </c>
      <c r="AW8" s="14">
        <f>IFERROR(VLOOKUP(IF(MOD(COLUMN(AW8),2)=1,$A8&amp;"-"&amp;AW$3,$A8&amp;"-"&amp;AV$3),CoSo3[],DoanhThuThang!AW$38,0),"")</f>
        <v>383</v>
      </c>
      <c r="AX8" s="14">
        <f>IFERROR(VLOOKUP(IF(MOD(COLUMN(AX8),2)=1,$A8&amp;"-"&amp;AX$3,$A8&amp;"-"&amp;AW$3),CoSo3[],DoanhThuThang!AX$38,0),"")</f>
        <v>5</v>
      </c>
      <c r="AY8" s="11">
        <f t="shared" si="7"/>
        <v>556</v>
      </c>
      <c r="AZ8" s="11">
        <f t="shared" si="8"/>
        <v>8</v>
      </c>
      <c r="BA8" s="14"/>
      <c r="BB8" s="14">
        <f>IFERROR(VLOOKUP(IF(MOD(COLUMN(BB8),2)=0,$A8&amp;"-"&amp;BB$3,$A8&amp;"-"&amp;BA$3),CoSo3[],DoanhThuThang!BB$38,0),"")</f>
        <v>0</v>
      </c>
      <c r="BC8" s="14">
        <f>IFERROR(VLOOKUP(IF(MOD(COLUMN(BC8),2)=0,$A8&amp;"-"&amp;BC$3,$A8&amp;"-"&amp;BB$3),CoSo3[],DoanhThuThang!BC$38,0),"")</f>
        <v>0</v>
      </c>
      <c r="BD8" s="14">
        <f>IFERROR(VLOOKUP(IF(MOD(COLUMN(BD8),2)=0,$A8&amp;"-"&amp;BD$3,$A8&amp;"-"&amp;BC$3),CoSo3[],DoanhThuThang!BD$38,0),"")</f>
        <v>0</v>
      </c>
      <c r="BE8" s="14">
        <f>IFERROR(VLOOKUP(IF(MOD(COLUMN(BE8),2)=0,$A8&amp;"-"&amp;BE$3,$A8&amp;"-"&amp;BD$3),CoSo3[],DoanhThuThang!BE$38,0),"")</f>
        <v>0</v>
      </c>
      <c r="BF8" s="11">
        <f t="shared" si="9"/>
        <v>0</v>
      </c>
      <c r="BG8" s="11">
        <f t="shared" si="10"/>
        <v>0</v>
      </c>
      <c r="BH8" s="14"/>
      <c r="BI8" s="14">
        <f>IFERROR(VLOOKUP(IF(MOD(COLUMN(BI8),2)=1,$A8&amp;"-"&amp;BI$3,$A8&amp;"-"&amp;BH$3),CoSo4[],DoanhThuThang!BI$38,0),"")</f>
        <v>82</v>
      </c>
      <c r="BJ8" s="14">
        <f>IFERROR(VLOOKUP(IF(MOD(COLUMN(BJ8),2)=1,$A8&amp;"-"&amp;BJ$3,$A8&amp;"-"&amp;BI$3),CoSo4[],DoanhThuThang!BJ$38,0),"")</f>
        <v>1</v>
      </c>
      <c r="BK8" s="14">
        <f>IFERROR(VLOOKUP(IF(MOD(COLUMN(BK8),2)=1,$A8&amp;"-"&amp;BK$3,$A8&amp;"-"&amp;BJ$3),CoSo4[],DoanhThuThang!BK$38,0),"")</f>
        <v>87</v>
      </c>
      <c r="BL8" s="14">
        <f>IFERROR(VLOOKUP(IF(MOD(COLUMN(BL8),2)=1,$A8&amp;"-"&amp;BL$3,$A8&amp;"-"&amp;BK$3),CoSo4[],DoanhThuThang!BL$38,0),"")</f>
        <v>3</v>
      </c>
      <c r="BM8" s="11">
        <f t="shared" si="11"/>
        <v>169</v>
      </c>
      <c r="BN8" s="11">
        <f t="shared" si="12"/>
        <v>4</v>
      </c>
      <c r="BO8" s="14"/>
      <c r="BP8" s="14">
        <f>IFERROR(VLOOKUP(IF(MOD(COLUMN(BP8),2)=0,$A8&amp;"-"&amp;BP$3,$A8&amp;"-"&amp;BO$3),CoSo4[],DoanhThuThang!BP$38,0),"")</f>
        <v>0</v>
      </c>
      <c r="BQ8" s="14">
        <f>IFERROR(VLOOKUP(IF(MOD(COLUMN(BQ8),2)=0,$A8&amp;"-"&amp;BQ$3,$A8&amp;"-"&amp;BP$3),CoSo4[],DoanhThuThang!BQ$38,0),"")</f>
        <v>0</v>
      </c>
      <c r="BR8" s="14">
        <f>IFERROR(VLOOKUP(IF(MOD(COLUMN(BR8),2)=0,$A8&amp;"-"&amp;BR$3,$A8&amp;"-"&amp;BQ$3),CoSo4[],DoanhThuThang!BR$38,0),"")</f>
        <v>0</v>
      </c>
      <c r="BS8" s="14">
        <f>IFERROR(VLOOKUP(IF(MOD(COLUMN(BS8),2)=0,$A8&amp;"-"&amp;BS$3,$A8&amp;"-"&amp;BR$3),CoSo4[],DoanhThuThang!BS$38,0),"")</f>
        <v>0</v>
      </c>
      <c r="BT8" s="11">
        <f t="shared" si="13"/>
        <v>0</v>
      </c>
      <c r="BU8" s="11">
        <f t="shared" si="14"/>
        <v>0</v>
      </c>
      <c r="BV8" s="103"/>
      <c r="BW8" s="14" t="str">
        <f>IFERROR(VLOOKUP($A8,BanBuon[],DoanhThuThang!BW$38,0),"")</f>
        <v/>
      </c>
      <c r="BX8" s="14" t="str">
        <f>IFERROR(VLOOKUP($A8,BanBuon[],DoanhThuThang!BX$38,0),"")</f>
        <v/>
      </c>
      <c r="BY8" s="14" t="str">
        <f>IFERROR(VLOOKUP($A8,BanBuon[],DoanhThuThang!BY$38,0),"")</f>
        <v/>
      </c>
      <c r="BZ8" s="14" t="str">
        <f>IFERROR(VLOOKUP($A8,BanBuon[],DoanhThuThang!BZ$38,0),"")</f>
        <v/>
      </c>
      <c r="CA8" s="106">
        <f t="shared" ref="CA8:CA36" si="19">SUM(BW8,BY8)</f>
        <v>0</v>
      </c>
      <c r="CB8" s="106">
        <f t="shared" si="17"/>
        <v>0</v>
      </c>
      <c r="CC8" s="14">
        <f>IFERROR(VLOOKUP(IF(MOD(COLUMN(B8),2)=0,$A8&amp;"-"&amp;B$3,$A8&amp;"-"&amp;A$3),CoSo1[],CC$38,0),"")</f>
        <v>0</v>
      </c>
      <c r="CD8" s="14">
        <f>IFERROR(VLOOKUP(IF(MOD(COLUMN(C8),2)=0,$A8&amp;"-"&amp;CD$3,$A8&amp;"-"&amp;CC$3),CoSo1[],CD$38,0),"")</f>
        <v>0</v>
      </c>
      <c r="CE8" s="14">
        <f>IFERROR(VLOOKUP(IF(MOD(COLUMN(D8),2)=0,$A8&amp;"-"&amp;D$3,$A8&amp;"-"&amp;C$3),CoSo1[],CE$38,0),"")</f>
        <v>0</v>
      </c>
      <c r="CF8" s="14">
        <f>IFERROR(VLOOKUP(IF(MOD(COLUMN(E8),2)=0,$A8&amp;"-"&amp;E$3,$A8&amp;"-"&amp;D$3),CoSo1[],CF$38,0),"")</f>
        <v>0</v>
      </c>
      <c r="CG8" s="106">
        <f t="shared" ref="CG8:CG36" si="20">SUM(CC8,CE8)</f>
        <v>0</v>
      </c>
      <c r="CH8" s="106">
        <f t="shared" si="18"/>
        <v>0</v>
      </c>
    </row>
    <row r="9" spans="1:86" x14ac:dyDescent="0.25">
      <c r="A9" s="13">
        <v>4</v>
      </c>
      <c r="B9" s="14">
        <f>IFERROR(VLOOKUP(IF(MOD(COLUMN(B9),2)=0,$A9&amp;"-"&amp;B$3,$A9&amp;"-"&amp;A$3),CoSo1[],B$38,0),"")</f>
        <v>148</v>
      </c>
      <c r="C9" s="14">
        <f>IFERROR(VLOOKUP(IF(MOD(COLUMN(C9),2)=0,$A9&amp;"-"&amp;C$3,$A9&amp;"-"&amp;B$3),CoSo1[],C$38,0),"")</f>
        <v>4</v>
      </c>
      <c r="D9" s="14">
        <f>IFERROR(VLOOKUP(IF(MOD(COLUMN(D9),2)=0,$A9&amp;"-"&amp;D$3,$A9&amp;"-"&amp;C$3),CoSo1[],D$38,0),"")</f>
        <v>495</v>
      </c>
      <c r="E9" s="14">
        <f>IFERROR(VLOOKUP(IF(MOD(COLUMN(E9),2)=0,$A9&amp;"-"&amp;E$3,$A9&amp;"-"&amp;D$3),CoSo1[],E$38,0),"")</f>
        <v>6</v>
      </c>
      <c r="F9" s="14">
        <f>IFERROR(VLOOKUP(IF(MOD(COLUMN(F9),2)=0,$A9&amp;"-"&amp;F$3,$A9&amp;"-"&amp;E$3),CoSo1[],F$38,0),"")</f>
        <v>165</v>
      </c>
      <c r="G9" s="14">
        <f>IFERROR(VLOOKUP(IF(MOD(COLUMN(G9),2)=0,$A9&amp;"-"&amp;G$3,$A9&amp;"-"&amp;F$3),CoSo1[],G$38,0),"")</f>
        <v>1</v>
      </c>
      <c r="H9" s="14">
        <f>IFERROR(VLOOKUP(IF(MOD(COLUMN(H9),2)=0,$A9&amp;"-"&amp;H$3,$A9&amp;"-"&amp;G$3),CoSo1[],H$38,0),"")</f>
        <v>327</v>
      </c>
      <c r="I9" s="14">
        <f>IFERROR(VLOOKUP(IF(MOD(COLUMN(I9),2)=0,$A9&amp;"-"&amp;I$3,$A9&amp;"-"&amp;H$3),CoSo1[],I$38,0),"")</f>
        <v>3</v>
      </c>
      <c r="J9" s="14">
        <f>IFERROR(VLOOKUP(IF(MOD(COLUMN(J9),2)=0,$A9&amp;"-"&amp;J$3,$A9&amp;"-"&amp;I$3),CoSo1[],J$38,0),"")</f>
        <v>0</v>
      </c>
      <c r="K9" s="14">
        <f>IFERROR(VLOOKUP(IF(MOD(COLUMN(K9),2)=0,$A9&amp;"-"&amp;K$3,$A9&amp;"-"&amp;J$3),CoSo1[],K$38,0),"")</f>
        <v>0</v>
      </c>
      <c r="L9" s="14">
        <f>IFERROR(VLOOKUP(IF(MOD(COLUMN(L9),2)=0,$A9&amp;"-"&amp;L$3,$A9&amp;"-"&amp;K$3),CoSo1[],L$38,0),"")</f>
        <v>0</v>
      </c>
      <c r="M9" s="14">
        <f>IFERROR(VLOOKUP(IF(MOD(COLUMN(M9),2)=0,$A9&amp;"-"&amp;M$3,$A9&amp;"-"&amp;L$3),CoSo1[],M$38,0),"")</f>
        <v>0</v>
      </c>
      <c r="N9" s="11">
        <f t="shared" si="15"/>
        <v>1135</v>
      </c>
      <c r="O9" s="11">
        <f t="shared" si="16"/>
        <v>14</v>
      </c>
      <c r="P9" s="14"/>
      <c r="Q9" s="14">
        <f>IFERROR(VLOOKUP(IF(MOD(COLUMN(Q9),2)=1,$A9&amp;"-"&amp;Q$3,$A9&amp;"-"&amp;P$3),CoSo1[],Q$38,0),"")</f>
        <v>0</v>
      </c>
      <c r="R9" s="14">
        <f>IFERROR(VLOOKUP(IF(MOD(COLUMN(R9),2)=1,$A9&amp;"-"&amp;R$3,$A9&amp;"-"&amp;Q$3),CoSo1[],R$38,0),"")</f>
        <v>0</v>
      </c>
      <c r="S9" s="14">
        <f>IFERROR(VLOOKUP(IF(MOD(COLUMN(S9),2)=1,$A9&amp;"-"&amp;S$3,$A9&amp;"-"&amp;R$3),CoSo1[],S$38,0),"")</f>
        <v>0</v>
      </c>
      <c r="T9" s="14">
        <f>IFERROR(VLOOKUP(IF(MOD(COLUMN(T9),2)=1,$A9&amp;"-"&amp;T$3,$A9&amp;"-"&amp;S$3),CoSo1[],T$38,0),"")</f>
        <v>0</v>
      </c>
      <c r="U9" s="14">
        <f>IFERROR(VLOOKUP(IF(MOD(COLUMN(U9),2)=1,$A9&amp;"-"&amp;U$3,$A9&amp;"-"&amp;T$3),CoSo1[],U$38,0),"")</f>
        <v>0</v>
      </c>
      <c r="V9" s="14">
        <f>IFERROR(VLOOKUP(IF(MOD(COLUMN(V9),2)=1,$A9&amp;"-"&amp;V$3,$A9&amp;"-"&amp;U$3),CoSo1[],V$38,0),"")</f>
        <v>0</v>
      </c>
      <c r="W9" s="14">
        <f>IFERROR(VLOOKUP(IF(MOD(COLUMN(W9),2)=1,$A9&amp;"-"&amp;W$3,$A9&amp;"-"&amp;V$3),CoSo1[],W$38,0),"")</f>
        <v>0</v>
      </c>
      <c r="X9" s="14">
        <f>IFERROR(VLOOKUP(IF(MOD(COLUMN(X9),2)=1,$A9&amp;"-"&amp;X$3,$A9&amp;"-"&amp;W$3),CoSo1[],X$38,0),"")</f>
        <v>0</v>
      </c>
      <c r="Y9" s="14">
        <f>IFERROR(VLOOKUP(IF(MOD(COLUMN(Y9),2)=1,$A9&amp;"-"&amp;Y$3,$A9&amp;"-"&amp;X$3),CoSo1[],Y$38,0),"")</f>
        <v>0</v>
      </c>
      <c r="Z9" s="14">
        <f>IFERROR(VLOOKUP(IF(MOD(COLUMN(Z9),2)=1,$A9&amp;"-"&amp;Z$3,$A9&amp;"-"&amp;Y$3),CoSo1[],Z$38,0),"")</f>
        <v>0</v>
      </c>
      <c r="AA9" s="14">
        <f>IFERROR(VLOOKUP(IF(MOD(COLUMN(AA9),2)=1,$A9&amp;"-"&amp;AA$3,$A9&amp;"-"&amp;Z$3),CoSo1[],AA$38,0),"")</f>
        <v>0</v>
      </c>
      <c r="AB9" s="14">
        <f>IFERROR(VLOOKUP(IF(MOD(COLUMN(AB9),2)=1,$A9&amp;"-"&amp;AB$3,$A9&amp;"-"&amp;AA$3),CoSo1[],AB$38,0),"")</f>
        <v>0</v>
      </c>
      <c r="AC9" s="11">
        <f t="shared" si="2"/>
        <v>0</v>
      </c>
      <c r="AD9" s="11">
        <f t="shared" si="2"/>
        <v>0</v>
      </c>
      <c r="AE9" s="14"/>
      <c r="AF9" s="14">
        <f>IFERROR(VLOOKUP(IF(MOD(COLUMN(AF9),2)=0,$A9&amp;"-"&amp;AF$3,$A9&amp;"-"&amp;AE$3),CoSo1[],AF$38,0),"")</f>
        <v>0</v>
      </c>
      <c r="AG9" s="14">
        <f>IFERROR(VLOOKUP(IF(MOD(COLUMN(AG9),2)=0,$A9&amp;"-"&amp;AG$3,$A9&amp;"-"&amp;AF$3),CoSo1[],AG$38,0),"")</f>
        <v>0</v>
      </c>
      <c r="AH9" s="14">
        <f>IFERROR(VLOOKUP(IF(MOD(COLUMN(AH9),2)=0,$A9&amp;"-"&amp;AH$3,$A9&amp;"-"&amp;AG$3),CoSo1[],AH$38,0),"")</f>
        <v>80</v>
      </c>
      <c r="AI9" s="14">
        <f>IFERROR(VLOOKUP(IF(MOD(COLUMN(AI9),2)=0,$A9&amp;"-"&amp;AI$3,$A9&amp;"-"&amp;AH$3),CoSo1[],AI$38,0),"")</f>
        <v>1</v>
      </c>
      <c r="AJ9" s="14">
        <f>IFERROR(VLOOKUP(IF(MOD(COLUMN(AJ9),2)=0,$A9&amp;"-"&amp;AJ$3,$A9&amp;"-"&amp;AI$3),CoSo1[],AJ$38,0),"")</f>
        <v>0</v>
      </c>
      <c r="AK9" s="14">
        <f>IFERROR(VLOOKUP(IF(MOD(COLUMN(AK9),2)=0,$A9&amp;"-"&amp;AK$3,$A9&amp;"-"&amp;AJ$3),CoSo1[],AK$38,0),"")</f>
        <v>0</v>
      </c>
      <c r="AL9" s="14">
        <f>IFERROR(VLOOKUP(IF(MOD(COLUMN(AL9),2)=0,$A9&amp;"-"&amp;AL$3,$A9&amp;"-"&amp;AK$3),CoSo1[],AL$38,0),"")</f>
        <v>0</v>
      </c>
      <c r="AM9" s="14">
        <f>IFERROR(VLOOKUP(IF(MOD(COLUMN(AM9),2)=0,$A9&amp;"-"&amp;AM$3,$A9&amp;"-"&amp;AL$3),CoSo1[],AM$38,0),"")</f>
        <v>0</v>
      </c>
      <c r="AN9" s="14">
        <f>IFERROR(VLOOKUP(IF(MOD(COLUMN(AN9),2)=0,$A9&amp;"-"&amp;AN$3,$A9&amp;"-"&amp;AM$3),CoSo1[],AN$38,0),"")</f>
        <v>0</v>
      </c>
      <c r="AO9" s="14">
        <f>IFERROR(VLOOKUP(IF(MOD(COLUMN(AO9),2)=0,$A9&amp;"-"&amp;AO$3,$A9&amp;"-"&amp;AN$3),CoSo1[],AO$38,0),"")</f>
        <v>0</v>
      </c>
      <c r="AP9" s="14">
        <f>IFERROR(VLOOKUP(IF(MOD(COLUMN(AP9),2)=0,$A9&amp;"-"&amp;AP$3,$A9&amp;"-"&amp;AO$3),CoSo1[],AP$38,0),"")</f>
        <v>0</v>
      </c>
      <c r="AQ9" s="14">
        <f>IFERROR(VLOOKUP(IF(MOD(COLUMN(AQ9),2)=0,$A9&amp;"-"&amp;AQ$3,$A9&amp;"-"&amp;AP$3),CoSo1[],AQ$38,0),"")</f>
        <v>0</v>
      </c>
      <c r="AR9" s="11">
        <f t="shared" si="4"/>
        <v>80</v>
      </c>
      <c r="AS9" s="11">
        <f t="shared" si="4"/>
        <v>1</v>
      </c>
      <c r="AT9" s="14"/>
      <c r="AU9" s="14">
        <f>IFERROR(VLOOKUP(IF(MOD(COLUMN(AU9),2)=1,$A9&amp;"-"&amp;AU$3,$A9&amp;"-"&amp;AT$3),CoSo3[],DoanhThuThang!AU$38,0),"")</f>
        <v>175</v>
      </c>
      <c r="AV9" s="14">
        <f>IFERROR(VLOOKUP(IF(MOD(COLUMN(AV9),2)=1,$A9&amp;"-"&amp;AV$3,$A9&amp;"-"&amp;AU$3),CoSo3[],DoanhThuThang!AV$38,0),"")</f>
        <v>3</v>
      </c>
      <c r="AW9" s="14">
        <f>IFERROR(VLOOKUP(IF(MOD(COLUMN(AW9),2)=1,$A9&amp;"-"&amp;AW$3,$A9&amp;"-"&amp;AV$3),CoSo3[],DoanhThuThang!AW$38,0),"")</f>
        <v>36</v>
      </c>
      <c r="AX9" s="14">
        <f>IFERROR(VLOOKUP(IF(MOD(COLUMN(AX9),2)=1,$A9&amp;"-"&amp;AX$3,$A9&amp;"-"&amp;AW$3),CoSo3[],DoanhThuThang!AX$38,0),"")</f>
        <v>1</v>
      </c>
      <c r="AY9" s="11">
        <f t="shared" si="7"/>
        <v>211</v>
      </c>
      <c r="AZ9" s="11">
        <f t="shared" si="8"/>
        <v>4</v>
      </c>
      <c r="BA9" s="14"/>
      <c r="BB9" s="14">
        <f>IFERROR(VLOOKUP(IF(MOD(COLUMN(BB9),2)=0,$A9&amp;"-"&amp;BB$3,$A9&amp;"-"&amp;BA$3),CoSo3[],DoanhThuThang!BB$38,0),"")</f>
        <v>0</v>
      </c>
      <c r="BC9" s="14">
        <f>IFERROR(VLOOKUP(IF(MOD(COLUMN(BC9),2)=0,$A9&amp;"-"&amp;BC$3,$A9&amp;"-"&amp;BB$3),CoSo3[],DoanhThuThang!BC$38,0),"")</f>
        <v>0</v>
      </c>
      <c r="BD9" s="14">
        <f>IFERROR(VLOOKUP(IF(MOD(COLUMN(BD9),2)=0,$A9&amp;"-"&amp;BD$3,$A9&amp;"-"&amp;BC$3),CoSo3[],DoanhThuThang!BD$38,0),"")</f>
        <v>0</v>
      </c>
      <c r="BE9" s="14">
        <f>IFERROR(VLOOKUP(IF(MOD(COLUMN(BE9),2)=0,$A9&amp;"-"&amp;BE$3,$A9&amp;"-"&amp;BD$3),CoSo3[],DoanhThuThang!BE$38,0),"")</f>
        <v>0</v>
      </c>
      <c r="BF9" s="11">
        <f t="shared" si="9"/>
        <v>0</v>
      </c>
      <c r="BG9" s="11">
        <f t="shared" si="10"/>
        <v>0</v>
      </c>
      <c r="BH9" s="14"/>
      <c r="BI9" s="14">
        <f>IFERROR(VLOOKUP(IF(MOD(COLUMN(BI9),2)=1,$A9&amp;"-"&amp;BI$3,$A9&amp;"-"&amp;BH$3),CoSo4[],DoanhThuThang!BI$38,0),"")</f>
        <v>210</v>
      </c>
      <c r="BJ9" s="14">
        <f>IFERROR(VLOOKUP(IF(MOD(COLUMN(BJ9),2)=1,$A9&amp;"-"&amp;BJ$3,$A9&amp;"-"&amp;BI$3),CoSo4[],DoanhThuThang!BJ$38,0),"")</f>
        <v>3</v>
      </c>
      <c r="BK9" s="14">
        <f>IFERROR(VLOOKUP(IF(MOD(COLUMN(BK9),2)=1,$A9&amp;"-"&amp;BK$3,$A9&amp;"-"&amp;BJ$3),CoSo4[],DoanhThuThang!BK$38,0),"")</f>
        <v>163</v>
      </c>
      <c r="BL9" s="14">
        <f>IFERROR(VLOOKUP(IF(MOD(COLUMN(BL9),2)=1,$A9&amp;"-"&amp;BL$3,$A9&amp;"-"&amp;BK$3),CoSo4[],DoanhThuThang!BL$38,0),"")</f>
        <v>3</v>
      </c>
      <c r="BM9" s="11">
        <f t="shared" si="11"/>
        <v>373</v>
      </c>
      <c r="BN9" s="11">
        <f t="shared" si="12"/>
        <v>6</v>
      </c>
      <c r="BO9" s="14"/>
      <c r="BP9" s="14">
        <f>IFERROR(VLOOKUP(IF(MOD(COLUMN(BP9),2)=0,$A9&amp;"-"&amp;BP$3,$A9&amp;"-"&amp;BO$3),CoSo4[],DoanhThuThang!BP$38,0),"")</f>
        <v>0</v>
      </c>
      <c r="BQ9" s="14">
        <f>IFERROR(VLOOKUP(IF(MOD(COLUMN(BQ9),2)=0,$A9&amp;"-"&amp;BQ$3,$A9&amp;"-"&amp;BP$3),CoSo4[],DoanhThuThang!BQ$38,0),"")</f>
        <v>0</v>
      </c>
      <c r="BR9" s="14">
        <f>IFERROR(VLOOKUP(IF(MOD(COLUMN(BR9),2)=0,$A9&amp;"-"&amp;BR$3,$A9&amp;"-"&amp;BQ$3),CoSo4[],DoanhThuThang!BR$38,0),"")</f>
        <v>0</v>
      </c>
      <c r="BS9" s="14">
        <f>IFERROR(VLOOKUP(IF(MOD(COLUMN(BS9),2)=0,$A9&amp;"-"&amp;BS$3,$A9&amp;"-"&amp;BR$3),CoSo4[],DoanhThuThang!BS$38,0),"")</f>
        <v>0</v>
      </c>
      <c r="BT9" s="11">
        <f t="shared" si="13"/>
        <v>0</v>
      </c>
      <c r="BU9" s="11">
        <f t="shared" si="14"/>
        <v>0</v>
      </c>
      <c r="BV9" s="103"/>
      <c r="BW9" s="14">
        <f>IFERROR(VLOOKUP($A9,BanBuon[],DoanhThuThang!BW$38,0),"")</f>
        <v>0</v>
      </c>
      <c r="BX9" s="14">
        <f>IFERROR(VLOOKUP($A9,BanBuon[],DoanhThuThang!BX$38,0),"")</f>
        <v>0</v>
      </c>
      <c r="BY9" s="14">
        <f>IFERROR(VLOOKUP($A9,BanBuon[],DoanhThuThang!BY$38,0),"")</f>
        <v>655</v>
      </c>
      <c r="BZ9" s="14">
        <f>IFERROR(VLOOKUP($A9,BanBuon[],DoanhThuThang!BZ$38,0),"")</f>
        <v>1</v>
      </c>
      <c r="CA9" s="106">
        <f t="shared" si="19"/>
        <v>655</v>
      </c>
      <c r="CB9" s="106">
        <f t="shared" si="17"/>
        <v>1</v>
      </c>
      <c r="CC9" s="14">
        <f>IFERROR(VLOOKUP(IF(MOD(COLUMN(B9),2)=0,$A9&amp;"-"&amp;B$3,$A9&amp;"-"&amp;A$3),CoSo1[],CC$38,0),"")</f>
        <v>0</v>
      </c>
      <c r="CD9" s="14">
        <f>IFERROR(VLOOKUP(IF(MOD(COLUMN(C9),2)=0,$A9&amp;"-"&amp;CD$3,$A9&amp;"-"&amp;CC$3),CoSo1[],CD$38,0),"")</f>
        <v>0</v>
      </c>
      <c r="CE9" s="14">
        <f>IFERROR(VLOOKUP(IF(MOD(COLUMN(D9),2)=0,$A9&amp;"-"&amp;D$3,$A9&amp;"-"&amp;C$3),CoSo1[],CE$38,0),"")</f>
        <v>268</v>
      </c>
      <c r="CF9" s="14">
        <f>IFERROR(VLOOKUP(IF(MOD(COLUMN(E9),2)=0,$A9&amp;"-"&amp;E$3,$A9&amp;"-"&amp;D$3),CoSo1[],CF$38,0),"")</f>
        <v>1</v>
      </c>
      <c r="CG9" s="106">
        <f t="shared" si="20"/>
        <v>268</v>
      </c>
      <c r="CH9" s="106">
        <f t="shared" si="18"/>
        <v>1</v>
      </c>
    </row>
    <row r="10" spans="1:86" x14ac:dyDescent="0.25">
      <c r="A10" s="13">
        <v>5</v>
      </c>
      <c r="B10" s="14">
        <f>IFERROR(VLOOKUP(IF(MOD(COLUMN(B10),2)=0,$A10&amp;"-"&amp;B$3,$A10&amp;"-"&amp;A$3),CoSo1[],B$38,0),"")</f>
        <v>391</v>
      </c>
      <c r="C10" s="14">
        <f>IFERROR(VLOOKUP(IF(MOD(COLUMN(C10),2)=0,$A10&amp;"-"&amp;C$3,$A10&amp;"-"&amp;B$3),CoSo1[],C$38,0),"")</f>
        <v>5</v>
      </c>
      <c r="D10" s="14">
        <f>IFERROR(VLOOKUP(IF(MOD(COLUMN(D10),2)=0,$A10&amp;"-"&amp;D$3,$A10&amp;"-"&amp;C$3),CoSo1[],D$38,0),"")</f>
        <v>652</v>
      </c>
      <c r="E10" s="14">
        <f>IFERROR(VLOOKUP(IF(MOD(COLUMN(E10),2)=0,$A10&amp;"-"&amp;E$3,$A10&amp;"-"&amp;D$3),CoSo1[],E$38,0),"")</f>
        <v>10</v>
      </c>
      <c r="F10" s="14">
        <f>IFERROR(VLOOKUP(IF(MOD(COLUMN(F10),2)=0,$A10&amp;"-"&amp;F$3,$A10&amp;"-"&amp;E$3),CoSo1[],F$38,0),"")</f>
        <v>0</v>
      </c>
      <c r="G10" s="14">
        <f>IFERROR(VLOOKUP(IF(MOD(COLUMN(G10),2)=0,$A10&amp;"-"&amp;G$3,$A10&amp;"-"&amp;F$3),CoSo1[],G$38,0),"")</f>
        <v>0</v>
      </c>
      <c r="H10" s="14">
        <f>IFERROR(VLOOKUP(IF(MOD(COLUMN(H10),2)=0,$A10&amp;"-"&amp;H$3,$A10&amp;"-"&amp;G$3),CoSo1[],H$38,0),"")</f>
        <v>258</v>
      </c>
      <c r="I10" s="14">
        <f>IFERROR(VLOOKUP(IF(MOD(COLUMN(I10),2)=0,$A10&amp;"-"&amp;I$3,$A10&amp;"-"&amp;H$3),CoSo1[],I$38,0),"")</f>
        <v>2</v>
      </c>
      <c r="J10" s="14">
        <f>IFERROR(VLOOKUP(IF(MOD(COLUMN(J10),2)=0,$A10&amp;"-"&amp;J$3,$A10&amp;"-"&amp;I$3),CoSo1[],J$38,0),"")</f>
        <v>0</v>
      </c>
      <c r="K10" s="14">
        <f>IFERROR(VLOOKUP(IF(MOD(COLUMN(K10),2)=0,$A10&amp;"-"&amp;K$3,$A10&amp;"-"&amp;J$3),CoSo1[],K$38,0),"")</f>
        <v>0</v>
      </c>
      <c r="L10" s="14">
        <f>IFERROR(VLOOKUP(IF(MOD(COLUMN(L10),2)=0,$A10&amp;"-"&amp;L$3,$A10&amp;"-"&amp;K$3),CoSo1[],L$38,0),"")</f>
        <v>0</v>
      </c>
      <c r="M10" s="14">
        <f>IFERROR(VLOOKUP(IF(MOD(COLUMN(M10),2)=0,$A10&amp;"-"&amp;M$3,$A10&amp;"-"&amp;L$3),CoSo1[],M$38,0),"")</f>
        <v>0</v>
      </c>
      <c r="N10" s="11">
        <f t="shared" si="15"/>
        <v>1301</v>
      </c>
      <c r="O10" s="11">
        <f t="shared" si="16"/>
        <v>17</v>
      </c>
      <c r="P10" s="14"/>
      <c r="Q10" s="14">
        <f>IFERROR(VLOOKUP(IF(MOD(COLUMN(Q10),2)=1,$A10&amp;"-"&amp;Q$3,$A10&amp;"-"&amp;P$3),CoSo1[],Q$38,0),"")</f>
        <v>0</v>
      </c>
      <c r="R10" s="14">
        <f>IFERROR(VLOOKUP(IF(MOD(COLUMN(R10),2)=1,$A10&amp;"-"&amp;R$3,$A10&amp;"-"&amp;Q$3),CoSo1[],R$38,0),"")</f>
        <v>0</v>
      </c>
      <c r="S10" s="14">
        <f>IFERROR(VLOOKUP(IF(MOD(COLUMN(S10),2)=1,$A10&amp;"-"&amp;S$3,$A10&amp;"-"&amp;R$3),CoSo1[],S$38,0),"")</f>
        <v>25</v>
      </c>
      <c r="T10" s="14">
        <f>IFERROR(VLOOKUP(IF(MOD(COLUMN(T10),2)=1,$A10&amp;"-"&amp;T$3,$A10&amp;"-"&amp;S$3),CoSo1[],T$38,0),"")</f>
        <v>1</v>
      </c>
      <c r="U10" s="14">
        <f>IFERROR(VLOOKUP(IF(MOD(COLUMN(U10),2)=1,$A10&amp;"-"&amp;U$3,$A10&amp;"-"&amp;T$3),CoSo1[],U$38,0),"")</f>
        <v>0</v>
      </c>
      <c r="V10" s="14">
        <f>IFERROR(VLOOKUP(IF(MOD(COLUMN(V10),2)=1,$A10&amp;"-"&amp;V$3,$A10&amp;"-"&amp;U$3),CoSo1[],V$38,0),"")</f>
        <v>0</v>
      </c>
      <c r="W10" s="14">
        <f>IFERROR(VLOOKUP(IF(MOD(COLUMN(W10),2)=1,$A10&amp;"-"&amp;W$3,$A10&amp;"-"&amp;V$3),CoSo1[],W$38,0),"")</f>
        <v>0</v>
      </c>
      <c r="X10" s="14">
        <f>IFERROR(VLOOKUP(IF(MOD(COLUMN(X10),2)=1,$A10&amp;"-"&amp;X$3,$A10&amp;"-"&amp;W$3),CoSo1[],X$38,0),"")</f>
        <v>0</v>
      </c>
      <c r="Y10" s="14">
        <f>IFERROR(VLOOKUP(IF(MOD(COLUMN(Y10),2)=1,$A10&amp;"-"&amp;Y$3,$A10&amp;"-"&amp;X$3),CoSo1[],Y$38,0),"")</f>
        <v>0</v>
      </c>
      <c r="Z10" s="14">
        <f>IFERROR(VLOOKUP(IF(MOD(COLUMN(Z10),2)=1,$A10&amp;"-"&amp;Z$3,$A10&amp;"-"&amp;Y$3),CoSo1[],Z$38,0),"")</f>
        <v>0</v>
      </c>
      <c r="AA10" s="14">
        <f>IFERROR(VLOOKUP(IF(MOD(COLUMN(AA10),2)=1,$A10&amp;"-"&amp;AA$3,$A10&amp;"-"&amp;Z$3),CoSo1[],AA$38,0),"")</f>
        <v>0</v>
      </c>
      <c r="AB10" s="14">
        <f>IFERROR(VLOOKUP(IF(MOD(COLUMN(AB10),2)=1,$A10&amp;"-"&amp;AB$3,$A10&amp;"-"&amp;AA$3),CoSo1[],AB$38,0),"")</f>
        <v>0</v>
      </c>
      <c r="AC10" s="11">
        <f t="shared" si="2"/>
        <v>25</v>
      </c>
      <c r="AD10" s="11">
        <f t="shared" si="2"/>
        <v>1</v>
      </c>
      <c r="AE10" s="14"/>
      <c r="AF10" s="14">
        <f>IFERROR(VLOOKUP(IF(MOD(COLUMN(AF10),2)=0,$A10&amp;"-"&amp;AF$3,$A10&amp;"-"&amp;AE$3),CoSo1[],AF$38,0),"")</f>
        <v>168</v>
      </c>
      <c r="AG10" s="14">
        <f>IFERROR(VLOOKUP(IF(MOD(COLUMN(AG10),2)=0,$A10&amp;"-"&amp;AG$3,$A10&amp;"-"&amp;AF$3),CoSo1[],AG$38,0),"")</f>
        <v>1</v>
      </c>
      <c r="AH10" s="14">
        <f>IFERROR(VLOOKUP(IF(MOD(COLUMN(AH10),2)=0,$A10&amp;"-"&amp;AH$3,$A10&amp;"-"&amp;AG$3),CoSo1[],AH$38,0),"")</f>
        <v>0</v>
      </c>
      <c r="AI10" s="14">
        <f>IFERROR(VLOOKUP(IF(MOD(COLUMN(AI10),2)=0,$A10&amp;"-"&amp;AI$3,$A10&amp;"-"&amp;AH$3),CoSo1[],AI$38,0),"")</f>
        <v>0</v>
      </c>
      <c r="AJ10" s="14">
        <f>IFERROR(VLOOKUP(IF(MOD(COLUMN(AJ10),2)=0,$A10&amp;"-"&amp;AJ$3,$A10&amp;"-"&amp;AI$3),CoSo1[],AJ$38,0),"")</f>
        <v>0</v>
      </c>
      <c r="AK10" s="14">
        <f>IFERROR(VLOOKUP(IF(MOD(COLUMN(AK10),2)=0,$A10&amp;"-"&amp;AK$3,$A10&amp;"-"&amp;AJ$3),CoSo1[],AK$38,0),"")</f>
        <v>0</v>
      </c>
      <c r="AL10" s="14">
        <f>IFERROR(VLOOKUP(IF(MOD(COLUMN(AL10),2)=0,$A10&amp;"-"&amp;AL$3,$A10&amp;"-"&amp;AK$3),CoSo1[],AL$38,0),"")</f>
        <v>0</v>
      </c>
      <c r="AM10" s="14">
        <f>IFERROR(VLOOKUP(IF(MOD(COLUMN(AM10),2)=0,$A10&amp;"-"&amp;AM$3,$A10&amp;"-"&amp;AL$3),CoSo1[],AM$38,0),"")</f>
        <v>0</v>
      </c>
      <c r="AN10" s="14">
        <f>IFERROR(VLOOKUP(IF(MOD(COLUMN(AN10),2)=0,$A10&amp;"-"&amp;AN$3,$A10&amp;"-"&amp;AM$3),CoSo1[],AN$38,0),"")</f>
        <v>0</v>
      </c>
      <c r="AO10" s="14">
        <f>IFERROR(VLOOKUP(IF(MOD(COLUMN(AO10),2)=0,$A10&amp;"-"&amp;AO$3,$A10&amp;"-"&amp;AN$3),CoSo1[],AO$38,0),"")</f>
        <v>0</v>
      </c>
      <c r="AP10" s="14">
        <f>IFERROR(VLOOKUP(IF(MOD(COLUMN(AP10),2)=0,$A10&amp;"-"&amp;AP$3,$A10&amp;"-"&amp;AO$3),CoSo1[],AP$38,0),"")</f>
        <v>0</v>
      </c>
      <c r="AQ10" s="14">
        <f>IFERROR(VLOOKUP(IF(MOD(COLUMN(AQ10),2)=0,$A10&amp;"-"&amp;AQ$3,$A10&amp;"-"&amp;AP$3),CoSo1[],AQ$38,0),"")</f>
        <v>0</v>
      </c>
      <c r="AR10" s="11">
        <f t="shared" si="4"/>
        <v>168</v>
      </c>
      <c r="AS10" s="11">
        <f t="shared" si="4"/>
        <v>1</v>
      </c>
      <c r="AT10" s="14"/>
      <c r="AU10" s="14">
        <f>IFERROR(VLOOKUP(IF(MOD(COLUMN(AU10),2)=1,$A10&amp;"-"&amp;AU$3,$A10&amp;"-"&amp;AT$3),CoSo3[],DoanhThuThang!AU$38,0),"")</f>
        <v>94</v>
      </c>
      <c r="AV10" s="14">
        <f>IFERROR(VLOOKUP(IF(MOD(COLUMN(AV10),2)=1,$A10&amp;"-"&amp;AV$3,$A10&amp;"-"&amp;AU$3),CoSo3[],DoanhThuThang!AV$38,0),"")</f>
        <v>1</v>
      </c>
      <c r="AW10" s="14">
        <f>IFERROR(VLOOKUP(IF(MOD(COLUMN(AW10),2)=1,$A10&amp;"-"&amp;AW$3,$A10&amp;"-"&amp;AV$3),CoSo3[],DoanhThuThang!AW$38,0),"")</f>
        <v>745</v>
      </c>
      <c r="AX10" s="14">
        <f>IFERROR(VLOOKUP(IF(MOD(COLUMN(AX10),2)=1,$A10&amp;"-"&amp;AX$3,$A10&amp;"-"&amp;AW$3),CoSo3[],DoanhThuThang!AX$38,0),"")</f>
        <v>8</v>
      </c>
      <c r="AY10" s="11">
        <f t="shared" si="7"/>
        <v>839</v>
      </c>
      <c r="AZ10" s="11">
        <f t="shared" si="8"/>
        <v>9</v>
      </c>
      <c r="BA10" s="14"/>
      <c r="BB10" s="14">
        <f>IFERROR(VLOOKUP(IF(MOD(COLUMN(BB10),2)=0,$A10&amp;"-"&amp;BB$3,$A10&amp;"-"&amp;BA$3),CoSo3[],DoanhThuThang!BB$38,0),"")</f>
        <v>0</v>
      </c>
      <c r="BC10" s="14">
        <f>IFERROR(VLOOKUP(IF(MOD(COLUMN(BC10),2)=0,$A10&amp;"-"&amp;BC$3,$A10&amp;"-"&amp;BB$3),CoSo3[],DoanhThuThang!BC$38,0),"")</f>
        <v>0</v>
      </c>
      <c r="BD10" s="14">
        <f>IFERROR(VLOOKUP(IF(MOD(COLUMN(BD10),2)=0,$A10&amp;"-"&amp;BD$3,$A10&amp;"-"&amp;BC$3),CoSo3[],DoanhThuThang!BD$38,0),"")</f>
        <v>0</v>
      </c>
      <c r="BE10" s="14">
        <f>IFERROR(VLOOKUP(IF(MOD(COLUMN(BE10),2)=0,$A10&amp;"-"&amp;BE$3,$A10&amp;"-"&amp;BD$3),CoSo3[],DoanhThuThang!BE$38,0),"")</f>
        <v>0</v>
      </c>
      <c r="BF10" s="11">
        <f t="shared" si="9"/>
        <v>0</v>
      </c>
      <c r="BG10" s="11">
        <f t="shared" si="10"/>
        <v>0</v>
      </c>
      <c r="BH10" s="14"/>
      <c r="BI10" s="14">
        <f>IFERROR(VLOOKUP(IF(MOD(COLUMN(BI10),2)=1,$A10&amp;"-"&amp;BI$3,$A10&amp;"-"&amp;BH$3),CoSo4[],DoanhThuThang!BI$38,0),"")</f>
        <v>6</v>
      </c>
      <c r="BJ10" s="14">
        <f>IFERROR(VLOOKUP(IF(MOD(COLUMN(BJ10),2)=1,$A10&amp;"-"&amp;BJ$3,$A10&amp;"-"&amp;BI$3),CoSo4[],DoanhThuThang!BJ$38,0),"")</f>
        <v>1</v>
      </c>
      <c r="BK10" s="14">
        <f>IFERROR(VLOOKUP(IF(MOD(COLUMN(BK10),2)=1,$A10&amp;"-"&amp;BK$3,$A10&amp;"-"&amp;BJ$3),CoSo4[],DoanhThuThang!BK$38,0),"")</f>
        <v>141</v>
      </c>
      <c r="BL10" s="14">
        <f>IFERROR(VLOOKUP(IF(MOD(COLUMN(BL10),2)=1,$A10&amp;"-"&amp;BL$3,$A10&amp;"-"&amp;BK$3),CoSo4[],DoanhThuThang!BL$38,0),"")</f>
        <v>4</v>
      </c>
      <c r="BM10" s="11">
        <f t="shared" si="11"/>
        <v>147</v>
      </c>
      <c r="BN10" s="11">
        <f t="shared" si="12"/>
        <v>5</v>
      </c>
      <c r="BO10" s="14"/>
      <c r="BP10" s="14">
        <f>IFERROR(VLOOKUP(IF(MOD(COLUMN(BP10),2)=0,$A10&amp;"-"&amp;BP$3,$A10&amp;"-"&amp;BO$3),CoSo4[],DoanhThuThang!BP$38,0),"")</f>
        <v>0</v>
      </c>
      <c r="BQ10" s="14">
        <f>IFERROR(VLOOKUP(IF(MOD(COLUMN(BQ10),2)=0,$A10&amp;"-"&amp;BQ$3,$A10&amp;"-"&amp;BP$3),CoSo4[],DoanhThuThang!BQ$38,0),"")</f>
        <v>0</v>
      </c>
      <c r="BR10" s="14">
        <f>IFERROR(VLOOKUP(IF(MOD(COLUMN(BR10),2)=0,$A10&amp;"-"&amp;BR$3,$A10&amp;"-"&amp;BQ$3),CoSo4[],DoanhThuThang!BR$38,0),"")</f>
        <v>0</v>
      </c>
      <c r="BS10" s="14">
        <f>IFERROR(VLOOKUP(IF(MOD(COLUMN(BS10),2)=0,$A10&amp;"-"&amp;BS$3,$A10&amp;"-"&amp;BR$3),CoSo4[],DoanhThuThang!BS$38,0),"")</f>
        <v>0</v>
      </c>
      <c r="BT10" s="11">
        <f t="shared" si="13"/>
        <v>0</v>
      </c>
      <c r="BU10" s="11">
        <f t="shared" si="14"/>
        <v>0</v>
      </c>
      <c r="BV10" s="103"/>
      <c r="BW10" s="14" t="str">
        <f>IFERROR(VLOOKUP($A10,BanBuon[],DoanhThuThang!BW$38,0),"")</f>
        <v/>
      </c>
      <c r="BX10" s="14" t="str">
        <f>IFERROR(VLOOKUP($A10,BanBuon[],DoanhThuThang!BX$38,0),"")</f>
        <v/>
      </c>
      <c r="BY10" s="14" t="str">
        <f>IFERROR(VLOOKUP($A10,BanBuon[],DoanhThuThang!BY$38,0),"")</f>
        <v/>
      </c>
      <c r="BZ10" s="14" t="str">
        <f>IFERROR(VLOOKUP($A10,BanBuon[],DoanhThuThang!BZ$38,0),"")</f>
        <v/>
      </c>
      <c r="CA10" s="106">
        <f t="shared" si="19"/>
        <v>0</v>
      </c>
      <c r="CB10" s="106">
        <f t="shared" si="17"/>
        <v>0</v>
      </c>
      <c r="CC10" s="14">
        <f>IFERROR(VLOOKUP(IF(MOD(COLUMN(B10),2)=0,$A10&amp;"-"&amp;B$3,$A10&amp;"-"&amp;A$3),CoSo1[],CC$38,0),"")</f>
        <v>294</v>
      </c>
      <c r="CD10" s="14">
        <f>IFERROR(VLOOKUP(IF(MOD(COLUMN(C10),2)=0,$A10&amp;"-"&amp;CD$3,$A10&amp;"-"&amp;CC$3),CoSo1[],CD$38,0),"")</f>
        <v>1</v>
      </c>
      <c r="CE10" s="14">
        <f>IFERROR(VLOOKUP(IF(MOD(COLUMN(D10),2)=0,$A10&amp;"-"&amp;D$3,$A10&amp;"-"&amp;C$3),CoSo1[],CE$38,0),"")</f>
        <v>0</v>
      </c>
      <c r="CF10" s="14">
        <f>IFERROR(VLOOKUP(IF(MOD(COLUMN(E10),2)=0,$A10&amp;"-"&amp;E$3,$A10&amp;"-"&amp;D$3),CoSo1[],CF$38,0),"")</f>
        <v>0</v>
      </c>
      <c r="CG10" s="106">
        <f t="shared" si="20"/>
        <v>294</v>
      </c>
      <c r="CH10" s="106">
        <f t="shared" si="18"/>
        <v>1</v>
      </c>
    </row>
    <row r="11" spans="1:86" x14ac:dyDescent="0.25">
      <c r="A11" s="13">
        <v>6</v>
      </c>
      <c r="B11" s="14">
        <f>IFERROR(VLOOKUP(IF(MOD(COLUMN(B11),2)=0,$A11&amp;"-"&amp;B$3,$A11&amp;"-"&amp;A$3),CoSo1[],B$38,0),"")</f>
        <v>397</v>
      </c>
      <c r="C11" s="14">
        <f>IFERROR(VLOOKUP(IF(MOD(COLUMN(C11),2)=0,$A11&amp;"-"&amp;C$3,$A11&amp;"-"&amp;B$3),CoSo1[],C$38,0),"")</f>
        <v>7</v>
      </c>
      <c r="D11" s="14">
        <f>IFERROR(VLOOKUP(IF(MOD(COLUMN(D11),2)=0,$A11&amp;"-"&amp;D$3,$A11&amp;"-"&amp;C$3),CoSo1[],D$38,0),"")</f>
        <v>772</v>
      </c>
      <c r="E11" s="14">
        <f>IFERROR(VLOOKUP(IF(MOD(COLUMN(E11),2)=0,$A11&amp;"-"&amp;E$3,$A11&amp;"-"&amp;D$3),CoSo1[],E$38,0),"")</f>
        <v>9</v>
      </c>
      <c r="F11" s="14">
        <f>IFERROR(VLOOKUP(IF(MOD(COLUMN(F11),2)=0,$A11&amp;"-"&amp;F$3,$A11&amp;"-"&amp;E$3),CoSo1[],F$38,0),"")</f>
        <v>0</v>
      </c>
      <c r="G11" s="14">
        <f>IFERROR(VLOOKUP(IF(MOD(COLUMN(G11),2)=0,$A11&amp;"-"&amp;G$3,$A11&amp;"-"&amp;F$3),CoSo1[],G$38,0),"")</f>
        <v>0</v>
      </c>
      <c r="H11" s="14">
        <f>IFERROR(VLOOKUP(IF(MOD(COLUMN(H11),2)=0,$A11&amp;"-"&amp;H$3,$A11&amp;"-"&amp;G$3),CoSo1[],H$38,0),"")</f>
        <v>224</v>
      </c>
      <c r="I11" s="14">
        <f>IFERROR(VLOOKUP(IF(MOD(COLUMN(I11),2)=0,$A11&amp;"-"&amp;I$3,$A11&amp;"-"&amp;H$3),CoSo1[],I$38,0),"")</f>
        <v>1</v>
      </c>
      <c r="J11" s="14">
        <f>IFERROR(VLOOKUP(IF(MOD(COLUMN(J11),2)=0,$A11&amp;"-"&amp;J$3,$A11&amp;"-"&amp;I$3),CoSo1[],J$38,0),"")</f>
        <v>0</v>
      </c>
      <c r="K11" s="14">
        <f>IFERROR(VLOOKUP(IF(MOD(COLUMN(K11),2)=0,$A11&amp;"-"&amp;K$3,$A11&amp;"-"&amp;J$3),CoSo1[],K$38,0),"")</f>
        <v>0</v>
      </c>
      <c r="L11" s="14">
        <f>IFERROR(VLOOKUP(IF(MOD(COLUMN(L11),2)=0,$A11&amp;"-"&amp;L$3,$A11&amp;"-"&amp;K$3),CoSo1[],L$38,0),"")</f>
        <v>0</v>
      </c>
      <c r="M11" s="14">
        <f>IFERROR(VLOOKUP(IF(MOD(COLUMN(M11),2)=0,$A11&amp;"-"&amp;M$3,$A11&amp;"-"&amp;L$3),CoSo1[],M$38,0),"")</f>
        <v>0</v>
      </c>
      <c r="N11" s="11">
        <f t="shared" si="15"/>
        <v>1393</v>
      </c>
      <c r="O11" s="11">
        <f t="shared" si="16"/>
        <v>17</v>
      </c>
      <c r="P11" s="14"/>
      <c r="Q11" s="14">
        <f>IFERROR(VLOOKUP(IF(MOD(COLUMN(Q11),2)=1,$A11&amp;"-"&amp;Q$3,$A11&amp;"-"&amp;P$3),CoSo1[],Q$38,0),"")</f>
        <v>0</v>
      </c>
      <c r="R11" s="14">
        <f>IFERROR(VLOOKUP(IF(MOD(COLUMN(R11),2)=1,$A11&amp;"-"&amp;R$3,$A11&amp;"-"&amp;Q$3),CoSo1[],R$38,0),"")</f>
        <v>0</v>
      </c>
      <c r="S11" s="14">
        <f>IFERROR(VLOOKUP(IF(MOD(COLUMN(S11),2)=1,$A11&amp;"-"&amp;S$3,$A11&amp;"-"&amp;R$3),CoSo1[],S$38,0),"")</f>
        <v>108</v>
      </c>
      <c r="T11" s="14">
        <f>IFERROR(VLOOKUP(IF(MOD(COLUMN(T11),2)=1,$A11&amp;"-"&amp;T$3,$A11&amp;"-"&amp;S$3),CoSo1[],T$38,0),"")</f>
        <v>1</v>
      </c>
      <c r="U11" s="14">
        <f>IFERROR(VLOOKUP(IF(MOD(COLUMN(U11),2)=1,$A11&amp;"-"&amp;U$3,$A11&amp;"-"&amp;T$3),CoSo1[],U$38,0),"")</f>
        <v>0</v>
      </c>
      <c r="V11" s="14">
        <f>IFERROR(VLOOKUP(IF(MOD(COLUMN(V11),2)=1,$A11&amp;"-"&amp;V$3,$A11&amp;"-"&amp;U$3),CoSo1[],V$38,0),"")</f>
        <v>0</v>
      </c>
      <c r="W11" s="14">
        <f>IFERROR(VLOOKUP(IF(MOD(COLUMN(W11),2)=1,$A11&amp;"-"&amp;W$3,$A11&amp;"-"&amp;V$3),CoSo1[],W$38,0),"")</f>
        <v>0</v>
      </c>
      <c r="X11" s="14">
        <f>IFERROR(VLOOKUP(IF(MOD(COLUMN(X11),2)=1,$A11&amp;"-"&amp;X$3,$A11&amp;"-"&amp;W$3),CoSo1[],X$38,0),"")</f>
        <v>0</v>
      </c>
      <c r="Y11" s="14">
        <f>IFERROR(VLOOKUP(IF(MOD(COLUMN(Y11),2)=1,$A11&amp;"-"&amp;Y$3,$A11&amp;"-"&amp;X$3),CoSo1[],Y$38,0),"")</f>
        <v>0</v>
      </c>
      <c r="Z11" s="14">
        <f>IFERROR(VLOOKUP(IF(MOD(COLUMN(Z11),2)=1,$A11&amp;"-"&amp;Z$3,$A11&amp;"-"&amp;Y$3),CoSo1[],Z$38,0),"")</f>
        <v>0</v>
      </c>
      <c r="AA11" s="14">
        <f>IFERROR(VLOOKUP(IF(MOD(COLUMN(AA11),2)=1,$A11&amp;"-"&amp;AA$3,$A11&amp;"-"&amp;Z$3),CoSo1[],AA$38,0),"")</f>
        <v>0</v>
      </c>
      <c r="AB11" s="14">
        <f>IFERROR(VLOOKUP(IF(MOD(COLUMN(AB11),2)=1,$A11&amp;"-"&amp;AB$3,$A11&amp;"-"&amp;AA$3),CoSo1[],AB$38,0),"")</f>
        <v>0</v>
      </c>
      <c r="AC11" s="11">
        <f t="shared" si="2"/>
        <v>108</v>
      </c>
      <c r="AD11" s="11">
        <f t="shared" si="2"/>
        <v>1</v>
      </c>
      <c r="AE11" s="14"/>
      <c r="AF11" s="14">
        <f>IFERROR(VLOOKUP(IF(MOD(COLUMN(AF11),2)=0,$A11&amp;"-"&amp;AF$3,$A11&amp;"-"&amp;AE$3),CoSo1[],AF$38,0),"")</f>
        <v>0</v>
      </c>
      <c r="AG11" s="14">
        <f>IFERROR(VLOOKUP(IF(MOD(COLUMN(AG11),2)=0,$A11&amp;"-"&amp;AG$3,$A11&amp;"-"&amp;AF$3),CoSo1[],AG$38,0),"")</f>
        <v>0</v>
      </c>
      <c r="AH11" s="14">
        <f>IFERROR(VLOOKUP(IF(MOD(COLUMN(AH11),2)=0,$A11&amp;"-"&amp;AH$3,$A11&amp;"-"&amp;AG$3),CoSo1[],AH$38,0),"")</f>
        <v>0</v>
      </c>
      <c r="AI11" s="14">
        <f>IFERROR(VLOOKUP(IF(MOD(COLUMN(AI11),2)=0,$A11&amp;"-"&amp;AI$3,$A11&amp;"-"&amp;AH$3),CoSo1[],AI$38,0),"")</f>
        <v>0</v>
      </c>
      <c r="AJ11" s="14">
        <f>IFERROR(VLOOKUP(IF(MOD(COLUMN(AJ11),2)=0,$A11&amp;"-"&amp;AJ$3,$A11&amp;"-"&amp;AI$3),CoSo1[],AJ$38,0),"")</f>
        <v>0</v>
      </c>
      <c r="AK11" s="14">
        <f>IFERROR(VLOOKUP(IF(MOD(COLUMN(AK11),2)=0,$A11&amp;"-"&amp;AK$3,$A11&amp;"-"&amp;AJ$3),CoSo1[],AK$38,0),"")</f>
        <v>0</v>
      </c>
      <c r="AL11" s="14">
        <f>IFERROR(VLOOKUP(IF(MOD(COLUMN(AL11),2)=0,$A11&amp;"-"&amp;AL$3,$A11&amp;"-"&amp;AK$3),CoSo1[],AL$38,0),"")</f>
        <v>0</v>
      </c>
      <c r="AM11" s="14">
        <f>IFERROR(VLOOKUP(IF(MOD(COLUMN(AM11),2)=0,$A11&amp;"-"&amp;AM$3,$A11&amp;"-"&amp;AL$3),CoSo1[],AM$38,0),"")</f>
        <v>0</v>
      </c>
      <c r="AN11" s="14">
        <f>IFERROR(VLOOKUP(IF(MOD(COLUMN(AN11),2)=0,$A11&amp;"-"&amp;AN$3,$A11&amp;"-"&amp;AM$3),CoSo1[],AN$38,0),"")</f>
        <v>0</v>
      </c>
      <c r="AO11" s="14">
        <f>IFERROR(VLOOKUP(IF(MOD(COLUMN(AO11),2)=0,$A11&amp;"-"&amp;AO$3,$A11&amp;"-"&amp;AN$3),CoSo1[],AO$38,0),"")</f>
        <v>0</v>
      </c>
      <c r="AP11" s="14">
        <f>IFERROR(VLOOKUP(IF(MOD(COLUMN(AP11),2)=0,$A11&amp;"-"&amp;AP$3,$A11&amp;"-"&amp;AO$3),CoSo1[],AP$38,0),"")</f>
        <v>0</v>
      </c>
      <c r="AQ11" s="14">
        <f>IFERROR(VLOOKUP(IF(MOD(COLUMN(AQ11),2)=0,$A11&amp;"-"&amp;AQ$3,$A11&amp;"-"&amp;AP$3),CoSo1[],AQ$38,0),"")</f>
        <v>0</v>
      </c>
      <c r="AR11" s="11">
        <f t="shared" si="4"/>
        <v>0</v>
      </c>
      <c r="AS11" s="11">
        <f t="shared" si="4"/>
        <v>0</v>
      </c>
      <c r="AT11" s="14"/>
      <c r="AU11" s="14">
        <f>IFERROR(VLOOKUP(IF(MOD(COLUMN(AU11),2)=1,$A11&amp;"-"&amp;AU$3,$A11&amp;"-"&amp;AT$3),CoSo3[],DoanhThuThang!AU$38,0),"")</f>
        <v>198</v>
      </c>
      <c r="AV11" s="14">
        <f>IFERROR(VLOOKUP(IF(MOD(COLUMN(AV11),2)=1,$A11&amp;"-"&amp;AV$3,$A11&amp;"-"&amp;AU$3),CoSo3[],DoanhThuThang!AV$38,0),"")</f>
        <v>2</v>
      </c>
      <c r="AW11" s="14">
        <f>IFERROR(VLOOKUP(IF(MOD(COLUMN(AW11),2)=1,$A11&amp;"-"&amp;AW$3,$A11&amp;"-"&amp;AV$3),CoSo3[],DoanhThuThang!AW$38,0),"")</f>
        <v>723</v>
      </c>
      <c r="AX11" s="14">
        <f>IFERROR(VLOOKUP(IF(MOD(COLUMN(AX11),2)=1,$A11&amp;"-"&amp;AX$3,$A11&amp;"-"&amp;AW$3),CoSo3[],DoanhThuThang!AX$38,0),"")</f>
        <v>4</v>
      </c>
      <c r="AY11" s="11">
        <f t="shared" si="7"/>
        <v>921</v>
      </c>
      <c r="AZ11" s="11">
        <f t="shared" si="8"/>
        <v>6</v>
      </c>
      <c r="BA11" s="14"/>
      <c r="BB11" s="14">
        <f>IFERROR(VLOOKUP(IF(MOD(COLUMN(BB11),2)=0,$A11&amp;"-"&amp;BB$3,$A11&amp;"-"&amp;BA$3),CoSo3[],DoanhThuThang!BB$38,0),"")</f>
        <v>0</v>
      </c>
      <c r="BC11" s="14">
        <f>IFERROR(VLOOKUP(IF(MOD(COLUMN(BC11),2)=0,$A11&amp;"-"&amp;BC$3,$A11&amp;"-"&amp;BB$3),CoSo3[],DoanhThuThang!BC$38,0),"")</f>
        <v>0</v>
      </c>
      <c r="BD11" s="14">
        <f>IFERROR(VLOOKUP(IF(MOD(COLUMN(BD11),2)=0,$A11&amp;"-"&amp;BD$3,$A11&amp;"-"&amp;BC$3),CoSo3[],DoanhThuThang!BD$38,0),"")</f>
        <v>0</v>
      </c>
      <c r="BE11" s="14">
        <f>IFERROR(VLOOKUP(IF(MOD(COLUMN(BE11),2)=0,$A11&amp;"-"&amp;BE$3,$A11&amp;"-"&amp;BD$3),CoSo3[],DoanhThuThang!BE$38,0),"")</f>
        <v>0</v>
      </c>
      <c r="BF11" s="11">
        <f t="shared" si="9"/>
        <v>0</v>
      </c>
      <c r="BG11" s="11">
        <f t="shared" si="10"/>
        <v>0</v>
      </c>
      <c r="BH11" s="14"/>
      <c r="BI11" s="14">
        <f>IFERROR(VLOOKUP(IF(MOD(COLUMN(BI11),2)=1,$A11&amp;"-"&amp;BI$3,$A11&amp;"-"&amp;BH$3),CoSo4[],DoanhThuThang!BI$38,0),"")</f>
        <v>57</v>
      </c>
      <c r="BJ11" s="14">
        <f>IFERROR(VLOOKUP(IF(MOD(COLUMN(BJ11),2)=1,$A11&amp;"-"&amp;BJ$3,$A11&amp;"-"&amp;BI$3),CoSo4[],DoanhThuThang!BJ$38,0),"")</f>
        <v>2</v>
      </c>
      <c r="BK11" s="14">
        <f>IFERROR(VLOOKUP(IF(MOD(COLUMN(BK11),2)=1,$A11&amp;"-"&amp;BK$3,$A11&amp;"-"&amp;BJ$3),CoSo4[],DoanhThuThang!BK$38,0),"")</f>
        <v>44</v>
      </c>
      <c r="BL11" s="14">
        <f>IFERROR(VLOOKUP(IF(MOD(COLUMN(BL11),2)=1,$A11&amp;"-"&amp;BL$3,$A11&amp;"-"&amp;BK$3),CoSo4[],DoanhThuThang!BL$38,0),"")</f>
        <v>1</v>
      </c>
      <c r="BM11" s="11">
        <f t="shared" si="11"/>
        <v>101</v>
      </c>
      <c r="BN11" s="11">
        <f t="shared" si="12"/>
        <v>3</v>
      </c>
      <c r="BO11" s="14"/>
      <c r="BP11" s="14">
        <f>IFERROR(VLOOKUP(IF(MOD(COLUMN(BP11),2)=0,$A11&amp;"-"&amp;BP$3,$A11&amp;"-"&amp;BO$3),CoSo4[],DoanhThuThang!BP$38,0),"")</f>
        <v>0</v>
      </c>
      <c r="BQ11" s="14">
        <f>IFERROR(VLOOKUP(IF(MOD(COLUMN(BQ11),2)=0,$A11&amp;"-"&amp;BQ$3,$A11&amp;"-"&amp;BP$3),CoSo4[],DoanhThuThang!BQ$38,0),"")</f>
        <v>0</v>
      </c>
      <c r="BR11" s="14">
        <f>IFERROR(VLOOKUP(IF(MOD(COLUMN(BR11),2)=0,$A11&amp;"-"&amp;BR$3,$A11&amp;"-"&amp;BQ$3),CoSo4[],DoanhThuThang!BR$38,0),"")</f>
        <v>0</v>
      </c>
      <c r="BS11" s="14">
        <f>IFERROR(VLOOKUP(IF(MOD(COLUMN(BS11),2)=0,$A11&amp;"-"&amp;BS$3,$A11&amp;"-"&amp;BR$3),CoSo4[],DoanhThuThang!BS$38,0),"")</f>
        <v>0</v>
      </c>
      <c r="BT11" s="11">
        <f t="shared" si="13"/>
        <v>0</v>
      </c>
      <c r="BU11" s="11">
        <f t="shared" si="14"/>
        <v>0</v>
      </c>
      <c r="BV11" s="103"/>
      <c r="BW11" s="14" t="str">
        <f>IFERROR(VLOOKUP($A11,BanBuon[],DoanhThuThang!BW$38,0),"")</f>
        <v/>
      </c>
      <c r="BX11" s="14" t="str">
        <f>IFERROR(VLOOKUP($A11,BanBuon[],DoanhThuThang!BX$38,0),"")</f>
        <v/>
      </c>
      <c r="BY11" s="14" t="str">
        <f>IFERROR(VLOOKUP($A11,BanBuon[],DoanhThuThang!BY$38,0),"")</f>
        <v/>
      </c>
      <c r="BZ11" s="14" t="str">
        <f>IFERROR(VLOOKUP($A11,BanBuon[],DoanhThuThang!BZ$38,0),"")</f>
        <v/>
      </c>
      <c r="CA11" s="106">
        <f t="shared" si="19"/>
        <v>0</v>
      </c>
      <c r="CB11" s="106">
        <f t="shared" si="17"/>
        <v>0</v>
      </c>
      <c r="CC11" s="14">
        <f>IFERROR(VLOOKUP(IF(MOD(COLUMN(B11),2)=0,$A11&amp;"-"&amp;B$3,$A11&amp;"-"&amp;A$3),CoSo1[],CC$38,0),"")</f>
        <v>98</v>
      </c>
      <c r="CD11" s="14">
        <f>IFERROR(VLOOKUP(IF(MOD(COLUMN(C11),2)=0,$A11&amp;"-"&amp;CD$3,$A11&amp;"-"&amp;CC$3),CoSo1[],CD$38,0),"")</f>
        <v>1</v>
      </c>
      <c r="CE11" s="14">
        <f>IFERROR(VLOOKUP(IF(MOD(COLUMN(D11),2)=0,$A11&amp;"-"&amp;D$3,$A11&amp;"-"&amp;C$3),CoSo1[],CE$38,0),"")</f>
        <v>441</v>
      </c>
      <c r="CF11" s="14">
        <f>IFERROR(VLOOKUP(IF(MOD(COLUMN(E11),2)=0,$A11&amp;"-"&amp;E$3,$A11&amp;"-"&amp;D$3),CoSo1[],CF$38,0),"")</f>
        <v>3</v>
      </c>
      <c r="CG11" s="106">
        <f t="shared" si="20"/>
        <v>539</v>
      </c>
      <c r="CH11" s="106">
        <f t="shared" si="18"/>
        <v>4</v>
      </c>
    </row>
    <row r="12" spans="1:86" x14ac:dyDescent="0.25">
      <c r="A12" s="13">
        <v>7</v>
      </c>
      <c r="B12" s="14">
        <f>IFERROR(VLOOKUP(IF(MOD(COLUMN(B12),2)=0,$A12&amp;"-"&amp;B$3,$A12&amp;"-"&amp;A$3),CoSo1[],B$38,0),"")</f>
        <v>151</v>
      </c>
      <c r="C12" s="14">
        <f>IFERROR(VLOOKUP(IF(MOD(COLUMN(C12),2)=0,$A12&amp;"-"&amp;C$3,$A12&amp;"-"&amp;B$3),CoSo1[],C$38,0),"")</f>
        <v>3</v>
      </c>
      <c r="D12" s="14">
        <f>IFERROR(VLOOKUP(IF(MOD(COLUMN(D12),2)=0,$A12&amp;"-"&amp;D$3,$A12&amp;"-"&amp;C$3),CoSo1[],D$38,0),"")</f>
        <v>696</v>
      </c>
      <c r="E12" s="14">
        <f>IFERROR(VLOOKUP(IF(MOD(COLUMN(E12),2)=0,$A12&amp;"-"&amp;E$3,$A12&amp;"-"&amp;D$3),CoSo1[],E$38,0),"")</f>
        <v>10</v>
      </c>
      <c r="F12" s="14">
        <f>IFERROR(VLOOKUP(IF(MOD(COLUMN(F12),2)=0,$A12&amp;"-"&amp;F$3,$A12&amp;"-"&amp;E$3),CoSo1[],F$38,0),"")</f>
        <v>0</v>
      </c>
      <c r="G12" s="14">
        <f>IFERROR(VLOOKUP(IF(MOD(COLUMN(G12),2)=0,$A12&amp;"-"&amp;G$3,$A12&amp;"-"&amp;F$3),CoSo1[],G$38,0),"")</f>
        <v>0</v>
      </c>
      <c r="H12" s="14">
        <f>IFERROR(VLOOKUP(IF(MOD(COLUMN(H12),2)=0,$A12&amp;"-"&amp;H$3,$A12&amp;"-"&amp;G$3),CoSo1[],H$38,0),"")</f>
        <v>135</v>
      </c>
      <c r="I12" s="14">
        <f>IFERROR(VLOOKUP(IF(MOD(COLUMN(I12),2)=0,$A12&amp;"-"&amp;I$3,$A12&amp;"-"&amp;H$3),CoSo1[],I$38,0),"")</f>
        <v>2</v>
      </c>
      <c r="J12" s="14">
        <f>IFERROR(VLOOKUP(IF(MOD(COLUMN(J12),2)=0,$A12&amp;"-"&amp;J$3,$A12&amp;"-"&amp;I$3),CoSo1[],J$38,0),"")</f>
        <v>0</v>
      </c>
      <c r="K12" s="14">
        <f>IFERROR(VLOOKUP(IF(MOD(COLUMN(K12),2)=0,$A12&amp;"-"&amp;K$3,$A12&amp;"-"&amp;J$3),CoSo1[],K$38,0),"")</f>
        <v>0</v>
      </c>
      <c r="L12" s="14">
        <f>IFERROR(VLOOKUP(IF(MOD(COLUMN(L12),2)=0,$A12&amp;"-"&amp;L$3,$A12&amp;"-"&amp;K$3),CoSo1[],L$38,0),"")</f>
        <v>0</v>
      </c>
      <c r="M12" s="14">
        <f>IFERROR(VLOOKUP(IF(MOD(COLUMN(M12),2)=0,$A12&amp;"-"&amp;M$3,$A12&amp;"-"&amp;L$3),CoSo1[],M$38,0),"")</f>
        <v>0</v>
      </c>
      <c r="N12" s="11">
        <f t="shared" si="15"/>
        <v>982</v>
      </c>
      <c r="O12" s="11">
        <f t="shared" si="16"/>
        <v>15</v>
      </c>
      <c r="P12" s="14"/>
      <c r="Q12" s="14">
        <f>IFERROR(VLOOKUP(IF(MOD(COLUMN(Q12),2)=1,$A12&amp;"-"&amp;Q$3,$A12&amp;"-"&amp;P$3),CoSo1[],Q$38,0),"")</f>
        <v>0</v>
      </c>
      <c r="R12" s="14">
        <f>IFERROR(VLOOKUP(IF(MOD(COLUMN(R12),2)=1,$A12&amp;"-"&amp;R$3,$A12&amp;"-"&amp;Q$3),CoSo1[],R$38,0),"")</f>
        <v>0</v>
      </c>
      <c r="S12" s="14">
        <f>IFERROR(VLOOKUP(IF(MOD(COLUMN(S12),2)=1,$A12&amp;"-"&amp;S$3,$A12&amp;"-"&amp;R$3),CoSo1[],S$38,0),"")</f>
        <v>100</v>
      </c>
      <c r="T12" s="14">
        <f>IFERROR(VLOOKUP(IF(MOD(COLUMN(T12),2)=1,$A12&amp;"-"&amp;T$3,$A12&amp;"-"&amp;S$3),CoSo1[],T$38,0),"")</f>
        <v>3</v>
      </c>
      <c r="U12" s="14">
        <f>IFERROR(VLOOKUP(IF(MOD(COLUMN(U12),2)=1,$A12&amp;"-"&amp;U$3,$A12&amp;"-"&amp;T$3),CoSo1[],U$38,0),"")</f>
        <v>0</v>
      </c>
      <c r="V12" s="14">
        <f>IFERROR(VLOOKUP(IF(MOD(COLUMN(V12),2)=1,$A12&amp;"-"&amp;V$3,$A12&amp;"-"&amp;U$3),CoSo1[],V$38,0),"")</f>
        <v>0</v>
      </c>
      <c r="W12" s="14">
        <f>IFERROR(VLOOKUP(IF(MOD(COLUMN(W12),2)=1,$A12&amp;"-"&amp;W$3,$A12&amp;"-"&amp;V$3),CoSo1[],W$38,0),"")</f>
        <v>0</v>
      </c>
      <c r="X12" s="14">
        <f>IFERROR(VLOOKUP(IF(MOD(COLUMN(X12),2)=1,$A12&amp;"-"&amp;X$3,$A12&amp;"-"&amp;W$3),CoSo1[],X$38,0),"")</f>
        <v>0</v>
      </c>
      <c r="Y12" s="14">
        <f>IFERROR(VLOOKUP(IF(MOD(COLUMN(Y12),2)=1,$A12&amp;"-"&amp;Y$3,$A12&amp;"-"&amp;X$3),CoSo1[],Y$38,0),"")</f>
        <v>0</v>
      </c>
      <c r="Z12" s="14">
        <f>IFERROR(VLOOKUP(IF(MOD(COLUMN(Z12),2)=1,$A12&amp;"-"&amp;Z$3,$A12&amp;"-"&amp;Y$3),CoSo1[],Z$38,0),"")</f>
        <v>0</v>
      </c>
      <c r="AA12" s="14">
        <f>IFERROR(VLOOKUP(IF(MOD(COLUMN(AA12),2)=1,$A12&amp;"-"&amp;AA$3,$A12&amp;"-"&amp;Z$3),CoSo1[],AA$38,0),"")</f>
        <v>0</v>
      </c>
      <c r="AB12" s="14">
        <f>IFERROR(VLOOKUP(IF(MOD(COLUMN(AB12),2)=1,$A12&amp;"-"&amp;AB$3,$A12&amp;"-"&amp;AA$3),CoSo1[],AB$38,0),"")</f>
        <v>0</v>
      </c>
      <c r="AC12" s="11">
        <f t="shared" si="2"/>
        <v>100</v>
      </c>
      <c r="AD12" s="11">
        <f t="shared" si="2"/>
        <v>3</v>
      </c>
      <c r="AE12" s="14"/>
      <c r="AF12" s="14">
        <f>IFERROR(VLOOKUP(IF(MOD(COLUMN(AF12),2)=0,$A12&amp;"-"&amp;AF$3,$A12&amp;"-"&amp;AE$3),CoSo1[],AF$38,0),"")</f>
        <v>0</v>
      </c>
      <c r="AG12" s="14">
        <f>IFERROR(VLOOKUP(IF(MOD(COLUMN(AG12),2)=0,$A12&amp;"-"&amp;AG$3,$A12&amp;"-"&amp;AF$3),CoSo1[],AG$38,0),"")</f>
        <v>0</v>
      </c>
      <c r="AH12" s="14">
        <f>IFERROR(VLOOKUP(IF(MOD(COLUMN(AH12),2)=0,$A12&amp;"-"&amp;AH$3,$A12&amp;"-"&amp;AG$3),CoSo1[],AH$38,0),"")</f>
        <v>18</v>
      </c>
      <c r="AI12" s="14">
        <f>IFERROR(VLOOKUP(IF(MOD(COLUMN(AI12),2)=0,$A12&amp;"-"&amp;AI$3,$A12&amp;"-"&amp;AH$3),CoSo1[],AI$38,0),"")</f>
        <v>1</v>
      </c>
      <c r="AJ12" s="14">
        <f>IFERROR(VLOOKUP(IF(MOD(COLUMN(AJ12),2)=0,$A12&amp;"-"&amp;AJ$3,$A12&amp;"-"&amp;AI$3),CoSo1[],AJ$38,0),"")</f>
        <v>0</v>
      </c>
      <c r="AK12" s="14">
        <f>IFERROR(VLOOKUP(IF(MOD(COLUMN(AK12),2)=0,$A12&amp;"-"&amp;AK$3,$A12&amp;"-"&amp;AJ$3),CoSo1[],AK$38,0),"")</f>
        <v>0</v>
      </c>
      <c r="AL12" s="14">
        <f>IFERROR(VLOOKUP(IF(MOD(COLUMN(AL12),2)=0,$A12&amp;"-"&amp;AL$3,$A12&amp;"-"&amp;AK$3),CoSo1[],AL$38,0),"")</f>
        <v>0</v>
      </c>
      <c r="AM12" s="14">
        <f>IFERROR(VLOOKUP(IF(MOD(COLUMN(AM12),2)=0,$A12&amp;"-"&amp;AM$3,$A12&amp;"-"&amp;AL$3),CoSo1[],AM$38,0),"")</f>
        <v>0</v>
      </c>
      <c r="AN12" s="14">
        <f>IFERROR(VLOOKUP(IF(MOD(COLUMN(AN12),2)=0,$A12&amp;"-"&amp;AN$3,$A12&amp;"-"&amp;AM$3),CoSo1[],AN$38,0),"")</f>
        <v>0</v>
      </c>
      <c r="AO12" s="14">
        <f>IFERROR(VLOOKUP(IF(MOD(COLUMN(AO12),2)=0,$A12&amp;"-"&amp;AO$3,$A12&amp;"-"&amp;AN$3),CoSo1[],AO$38,0),"")</f>
        <v>0</v>
      </c>
      <c r="AP12" s="14">
        <f>IFERROR(VLOOKUP(IF(MOD(COLUMN(AP12),2)=0,$A12&amp;"-"&amp;AP$3,$A12&amp;"-"&amp;AO$3),CoSo1[],AP$38,0),"")</f>
        <v>0</v>
      </c>
      <c r="AQ12" s="14">
        <f>IFERROR(VLOOKUP(IF(MOD(COLUMN(AQ12),2)=0,$A12&amp;"-"&amp;AQ$3,$A12&amp;"-"&amp;AP$3),CoSo1[],AQ$38,0),"")</f>
        <v>0</v>
      </c>
      <c r="AR12" s="11">
        <f t="shared" si="4"/>
        <v>18</v>
      </c>
      <c r="AS12" s="11">
        <f t="shared" si="4"/>
        <v>1</v>
      </c>
      <c r="AT12" s="14"/>
      <c r="AU12" s="14">
        <f>IFERROR(VLOOKUP(IF(MOD(COLUMN(AU12),2)=1,$A12&amp;"-"&amp;AU$3,$A12&amp;"-"&amp;AT$3),CoSo3[],DoanhThuThang!AU$38,0),"")</f>
        <v>110</v>
      </c>
      <c r="AV12" s="14">
        <f>IFERROR(VLOOKUP(IF(MOD(COLUMN(AV12),2)=1,$A12&amp;"-"&amp;AV$3,$A12&amp;"-"&amp;AU$3),CoSo3[],DoanhThuThang!AV$38,0),"")</f>
        <v>2</v>
      </c>
      <c r="AW12" s="14">
        <f>IFERROR(VLOOKUP(IF(MOD(COLUMN(AW12),2)=1,$A12&amp;"-"&amp;AW$3,$A12&amp;"-"&amp;AV$3),CoSo3[],DoanhThuThang!AW$38,0),"")</f>
        <v>182</v>
      </c>
      <c r="AX12" s="14">
        <f>IFERROR(VLOOKUP(IF(MOD(COLUMN(AX12),2)=1,$A12&amp;"-"&amp;AX$3,$A12&amp;"-"&amp;AW$3),CoSo3[],DoanhThuThang!AX$38,0),"")</f>
        <v>5</v>
      </c>
      <c r="AY12" s="11">
        <f t="shared" si="7"/>
        <v>292</v>
      </c>
      <c r="AZ12" s="11">
        <f t="shared" si="8"/>
        <v>7</v>
      </c>
      <c r="BA12" s="14"/>
      <c r="BB12" s="14">
        <f>IFERROR(VLOOKUP(IF(MOD(COLUMN(BB12),2)=0,$A12&amp;"-"&amp;BB$3,$A12&amp;"-"&amp;BA$3),CoSo3[],DoanhThuThang!BB$38,0),"")</f>
        <v>0</v>
      </c>
      <c r="BC12" s="14">
        <f>IFERROR(VLOOKUP(IF(MOD(COLUMN(BC12),2)=0,$A12&amp;"-"&amp;BC$3,$A12&amp;"-"&amp;BB$3),CoSo3[],DoanhThuThang!BC$38,0),"")</f>
        <v>0</v>
      </c>
      <c r="BD12" s="14">
        <f>IFERROR(VLOOKUP(IF(MOD(COLUMN(BD12),2)=0,$A12&amp;"-"&amp;BD$3,$A12&amp;"-"&amp;BC$3),CoSo3[],DoanhThuThang!BD$38,0),"")</f>
        <v>0</v>
      </c>
      <c r="BE12" s="14">
        <f>IFERROR(VLOOKUP(IF(MOD(COLUMN(BE12),2)=0,$A12&amp;"-"&amp;BE$3,$A12&amp;"-"&amp;BD$3),CoSo3[],DoanhThuThang!BE$38,0),"")</f>
        <v>0</v>
      </c>
      <c r="BF12" s="11">
        <f t="shared" si="9"/>
        <v>0</v>
      </c>
      <c r="BG12" s="11">
        <f t="shared" si="10"/>
        <v>0</v>
      </c>
      <c r="BH12" s="14"/>
      <c r="BI12" s="14">
        <f>IFERROR(VLOOKUP(IF(MOD(COLUMN(BI12),2)=1,$A12&amp;"-"&amp;BI$3,$A12&amp;"-"&amp;BH$3),CoSo4[],DoanhThuThang!BI$38,0),"")</f>
        <v>60</v>
      </c>
      <c r="BJ12" s="14">
        <f>IFERROR(VLOOKUP(IF(MOD(COLUMN(BJ12),2)=1,$A12&amp;"-"&amp;BJ$3,$A12&amp;"-"&amp;BI$3),CoSo4[],DoanhThuThang!BJ$38,0),"")</f>
        <v>2</v>
      </c>
      <c r="BK12" s="14">
        <f>IFERROR(VLOOKUP(IF(MOD(COLUMN(BK12),2)=1,$A12&amp;"-"&amp;BK$3,$A12&amp;"-"&amp;BJ$3),CoSo4[],DoanhThuThang!BK$38,0),"")</f>
        <v>247</v>
      </c>
      <c r="BL12" s="14">
        <f>IFERROR(VLOOKUP(IF(MOD(COLUMN(BL12),2)=1,$A12&amp;"-"&amp;BL$3,$A12&amp;"-"&amp;BK$3),CoSo4[],DoanhThuThang!BL$38,0),"")</f>
        <v>2</v>
      </c>
      <c r="BM12" s="11">
        <f t="shared" si="11"/>
        <v>307</v>
      </c>
      <c r="BN12" s="11">
        <f t="shared" si="12"/>
        <v>4</v>
      </c>
      <c r="BO12" s="14"/>
      <c r="BP12" s="14">
        <f>IFERROR(VLOOKUP(IF(MOD(COLUMN(BP12),2)=0,$A12&amp;"-"&amp;BP$3,$A12&amp;"-"&amp;BO$3),CoSo4[],DoanhThuThang!BP$38,0),"")</f>
        <v>0</v>
      </c>
      <c r="BQ12" s="14">
        <f>IFERROR(VLOOKUP(IF(MOD(COLUMN(BQ12),2)=0,$A12&amp;"-"&amp;BQ$3,$A12&amp;"-"&amp;BP$3),CoSo4[],DoanhThuThang!BQ$38,0),"")</f>
        <v>0</v>
      </c>
      <c r="BR12" s="14">
        <f>IFERROR(VLOOKUP(IF(MOD(COLUMN(BR12),2)=0,$A12&amp;"-"&amp;BR$3,$A12&amp;"-"&amp;BQ$3),CoSo4[],DoanhThuThang!BR$38,0),"")</f>
        <v>0</v>
      </c>
      <c r="BS12" s="14">
        <f>IFERROR(VLOOKUP(IF(MOD(COLUMN(BS12),2)=0,$A12&amp;"-"&amp;BS$3,$A12&amp;"-"&amp;BR$3),CoSo4[],DoanhThuThang!BS$38,0),"")</f>
        <v>0</v>
      </c>
      <c r="BT12" s="11">
        <f t="shared" si="13"/>
        <v>0</v>
      </c>
      <c r="BU12" s="11">
        <f t="shared" si="14"/>
        <v>0</v>
      </c>
      <c r="BV12" s="103"/>
      <c r="BW12" s="14">
        <f>IFERROR(VLOOKUP($A12,BanBuon[],DoanhThuThang!BW$38,0),"")</f>
        <v>500</v>
      </c>
      <c r="BX12" s="14">
        <f>IFERROR(VLOOKUP($A12,BanBuon[],DoanhThuThang!BX$38,0),"")</f>
        <v>1</v>
      </c>
      <c r="BY12" s="14">
        <f>IFERROR(VLOOKUP($A12,BanBuon[],DoanhThuThang!BY$38,0),"")</f>
        <v>0</v>
      </c>
      <c r="BZ12" s="14">
        <f>IFERROR(VLOOKUP($A12,BanBuon[],DoanhThuThang!BZ$38,0),"")</f>
        <v>0</v>
      </c>
      <c r="CA12" s="106">
        <f t="shared" si="19"/>
        <v>500</v>
      </c>
      <c r="CB12" s="106">
        <f t="shared" si="17"/>
        <v>1</v>
      </c>
      <c r="CC12" s="14">
        <f>IFERROR(VLOOKUP(IF(MOD(COLUMN(B12),2)=0,$A12&amp;"-"&amp;B$3,$A12&amp;"-"&amp;A$3),CoSo1[],CC$38,0),"")</f>
        <v>203</v>
      </c>
      <c r="CD12" s="14">
        <f>IFERROR(VLOOKUP(IF(MOD(COLUMN(C12),2)=0,$A12&amp;"-"&amp;CD$3,$A12&amp;"-"&amp;CC$3),CoSo1[],CD$38,0),"")</f>
        <v>1</v>
      </c>
      <c r="CE12" s="14">
        <f>IFERROR(VLOOKUP(IF(MOD(COLUMN(D12),2)=0,$A12&amp;"-"&amp;D$3,$A12&amp;"-"&amp;C$3),CoSo1[],CE$38,0),"")</f>
        <v>213</v>
      </c>
      <c r="CF12" s="14">
        <f>IFERROR(VLOOKUP(IF(MOD(COLUMN(E12),2)=0,$A12&amp;"-"&amp;E$3,$A12&amp;"-"&amp;D$3),CoSo1[],CF$38,0),"")</f>
        <v>2</v>
      </c>
      <c r="CG12" s="106">
        <f t="shared" si="20"/>
        <v>416</v>
      </c>
      <c r="CH12" s="106">
        <f t="shared" si="18"/>
        <v>3</v>
      </c>
    </row>
    <row r="13" spans="1:86" x14ac:dyDescent="0.25">
      <c r="A13" s="13">
        <v>8</v>
      </c>
      <c r="B13" s="14">
        <f>IFERROR(VLOOKUP(IF(MOD(COLUMN(B13),2)=0,$A13&amp;"-"&amp;B$3,$A13&amp;"-"&amp;A$3),CoSo1[],B$38,0),"")</f>
        <v>1513</v>
      </c>
      <c r="C13" s="14">
        <f>IFERROR(VLOOKUP(IF(MOD(COLUMN(C13),2)=0,$A13&amp;"-"&amp;C$3,$A13&amp;"-"&amp;B$3),CoSo1[],C$38,0),"")</f>
        <v>11</v>
      </c>
      <c r="D13" s="14">
        <f>IFERROR(VLOOKUP(IF(MOD(COLUMN(D13),2)=0,$A13&amp;"-"&amp;D$3,$A13&amp;"-"&amp;C$3),CoSo1[],D$38,0),"")</f>
        <v>413</v>
      </c>
      <c r="E13" s="14">
        <f>IFERROR(VLOOKUP(IF(MOD(COLUMN(E13),2)=0,$A13&amp;"-"&amp;E$3,$A13&amp;"-"&amp;D$3),CoSo1[],E$38,0),"")</f>
        <v>9</v>
      </c>
      <c r="F13" s="14">
        <f>IFERROR(VLOOKUP(IF(MOD(COLUMN(F13),2)=0,$A13&amp;"-"&amp;F$3,$A13&amp;"-"&amp;E$3),CoSo1[],F$38,0),"")</f>
        <v>0</v>
      </c>
      <c r="G13" s="14">
        <f>IFERROR(VLOOKUP(IF(MOD(COLUMN(G13),2)=0,$A13&amp;"-"&amp;G$3,$A13&amp;"-"&amp;F$3),CoSo1[],G$38,0),"")</f>
        <v>0</v>
      </c>
      <c r="H13" s="14">
        <f>IFERROR(VLOOKUP(IF(MOD(COLUMN(H13),2)=0,$A13&amp;"-"&amp;H$3,$A13&amp;"-"&amp;G$3),CoSo1[],H$38,0),"")</f>
        <v>0</v>
      </c>
      <c r="I13" s="14">
        <f>IFERROR(VLOOKUP(IF(MOD(COLUMN(I13),2)=0,$A13&amp;"-"&amp;I$3,$A13&amp;"-"&amp;H$3),CoSo1[],I$38,0),"")</f>
        <v>0</v>
      </c>
      <c r="J13" s="14">
        <f>IFERROR(VLOOKUP(IF(MOD(COLUMN(J13),2)=0,$A13&amp;"-"&amp;J$3,$A13&amp;"-"&amp;I$3),CoSo1[],J$38,0),"")</f>
        <v>0</v>
      </c>
      <c r="K13" s="14">
        <f>IFERROR(VLOOKUP(IF(MOD(COLUMN(K13),2)=0,$A13&amp;"-"&amp;K$3,$A13&amp;"-"&amp;J$3),CoSo1[],K$38,0),"")</f>
        <v>0</v>
      </c>
      <c r="L13" s="14">
        <f>IFERROR(VLOOKUP(IF(MOD(COLUMN(L13),2)=0,$A13&amp;"-"&amp;L$3,$A13&amp;"-"&amp;K$3),CoSo1[],L$38,0),"")</f>
        <v>0</v>
      </c>
      <c r="M13" s="14">
        <f>IFERROR(VLOOKUP(IF(MOD(COLUMN(M13),2)=0,$A13&amp;"-"&amp;M$3,$A13&amp;"-"&amp;L$3),CoSo1[],M$38,0),"")</f>
        <v>0</v>
      </c>
      <c r="N13" s="11">
        <f t="shared" si="15"/>
        <v>1926</v>
      </c>
      <c r="O13" s="11">
        <f t="shared" si="16"/>
        <v>20</v>
      </c>
      <c r="P13" s="14"/>
      <c r="Q13" s="14">
        <f>IFERROR(VLOOKUP(IF(MOD(COLUMN(Q13),2)=1,$A13&amp;"-"&amp;Q$3,$A13&amp;"-"&amp;P$3),CoSo1[],Q$38,0),"")</f>
        <v>0</v>
      </c>
      <c r="R13" s="14">
        <f>IFERROR(VLOOKUP(IF(MOD(COLUMN(R13),2)=1,$A13&amp;"-"&amp;R$3,$A13&amp;"-"&amp;Q$3),CoSo1[],R$38,0),"")</f>
        <v>0</v>
      </c>
      <c r="S13" s="14">
        <f>IFERROR(VLOOKUP(IF(MOD(COLUMN(S13),2)=1,$A13&amp;"-"&amp;S$3,$A13&amp;"-"&amp;R$3),CoSo1[],S$38,0),"")</f>
        <v>22</v>
      </c>
      <c r="T13" s="14">
        <f>IFERROR(VLOOKUP(IF(MOD(COLUMN(T13),2)=1,$A13&amp;"-"&amp;T$3,$A13&amp;"-"&amp;S$3),CoSo1[],T$38,0),"")</f>
        <v>1</v>
      </c>
      <c r="U13" s="14">
        <f>IFERROR(VLOOKUP(IF(MOD(COLUMN(U13),2)=1,$A13&amp;"-"&amp;U$3,$A13&amp;"-"&amp;T$3),CoSo1[],U$38,0),"")</f>
        <v>0</v>
      </c>
      <c r="V13" s="14">
        <f>IFERROR(VLOOKUP(IF(MOD(COLUMN(V13),2)=1,$A13&amp;"-"&amp;V$3,$A13&amp;"-"&amp;U$3),CoSo1[],V$38,0),"")</f>
        <v>0</v>
      </c>
      <c r="W13" s="14">
        <f>IFERROR(VLOOKUP(IF(MOD(COLUMN(W13),2)=1,$A13&amp;"-"&amp;W$3,$A13&amp;"-"&amp;V$3),CoSo1[],W$38,0),"")</f>
        <v>0</v>
      </c>
      <c r="X13" s="14">
        <f>IFERROR(VLOOKUP(IF(MOD(COLUMN(X13),2)=1,$A13&amp;"-"&amp;X$3,$A13&amp;"-"&amp;W$3),CoSo1[],X$38,0),"")</f>
        <v>0</v>
      </c>
      <c r="Y13" s="14">
        <f>IFERROR(VLOOKUP(IF(MOD(COLUMN(Y13),2)=1,$A13&amp;"-"&amp;Y$3,$A13&amp;"-"&amp;X$3),CoSo1[],Y$38,0),"")</f>
        <v>0</v>
      </c>
      <c r="Z13" s="14">
        <f>IFERROR(VLOOKUP(IF(MOD(COLUMN(Z13),2)=1,$A13&amp;"-"&amp;Z$3,$A13&amp;"-"&amp;Y$3),CoSo1[],Z$38,0),"")</f>
        <v>0</v>
      </c>
      <c r="AA13" s="14">
        <f>IFERROR(VLOOKUP(IF(MOD(COLUMN(AA13),2)=1,$A13&amp;"-"&amp;AA$3,$A13&amp;"-"&amp;Z$3),CoSo1[],AA$38,0),"")</f>
        <v>0</v>
      </c>
      <c r="AB13" s="14">
        <f>IFERROR(VLOOKUP(IF(MOD(COLUMN(AB13),2)=1,$A13&amp;"-"&amp;AB$3,$A13&amp;"-"&amp;AA$3),CoSo1[],AB$38,0),"")</f>
        <v>0</v>
      </c>
      <c r="AC13" s="11">
        <f t="shared" si="2"/>
        <v>22</v>
      </c>
      <c r="AD13" s="11">
        <f t="shared" si="2"/>
        <v>1</v>
      </c>
      <c r="AE13" s="14"/>
      <c r="AF13" s="14">
        <f>IFERROR(VLOOKUP(IF(MOD(COLUMN(AF13),2)=0,$A13&amp;"-"&amp;AF$3,$A13&amp;"-"&amp;AE$3),CoSo1[],AF$38,0),"")</f>
        <v>0</v>
      </c>
      <c r="AG13" s="14">
        <f>IFERROR(VLOOKUP(IF(MOD(COLUMN(AG13),2)=0,$A13&amp;"-"&amp;AG$3,$A13&amp;"-"&amp;AF$3),CoSo1[],AG$38,0),"")</f>
        <v>0</v>
      </c>
      <c r="AH13" s="14">
        <f>IFERROR(VLOOKUP(IF(MOD(COLUMN(AH13),2)=0,$A13&amp;"-"&amp;AH$3,$A13&amp;"-"&amp;AG$3),CoSo1[],AH$38,0),"")</f>
        <v>0</v>
      </c>
      <c r="AI13" s="14">
        <f>IFERROR(VLOOKUP(IF(MOD(COLUMN(AI13),2)=0,$A13&amp;"-"&amp;AI$3,$A13&amp;"-"&amp;AH$3),CoSo1[],AI$38,0),"")</f>
        <v>0</v>
      </c>
      <c r="AJ13" s="14">
        <f>IFERROR(VLOOKUP(IF(MOD(COLUMN(AJ13),2)=0,$A13&amp;"-"&amp;AJ$3,$A13&amp;"-"&amp;AI$3),CoSo1[],AJ$38,0),"")</f>
        <v>0</v>
      </c>
      <c r="AK13" s="14">
        <f>IFERROR(VLOOKUP(IF(MOD(COLUMN(AK13),2)=0,$A13&amp;"-"&amp;AK$3,$A13&amp;"-"&amp;AJ$3),CoSo1[],AK$38,0),"")</f>
        <v>0</v>
      </c>
      <c r="AL13" s="14">
        <f>IFERROR(VLOOKUP(IF(MOD(COLUMN(AL13),2)=0,$A13&amp;"-"&amp;AL$3,$A13&amp;"-"&amp;AK$3),CoSo1[],AL$38,0),"")</f>
        <v>0</v>
      </c>
      <c r="AM13" s="14">
        <f>IFERROR(VLOOKUP(IF(MOD(COLUMN(AM13),2)=0,$A13&amp;"-"&amp;AM$3,$A13&amp;"-"&amp;AL$3),CoSo1[],AM$38,0),"")</f>
        <v>0</v>
      </c>
      <c r="AN13" s="14">
        <f>IFERROR(VLOOKUP(IF(MOD(COLUMN(AN13),2)=0,$A13&amp;"-"&amp;AN$3,$A13&amp;"-"&amp;AM$3),CoSo1[],AN$38,0),"")</f>
        <v>0</v>
      </c>
      <c r="AO13" s="14">
        <f>IFERROR(VLOOKUP(IF(MOD(COLUMN(AO13),2)=0,$A13&amp;"-"&amp;AO$3,$A13&amp;"-"&amp;AN$3),CoSo1[],AO$38,0),"")</f>
        <v>0</v>
      </c>
      <c r="AP13" s="14">
        <f>IFERROR(VLOOKUP(IF(MOD(COLUMN(AP13),2)=0,$A13&amp;"-"&amp;AP$3,$A13&amp;"-"&amp;AO$3),CoSo1[],AP$38,0),"")</f>
        <v>0</v>
      </c>
      <c r="AQ13" s="14">
        <f>IFERROR(VLOOKUP(IF(MOD(COLUMN(AQ13),2)=0,$A13&amp;"-"&amp;AQ$3,$A13&amp;"-"&amp;AP$3),CoSo1[],AQ$38,0),"")</f>
        <v>0</v>
      </c>
      <c r="AR13" s="11">
        <f t="shared" si="4"/>
        <v>0</v>
      </c>
      <c r="AS13" s="11">
        <f t="shared" si="4"/>
        <v>0</v>
      </c>
      <c r="AT13" s="14"/>
      <c r="AU13" s="14">
        <f>IFERROR(VLOOKUP(IF(MOD(COLUMN(AU13),2)=1,$A13&amp;"-"&amp;AU$3,$A13&amp;"-"&amp;AT$3),CoSo3[],DoanhThuThang!AU$38,0),"")</f>
        <v>127</v>
      </c>
      <c r="AV13" s="14">
        <f>IFERROR(VLOOKUP(IF(MOD(COLUMN(AV13),2)=1,$A13&amp;"-"&amp;AV$3,$A13&amp;"-"&amp;AU$3),CoSo3[],DoanhThuThang!AV$38,0),"")</f>
        <v>3</v>
      </c>
      <c r="AW13" s="14">
        <f>IFERROR(VLOOKUP(IF(MOD(COLUMN(AW13),2)=1,$A13&amp;"-"&amp;AW$3,$A13&amp;"-"&amp;AV$3),CoSo3[],DoanhThuThang!AW$38,0),"")</f>
        <v>296.5</v>
      </c>
      <c r="AX13" s="14">
        <f>IFERROR(VLOOKUP(IF(MOD(COLUMN(AX13),2)=1,$A13&amp;"-"&amp;AX$3,$A13&amp;"-"&amp;AW$3),CoSo3[],DoanhThuThang!AX$38,0),"")</f>
        <v>7</v>
      </c>
      <c r="AY13" s="11">
        <f t="shared" si="7"/>
        <v>423.5</v>
      </c>
      <c r="AZ13" s="11">
        <f t="shared" si="8"/>
        <v>10</v>
      </c>
      <c r="BA13" s="14"/>
      <c r="BB13" s="14">
        <f>IFERROR(VLOOKUP(IF(MOD(COLUMN(BB13),2)=0,$A13&amp;"-"&amp;BB$3,$A13&amp;"-"&amp;BA$3),CoSo3[],DoanhThuThang!BB$38,0),"")</f>
        <v>0</v>
      </c>
      <c r="BC13" s="14">
        <f>IFERROR(VLOOKUP(IF(MOD(COLUMN(BC13),2)=0,$A13&amp;"-"&amp;BC$3,$A13&amp;"-"&amp;BB$3),CoSo3[],DoanhThuThang!BC$38,0),"")</f>
        <v>0</v>
      </c>
      <c r="BD13" s="14">
        <f>IFERROR(VLOOKUP(IF(MOD(COLUMN(BD13),2)=0,$A13&amp;"-"&amp;BD$3,$A13&amp;"-"&amp;BC$3),CoSo3[],DoanhThuThang!BD$38,0),"")</f>
        <v>0</v>
      </c>
      <c r="BE13" s="14">
        <f>IFERROR(VLOOKUP(IF(MOD(COLUMN(BE13),2)=0,$A13&amp;"-"&amp;BE$3,$A13&amp;"-"&amp;BD$3),CoSo3[],DoanhThuThang!BE$38,0),"")</f>
        <v>0</v>
      </c>
      <c r="BF13" s="11">
        <f t="shared" si="9"/>
        <v>0</v>
      </c>
      <c r="BG13" s="11">
        <f t="shared" si="10"/>
        <v>0</v>
      </c>
      <c r="BH13" s="14"/>
      <c r="BI13" s="14">
        <f>IFERROR(VLOOKUP(IF(MOD(COLUMN(BI13),2)=1,$A13&amp;"-"&amp;BI$3,$A13&amp;"-"&amp;BH$3),CoSo4[],DoanhThuThang!BI$38,0),"")</f>
        <v>166</v>
      </c>
      <c r="BJ13" s="14">
        <f>IFERROR(VLOOKUP(IF(MOD(COLUMN(BJ13),2)=1,$A13&amp;"-"&amp;BJ$3,$A13&amp;"-"&amp;BI$3),CoSo4[],DoanhThuThang!BJ$38,0),"")</f>
        <v>4</v>
      </c>
      <c r="BK13" s="14">
        <f>IFERROR(VLOOKUP(IF(MOD(COLUMN(BK13),2)=1,$A13&amp;"-"&amp;BK$3,$A13&amp;"-"&amp;BJ$3),CoSo4[],DoanhThuThang!BK$38,0),"")</f>
        <v>31.5</v>
      </c>
      <c r="BL13" s="14">
        <f>IFERROR(VLOOKUP(IF(MOD(COLUMN(BL13),2)=1,$A13&amp;"-"&amp;BL$3,$A13&amp;"-"&amp;BK$3),CoSo4[],DoanhThuThang!BL$38,0),"")</f>
        <v>1</v>
      </c>
      <c r="BM13" s="11">
        <f t="shared" si="11"/>
        <v>197.5</v>
      </c>
      <c r="BN13" s="11">
        <f t="shared" si="12"/>
        <v>5</v>
      </c>
      <c r="BO13" s="14"/>
      <c r="BP13" s="14">
        <f>IFERROR(VLOOKUP(IF(MOD(COLUMN(BP13),2)=0,$A13&amp;"-"&amp;BP$3,$A13&amp;"-"&amp;BO$3),CoSo4[],DoanhThuThang!BP$38,0),"")</f>
        <v>0</v>
      </c>
      <c r="BQ13" s="14">
        <f>IFERROR(VLOOKUP(IF(MOD(COLUMN(BQ13),2)=0,$A13&amp;"-"&amp;BQ$3,$A13&amp;"-"&amp;BP$3),CoSo4[],DoanhThuThang!BQ$38,0),"")</f>
        <v>0</v>
      </c>
      <c r="BR13" s="14">
        <f>IFERROR(VLOOKUP(IF(MOD(COLUMN(BR13),2)=0,$A13&amp;"-"&amp;BR$3,$A13&amp;"-"&amp;BQ$3),CoSo4[],DoanhThuThang!BR$38,0),"")</f>
        <v>0</v>
      </c>
      <c r="BS13" s="14">
        <f>IFERROR(VLOOKUP(IF(MOD(COLUMN(BS13),2)=0,$A13&amp;"-"&amp;BS$3,$A13&amp;"-"&amp;BR$3),CoSo4[],DoanhThuThang!BS$38,0),"")</f>
        <v>0</v>
      </c>
      <c r="BT13" s="11">
        <f t="shared" si="13"/>
        <v>0</v>
      </c>
      <c r="BU13" s="11">
        <f t="shared" si="14"/>
        <v>0</v>
      </c>
      <c r="BV13" s="103"/>
      <c r="BW13" s="14" t="str">
        <f>IFERROR(VLOOKUP($A13,BanBuon[],DoanhThuThang!BW$38,0),"")</f>
        <v/>
      </c>
      <c r="BX13" s="14" t="str">
        <f>IFERROR(VLOOKUP($A13,BanBuon[],DoanhThuThang!BX$38,0),"")</f>
        <v/>
      </c>
      <c r="BY13" s="14" t="str">
        <f>IFERROR(VLOOKUP($A13,BanBuon[],DoanhThuThang!BY$38,0),"")</f>
        <v/>
      </c>
      <c r="BZ13" s="14" t="str">
        <f>IFERROR(VLOOKUP($A13,BanBuon[],DoanhThuThang!BZ$38,0),"")</f>
        <v/>
      </c>
      <c r="CA13" s="106">
        <f t="shared" si="19"/>
        <v>0</v>
      </c>
      <c r="CB13" s="106">
        <f t="shared" si="17"/>
        <v>0</v>
      </c>
      <c r="CC13" s="14">
        <f>IFERROR(VLOOKUP(IF(MOD(COLUMN(B13),2)=0,$A13&amp;"-"&amp;B$3,$A13&amp;"-"&amp;A$3),CoSo1[],CC$38,0),"")</f>
        <v>0</v>
      </c>
      <c r="CD13" s="14">
        <f>IFERROR(VLOOKUP(IF(MOD(COLUMN(C13),2)=0,$A13&amp;"-"&amp;CD$3,$A13&amp;"-"&amp;CC$3),CoSo1[],CD$38,0),"")</f>
        <v>0</v>
      </c>
      <c r="CE13" s="14">
        <f>IFERROR(VLOOKUP(IF(MOD(COLUMN(D13),2)=0,$A13&amp;"-"&amp;D$3,$A13&amp;"-"&amp;C$3),CoSo1[],CE$38,0),"")</f>
        <v>195</v>
      </c>
      <c r="CF13" s="14">
        <f>IFERROR(VLOOKUP(IF(MOD(COLUMN(E13),2)=0,$A13&amp;"-"&amp;E$3,$A13&amp;"-"&amp;D$3),CoSo1[],CF$38,0),"")</f>
        <v>1</v>
      </c>
      <c r="CG13" s="106">
        <f t="shared" si="20"/>
        <v>195</v>
      </c>
      <c r="CH13" s="106">
        <f t="shared" si="18"/>
        <v>1</v>
      </c>
    </row>
    <row r="14" spans="1:86" x14ac:dyDescent="0.25">
      <c r="A14" s="13">
        <v>9</v>
      </c>
      <c r="B14" s="14">
        <f>IFERROR(VLOOKUP(IF(MOD(COLUMN(B14),2)=0,$A14&amp;"-"&amp;B$3,$A14&amp;"-"&amp;A$3),CoSo1[],B$38,0),"")</f>
        <v>348</v>
      </c>
      <c r="C14" s="14">
        <f>IFERROR(VLOOKUP(IF(MOD(COLUMN(C14),2)=0,$A14&amp;"-"&amp;C$3,$A14&amp;"-"&amp;B$3),CoSo1[],C$38,0),"")</f>
        <v>7</v>
      </c>
      <c r="D14" s="14">
        <f>IFERROR(VLOOKUP(IF(MOD(COLUMN(D14),2)=0,$A14&amp;"-"&amp;D$3,$A14&amp;"-"&amp;C$3),CoSo1[],D$38,0),"")</f>
        <v>329</v>
      </c>
      <c r="E14" s="14">
        <f>IFERROR(VLOOKUP(IF(MOD(COLUMN(E14),2)=0,$A14&amp;"-"&amp;E$3,$A14&amp;"-"&amp;D$3),CoSo1[],E$38,0),"")</f>
        <v>7</v>
      </c>
      <c r="F14" s="14">
        <f>IFERROR(VLOOKUP(IF(MOD(COLUMN(F14),2)=0,$A14&amp;"-"&amp;F$3,$A14&amp;"-"&amp;E$3),CoSo1[],F$38,0),"")</f>
        <v>0</v>
      </c>
      <c r="G14" s="14">
        <f>IFERROR(VLOOKUP(IF(MOD(COLUMN(G14),2)=0,$A14&amp;"-"&amp;G$3,$A14&amp;"-"&amp;F$3),CoSo1[],G$38,0),"")</f>
        <v>0</v>
      </c>
      <c r="H14" s="14">
        <f>IFERROR(VLOOKUP(IF(MOD(COLUMN(H14),2)=0,$A14&amp;"-"&amp;H$3,$A14&amp;"-"&amp;G$3),CoSo1[],H$38,0),"")</f>
        <v>409</v>
      </c>
      <c r="I14" s="14">
        <f>IFERROR(VLOOKUP(IF(MOD(COLUMN(I14),2)=0,$A14&amp;"-"&amp;I$3,$A14&amp;"-"&amp;H$3),CoSo1[],I$38,0),"")</f>
        <v>4</v>
      </c>
      <c r="J14" s="14">
        <f>IFERROR(VLOOKUP(IF(MOD(COLUMN(J14),2)=0,$A14&amp;"-"&amp;J$3,$A14&amp;"-"&amp;I$3),CoSo1[],J$38,0),"")</f>
        <v>0</v>
      </c>
      <c r="K14" s="14">
        <f>IFERROR(VLOOKUP(IF(MOD(COLUMN(K14),2)=0,$A14&amp;"-"&amp;K$3,$A14&amp;"-"&amp;J$3),CoSo1[],K$38,0),"")</f>
        <v>0</v>
      </c>
      <c r="L14" s="14">
        <f>IFERROR(VLOOKUP(IF(MOD(COLUMN(L14),2)=0,$A14&amp;"-"&amp;L$3,$A14&amp;"-"&amp;K$3),CoSo1[],L$38,0),"")</f>
        <v>0</v>
      </c>
      <c r="M14" s="14">
        <f>IFERROR(VLOOKUP(IF(MOD(COLUMN(M14),2)=0,$A14&amp;"-"&amp;M$3,$A14&amp;"-"&amp;L$3),CoSo1[],M$38,0),"")</f>
        <v>0</v>
      </c>
      <c r="N14" s="11">
        <f t="shared" si="15"/>
        <v>1086</v>
      </c>
      <c r="O14" s="11">
        <f t="shared" si="16"/>
        <v>18</v>
      </c>
      <c r="P14" s="14"/>
      <c r="Q14" s="14">
        <f>IFERROR(VLOOKUP(IF(MOD(COLUMN(Q14),2)=1,$A14&amp;"-"&amp;Q$3,$A14&amp;"-"&amp;P$3),CoSo1[],Q$38,0),"")</f>
        <v>0</v>
      </c>
      <c r="R14" s="14">
        <f>IFERROR(VLOOKUP(IF(MOD(COLUMN(R14),2)=1,$A14&amp;"-"&amp;R$3,$A14&amp;"-"&amp;Q$3),CoSo1[],R$38,0),"")</f>
        <v>0</v>
      </c>
      <c r="S14" s="14">
        <f>IFERROR(VLOOKUP(IF(MOD(COLUMN(S14),2)=1,$A14&amp;"-"&amp;S$3,$A14&amp;"-"&amp;R$3),CoSo1[],S$38,0),"")</f>
        <v>0</v>
      </c>
      <c r="T14" s="14">
        <f>IFERROR(VLOOKUP(IF(MOD(COLUMN(T14),2)=1,$A14&amp;"-"&amp;T$3,$A14&amp;"-"&amp;S$3),CoSo1[],T$38,0),"")</f>
        <v>0</v>
      </c>
      <c r="U14" s="14">
        <f>IFERROR(VLOOKUP(IF(MOD(COLUMN(U14),2)=1,$A14&amp;"-"&amp;U$3,$A14&amp;"-"&amp;T$3),CoSo1[],U$38,0),"")</f>
        <v>0</v>
      </c>
      <c r="V14" s="14">
        <f>IFERROR(VLOOKUP(IF(MOD(COLUMN(V14),2)=1,$A14&amp;"-"&amp;V$3,$A14&amp;"-"&amp;U$3),CoSo1[],V$38,0),"")</f>
        <v>0</v>
      </c>
      <c r="W14" s="14">
        <f>IFERROR(VLOOKUP(IF(MOD(COLUMN(W14),2)=1,$A14&amp;"-"&amp;W$3,$A14&amp;"-"&amp;V$3),CoSo1[],W$38,0),"")</f>
        <v>0</v>
      </c>
      <c r="X14" s="14">
        <f>IFERROR(VLOOKUP(IF(MOD(COLUMN(X14),2)=1,$A14&amp;"-"&amp;X$3,$A14&amp;"-"&amp;W$3),CoSo1[],X$38,0),"")</f>
        <v>0</v>
      </c>
      <c r="Y14" s="14">
        <f>IFERROR(VLOOKUP(IF(MOD(COLUMN(Y14),2)=1,$A14&amp;"-"&amp;Y$3,$A14&amp;"-"&amp;X$3),CoSo1[],Y$38,0),"")</f>
        <v>0</v>
      </c>
      <c r="Z14" s="14">
        <f>IFERROR(VLOOKUP(IF(MOD(COLUMN(Z14),2)=1,$A14&amp;"-"&amp;Z$3,$A14&amp;"-"&amp;Y$3),CoSo1[],Z$38,0),"")</f>
        <v>0</v>
      </c>
      <c r="AA14" s="14">
        <f>IFERROR(VLOOKUP(IF(MOD(COLUMN(AA14),2)=1,$A14&amp;"-"&amp;AA$3,$A14&amp;"-"&amp;Z$3),CoSo1[],AA$38,0),"")</f>
        <v>0</v>
      </c>
      <c r="AB14" s="14">
        <f>IFERROR(VLOOKUP(IF(MOD(COLUMN(AB14),2)=1,$A14&amp;"-"&amp;AB$3,$A14&amp;"-"&amp;AA$3),CoSo1[],AB$38,0),"")</f>
        <v>0</v>
      </c>
      <c r="AC14" s="11">
        <f t="shared" si="2"/>
        <v>0</v>
      </c>
      <c r="AD14" s="11">
        <f t="shared" si="2"/>
        <v>0</v>
      </c>
      <c r="AE14" s="14"/>
      <c r="AF14" s="14">
        <f>IFERROR(VLOOKUP(IF(MOD(COLUMN(AF14),2)=0,$A14&amp;"-"&amp;AF$3,$A14&amp;"-"&amp;AE$3),CoSo1[],AF$38,0),"")</f>
        <v>0</v>
      </c>
      <c r="AG14" s="14">
        <f>IFERROR(VLOOKUP(IF(MOD(COLUMN(AG14),2)=0,$A14&amp;"-"&amp;AG$3,$A14&amp;"-"&amp;AF$3),CoSo1[],AG$38,0),"")</f>
        <v>0</v>
      </c>
      <c r="AH14" s="14">
        <f>IFERROR(VLOOKUP(IF(MOD(COLUMN(AH14),2)=0,$A14&amp;"-"&amp;AH$3,$A14&amp;"-"&amp;AG$3),CoSo1[],AH$38,0),"")</f>
        <v>180</v>
      </c>
      <c r="AI14" s="14">
        <f>IFERROR(VLOOKUP(IF(MOD(COLUMN(AI14),2)=0,$A14&amp;"-"&amp;AI$3,$A14&amp;"-"&amp;AH$3),CoSo1[],AI$38,0),"")</f>
        <v>3</v>
      </c>
      <c r="AJ14" s="14">
        <f>IFERROR(VLOOKUP(IF(MOD(COLUMN(AJ14),2)=0,$A14&amp;"-"&amp;AJ$3,$A14&amp;"-"&amp;AI$3),CoSo1[],AJ$38,0),"")</f>
        <v>0</v>
      </c>
      <c r="AK14" s="14">
        <f>IFERROR(VLOOKUP(IF(MOD(COLUMN(AK14),2)=0,$A14&amp;"-"&amp;AK$3,$A14&amp;"-"&amp;AJ$3),CoSo1[],AK$38,0),"")</f>
        <v>0</v>
      </c>
      <c r="AL14" s="14">
        <f>IFERROR(VLOOKUP(IF(MOD(COLUMN(AL14),2)=0,$A14&amp;"-"&amp;AL$3,$A14&amp;"-"&amp;AK$3),CoSo1[],AL$38,0),"")</f>
        <v>0</v>
      </c>
      <c r="AM14" s="14">
        <f>IFERROR(VLOOKUP(IF(MOD(COLUMN(AM14),2)=0,$A14&amp;"-"&amp;AM$3,$A14&amp;"-"&amp;AL$3),CoSo1[],AM$38,0),"")</f>
        <v>0</v>
      </c>
      <c r="AN14" s="14">
        <f>IFERROR(VLOOKUP(IF(MOD(COLUMN(AN14),2)=0,$A14&amp;"-"&amp;AN$3,$A14&amp;"-"&amp;AM$3),CoSo1[],AN$38,0),"")</f>
        <v>0</v>
      </c>
      <c r="AO14" s="14">
        <f>IFERROR(VLOOKUP(IF(MOD(COLUMN(AO14),2)=0,$A14&amp;"-"&amp;AO$3,$A14&amp;"-"&amp;AN$3),CoSo1[],AO$38,0),"")</f>
        <v>0</v>
      </c>
      <c r="AP14" s="14">
        <f>IFERROR(VLOOKUP(IF(MOD(COLUMN(AP14),2)=0,$A14&amp;"-"&amp;AP$3,$A14&amp;"-"&amp;AO$3),CoSo1[],AP$38,0),"")</f>
        <v>0</v>
      </c>
      <c r="AQ14" s="14">
        <f>IFERROR(VLOOKUP(IF(MOD(COLUMN(AQ14),2)=0,$A14&amp;"-"&amp;AQ$3,$A14&amp;"-"&amp;AP$3),CoSo1[],AQ$38,0),"")</f>
        <v>0</v>
      </c>
      <c r="AR14" s="11">
        <f t="shared" si="4"/>
        <v>180</v>
      </c>
      <c r="AS14" s="11">
        <f t="shared" si="4"/>
        <v>3</v>
      </c>
      <c r="AT14" s="14"/>
      <c r="AU14" s="14">
        <f>IFERROR(VLOOKUP(IF(MOD(COLUMN(AU14),2)=1,$A14&amp;"-"&amp;AU$3,$A14&amp;"-"&amp;AT$3),CoSo3[],DoanhThuThang!AU$38,0),"")</f>
        <v>251</v>
      </c>
      <c r="AV14" s="14">
        <f>IFERROR(VLOOKUP(IF(MOD(COLUMN(AV14),2)=1,$A14&amp;"-"&amp;AV$3,$A14&amp;"-"&amp;AU$3),CoSo3[],DoanhThuThang!AV$38,0),"")</f>
        <v>3</v>
      </c>
      <c r="AW14" s="14">
        <f>IFERROR(VLOOKUP(IF(MOD(COLUMN(AW14),2)=1,$A14&amp;"-"&amp;AW$3,$A14&amp;"-"&amp;AV$3),CoSo3[],DoanhThuThang!AW$38,0),"")</f>
        <v>215</v>
      </c>
      <c r="AX14" s="14">
        <f>IFERROR(VLOOKUP(IF(MOD(COLUMN(AX14),2)=1,$A14&amp;"-"&amp;AX$3,$A14&amp;"-"&amp;AW$3),CoSo3[],DoanhThuThang!AX$38,0),"")</f>
        <v>7</v>
      </c>
      <c r="AY14" s="11">
        <f t="shared" si="7"/>
        <v>466</v>
      </c>
      <c r="AZ14" s="11">
        <f t="shared" si="8"/>
        <v>10</v>
      </c>
      <c r="BA14" s="14"/>
      <c r="BB14" s="14">
        <f>IFERROR(VLOOKUP(IF(MOD(COLUMN(BB14),2)=0,$A14&amp;"-"&amp;BB$3,$A14&amp;"-"&amp;BA$3),CoSo3[],DoanhThuThang!BB$38,0),"")</f>
        <v>0</v>
      </c>
      <c r="BC14" s="14">
        <f>IFERROR(VLOOKUP(IF(MOD(COLUMN(BC14),2)=0,$A14&amp;"-"&amp;BC$3,$A14&amp;"-"&amp;BB$3),CoSo3[],DoanhThuThang!BC$38,0),"")</f>
        <v>0</v>
      </c>
      <c r="BD14" s="14">
        <f>IFERROR(VLOOKUP(IF(MOD(COLUMN(BD14),2)=0,$A14&amp;"-"&amp;BD$3,$A14&amp;"-"&amp;BC$3),CoSo3[],DoanhThuThang!BD$38,0),"")</f>
        <v>0</v>
      </c>
      <c r="BE14" s="14">
        <f>IFERROR(VLOOKUP(IF(MOD(COLUMN(BE14),2)=0,$A14&amp;"-"&amp;BE$3,$A14&amp;"-"&amp;BD$3),CoSo3[],DoanhThuThang!BE$38,0),"")</f>
        <v>0</v>
      </c>
      <c r="BF14" s="11">
        <f t="shared" si="9"/>
        <v>0</v>
      </c>
      <c r="BG14" s="11">
        <f t="shared" si="10"/>
        <v>0</v>
      </c>
      <c r="BH14" s="14"/>
      <c r="BI14" s="14">
        <f>IFERROR(VLOOKUP(IF(MOD(COLUMN(BI14),2)=1,$A14&amp;"-"&amp;BI$3,$A14&amp;"-"&amp;BH$3),CoSo4[],DoanhThuThang!BI$38,0),"")</f>
        <v>6</v>
      </c>
      <c r="BJ14" s="14">
        <f>IFERROR(VLOOKUP(IF(MOD(COLUMN(BJ14),2)=1,$A14&amp;"-"&amp;BJ$3,$A14&amp;"-"&amp;BI$3),CoSo4[],DoanhThuThang!BJ$38,0),"")</f>
        <v>1</v>
      </c>
      <c r="BK14" s="14">
        <f>IFERROR(VLOOKUP(IF(MOD(COLUMN(BK14),2)=1,$A14&amp;"-"&amp;BK$3,$A14&amp;"-"&amp;BJ$3),CoSo4[],DoanhThuThang!BK$38,0),"")</f>
        <v>208</v>
      </c>
      <c r="BL14" s="14">
        <f>IFERROR(VLOOKUP(IF(MOD(COLUMN(BL14),2)=1,$A14&amp;"-"&amp;BL$3,$A14&amp;"-"&amp;BK$3),CoSo4[],DoanhThuThang!BL$38,0),"")</f>
        <v>5</v>
      </c>
      <c r="BM14" s="11">
        <f t="shared" si="11"/>
        <v>214</v>
      </c>
      <c r="BN14" s="11">
        <f t="shared" si="12"/>
        <v>6</v>
      </c>
      <c r="BO14" s="14"/>
      <c r="BP14" s="14">
        <f>IFERROR(VLOOKUP(IF(MOD(COLUMN(BP14),2)=0,$A14&amp;"-"&amp;BP$3,$A14&amp;"-"&amp;BO$3),CoSo4[],DoanhThuThang!BP$38,0),"")</f>
        <v>0</v>
      </c>
      <c r="BQ14" s="14">
        <f>IFERROR(VLOOKUP(IF(MOD(COLUMN(BQ14),2)=0,$A14&amp;"-"&amp;BQ$3,$A14&amp;"-"&amp;BP$3),CoSo4[],DoanhThuThang!BQ$38,0),"")</f>
        <v>0</v>
      </c>
      <c r="BR14" s="14">
        <f>IFERROR(VLOOKUP(IF(MOD(COLUMN(BR14),2)=0,$A14&amp;"-"&amp;BR$3,$A14&amp;"-"&amp;BQ$3),CoSo4[],DoanhThuThang!BR$38,0),"")</f>
        <v>0</v>
      </c>
      <c r="BS14" s="14">
        <f>IFERROR(VLOOKUP(IF(MOD(COLUMN(BS14),2)=0,$A14&amp;"-"&amp;BS$3,$A14&amp;"-"&amp;BR$3),CoSo4[],DoanhThuThang!BS$38,0),"")</f>
        <v>0</v>
      </c>
      <c r="BT14" s="11">
        <f t="shared" si="13"/>
        <v>0</v>
      </c>
      <c r="BU14" s="11">
        <f t="shared" si="14"/>
        <v>0</v>
      </c>
      <c r="BV14" s="103"/>
      <c r="BW14" s="14" t="str">
        <f>IFERROR(VLOOKUP($A14,BanBuon[],DoanhThuThang!BW$38,0),"")</f>
        <v/>
      </c>
      <c r="BX14" s="14" t="str">
        <f>IFERROR(VLOOKUP($A14,BanBuon[],DoanhThuThang!BX$38,0),"")</f>
        <v/>
      </c>
      <c r="BY14" s="14" t="str">
        <f>IFERROR(VLOOKUP($A14,BanBuon[],DoanhThuThang!BY$38,0),"")</f>
        <v/>
      </c>
      <c r="BZ14" s="14" t="str">
        <f>IFERROR(VLOOKUP($A14,BanBuon[],DoanhThuThang!BZ$38,0),"")</f>
        <v/>
      </c>
      <c r="CA14" s="106">
        <f t="shared" si="19"/>
        <v>0</v>
      </c>
      <c r="CB14" s="106">
        <f t="shared" si="17"/>
        <v>0</v>
      </c>
      <c r="CC14" s="14">
        <f>IFERROR(VLOOKUP(IF(MOD(COLUMN(B14),2)=0,$A14&amp;"-"&amp;B$3,$A14&amp;"-"&amp;A$3),CoSo1[],CC$38,0),"")</f>
        <v>890</v>
      </c>
      <c r="CD14" s="14">
        <f>IFERROR(VLOOKUP(IF(MOD(COLUMN(C14),2)=0,$A14&amp;"-"&amp;CD$3,$A14&amp;"-"&amp;CC$3),CoSo1[],CD$38,0),"")</f>
        <v>7</v>
      </c>
      <c r="CE14" s="14">
        <f>IFERROR(VLOOKUP(IF(MOD(COLUMN(D14),2)=0,$A14&amp;"-"&amp;D$3,$A14&amp;"-"&amp;C$3),CoSo1[],CE$38,0),"")</f>
        <v>1145</v>
      </c>
      <c r="CF14" s="14">
        <f>IFERROR(VLOOKUP(IF(MOD(COLUMN(E14),2)=0,$A14&amp;"-"&amp;E$3,$A14&amp;"-"&amp;D$3),CoSo1[],CF$38,0),"")</f>
        <v>12</v>
      </c>
      <c r="CG14" s="106">
        <f t="shared" si="20"/>
        <v>2035</v>
      </c>
      <c r="CH14" s="106">
        <f t="shared" si="18"/>
        <v>19</v>
      </c>
    </row>
    <row r="15" spans="1:86" x14ac:dyDescent="0.25">
      <c r="A15" s="13">
        <v>10</v>
      </c>
      <c r="B15" s="14">
        <f>IFERROR(VLOOKUP(IF(MOD(COLUMN(B15),2)=0,$A15&amp;"-"&amp;B$3,$A15&amp;"-"&amp;A$3),CoSo1[],B$38,0),"")</f>
        <v>279</v>
      </c>
      <c r="C15" s="14">
        <f>IFERROR(VLOOKUP(IF(MOD(COLUMN(C15),2)=0,$A15&amp;"-"&amp;C$3,$A15&amp;"-"&amp;B$3),CoSo1[],C$38,0),"")</f>
        <v>3</v>
      </c>
      <c r="D15" s="14">
        <f>IFERROR(VLOOKUP(IF(MOD(COLUMN(D15),2)=0,$A15&amp;"-"&amp;D$3,$A15&amp;"-"&amp;C$3),CoSo1[],D$38,0),"")</f>
        <v>876</v>
      </c>
      <c r="E15" s="14">
        <f>IFERROR(VLOOKUP(IF(MOD(COLUMN(E15),2)=0,$A15&amp;"-"&amp;E$3,$A15&amp;"-"&amp;D$3),CoSo1[],E$38,0),"")</f>
        <v>8</v>
      </c>
      <c r="F15" s="14">
        <f>IFERROR(VLOOKUP(IF(MOD(COLUMN(F15),2)=0,$A15&amp;"-"&amp;F$3,$A15&amp;"-"&amp;E$3),CoSo1[],F$38,0),"")</f>
        <v>0</v>
      </c>
      <c r="G15" s="14">
        <f>IFERROR(VLOOKUP(IF(MOD(COLUMN(G15),2)=0,$A15&amp;"-"&amp;G$3,$A15&amp;"-"&amp;F$3),CoSo1[],G$38,0),"")</f>
        <v>0</v>
      </c>
      <c r="H15" s="14">
        <f>IFERROR(VLOOKUP(IF(MOD(COLUMN(H15),2)=0,$A15&amp;"-"&amp;H$3,$A15&amp;"-"&amp;G$3),CoSo1[],H$38,0),"")</f>
        <v>261</v>
      </c>
      <c r="I15" s="14">
        <f>IFERROR(VLOOKUP(IF(MOD(COLUMN(I15),2)=0,$A15&amp;"-"&amp;I$3,$A15&amp;"-"&amp;H$3),CoSo1[],I$38,0),"")</f>
        <v>3</v>
      </c>
      <c r="J15" s="14">
        <f>IFERROR(VLOOKUP(IF(MOD(COLUMN(J15),2)=0,$A15&amp;"-"&amp;J$3,$A15&amp;"-"&amp;I$3),CoSo1[],J$38,0),"")</f>
        <v>0</v>
      </c>
      <c r="K15" s="14">
        <f>IFERROR(VLOOKUP(IF(MOD(COLUMN(K15),2)=0,$A15&amp;"-"&amp;K$3,$A15&amp;"-"&amp;J$3),CoSo1[],K$38,0),"")</f>
        <v>0</v>
      </c>
      <c r="L15" s="14">
        <f>IFERROR(VLOOKUP(IF(MOD(COLUMN(L15),2)=0,$A15&amp;"-"&amp;L$3,$A15&amp;"-"&amp;K$3),CoSo1[],L$38,0),"")</f>
        <v>420</v>
      </c>
      <c r="M15" s="14">
        <f>IFERROR(VLOOKUP(IF(MOD(COLUMN(M15),2)=0,$A15&amp;"-"&amp;M$3,$A15&amp;"-"&amp;L$3),CoSo1[],M$38,0),"")</f>
        <v>2</v>
      </c>
      <c r="N15" s="11">
        <f t="shared" si="15"/>
        <v>1836</v>
      </c>
      <c r="O15" s="11">
        <f t="shared" si="16"/>
        <v>16</v>
      </c>
      <c r="P15" s="14"/>
      <c r="Q15" s="14">
        <f>IFERROR(VLOOKUP(IF(MOD(COLUMN(Q15),2)=1,$A15&amp;"-"&amp;Q$3,$A15&amp;"-"&amp;P$3),CoSo1[],Q$38,0),"")</f>
        <v>50</v>
      </c>
      <c r="R15" s="14">
        <f>IFERROR(VLOOKUP(IF(MOD(COLUMN(R15),2)=1,$A15&amp;"-"&amp;R$3,$A15&amp;"-"&amp;Q$3),CoSo1[],R$38,0),"")</f>
        <v>1</v>
      </c>
      <c r="S15" s="14">
        <f>IFERROR(VLOOKUP(IF(MOD(COLUMN(S15),2)=1,$A15&amp;"-"&amp;S$3,$A15&amp;"-"&amp;R$3),CoSo1[],S$38,0),"")</f>
        <v>40</v>
      </c>
      <c r="T15" s="14">
        <f>IFERROR(VLOOKUP(IF(MOD(COLUMN(T15),2)=1,$A15&amp;"-"&amp;T$3,$A15&amp;"-"&amp;S$3),CoSo1[],T$38,0),"")</f>
        <v>1</v>
      </c>
      <c r="U15" s="14">
        <f>IFERROR(VLOOKUP(IF(MOD(COLUMN(U15),2)=1,$A15&amp;"-"&amp;U$3,$A15&amp;"-"&amp;T$3),CoSo1[],U$38,0),"")</f>
        <v>0</v>
      </c>
      <c r="V15" s="14">
        <f>IFERROR(VLOOKUP(IF(MOD(COLUMN(V15),2)=1,$A15&amp;"-"&amp;V$3,$A15&amp;"-"&amp;U$3),CoSo1[],V$38,0),"")</f>
        <v>0</v>
      </c>
      <c r="W15" s="14">
        <f>IFERROR(VLOOKUP(IF(MOD(COLUMN(W15),2)=1,$A15&amp;"-"&amp;W$3,$A15&amp;"-"&amp;V$3),CoSo1[],W$38,0),"")</f>
        <v>0</v>
      </c>
      <c r="X15" s="14">
        <f>IFERROR(VLOOKUP(IF(MOD(COLUMN(X15),2)=1,$A15&amp;"-"&amp;X$3,$A15&amp;"-"&amp;W$3),CoSo1[],X$38,0),"")</f>
        <v>0</v>
      </c>
      <c r="Y15" s="14">
        <f>IFERROR(VLOOKUP(IF(MOD(COLUMN(Y15),2)=1,$A15&amp;"-"&amp;Y$3,$A15&amp;"-"&amp;X$3),CoSo1[],Y$38,0),"")</f>
        <v>0</v>
      </c>
      <c r="Z15" s="14">
        <f>IFERROR(VLOOKUP(IF(MOD(COLUMN(Z15),2)=1,$A15&amp;"-"&amp;Z$3,$A15&amp;"-"&amp;Y$3),CoSo1[],Z$38,0),"")</f>
        <v>0</v>
      </c>
      <c r="AA15" s="14">
        <f>IFERROR(VLOOKUP(IF(MOD(COLUMN(AA15),2)=1,$A15&amp;"-"&amp;AA$3,$A15&amp;"-"&amp;Z$3),CoSo1[],AA$38,0),"")</f>
        <v>0</v>
      </c>
      <c r="AB15" s="14">
        <f>IFERROR(VLOOKUP(IF(MOD(COLUMN(AB15),2)=1,$A15&amp;"-"&amp;AB$3,$A15&amp;"-"&amp;AA$3),CoSo1[],AB$38,0),"")</f>
        <v>0</v>
      </c>
      <c r="AC15" s="11">
        <f t="shared" si="2"/>
        <v>90</v>
      </c>
      <c r="AD15" s="11">
        <f t="shared" si="2"/>
        <v>2</v>
      </c>
      <c r="AE15" s="14"/>
      <c r="AF15" s="14">
        <f>IFERROR(VLOOKUP(IF(MOD(COLUMN(AF15),2)=0,$A15&amp;"-"&amp;AF$3,$A15&amp;"-"&amp;AE$3),CoSo1[],AF$38,0),"")</f>
        <v>35</v>
      </c>
      <c r="AG15" s="14">
        <f>IFERROR(VLOOKUP(IF(MOD(COLUMN(AG15),2)=0,$A15&amp;"-"&amp;AG$3,$A15&amp;"-"&amp;AF$3),CoSo1[],AG$38,0),"")</f>
        <v>1</v>
      </c>
      <c r="AH15" s="14">
        <f>IFERROR(VLOOKUP(IF(MOD(COLUMN(AH15),2)=0,$A15&amp;"-"&amp;AH$3,$A15&amp;"-"&amp;AG$3),CoSo1[],AH$38,0),"")</f>
        <v>0</v>
      </c>
      <c r="AI15" s="14">
        <f>IFERROR(VLOOKUP(IF(MOD(COLUMN(AI15),2)=0,$A15&amp;"-"&amp;AI$3,$A15&amp;"-"&amp;AH$3),CoSo1[],AI$38,0),"")</f>
        <v>0</v>
      </c>
      <c r="AJ15" s="14">
        <f>IFERROR(VLOOKUP(IF(MOD(COLUMN(AJ15),2)=0,$A15&amp;"-"&amp;AJ$3,$A15&amp;"-"&amp;AI$3),CoSo1[],AJ$38,0),"")</f>
        <v>0</v>
      </c>
      <c r="AK15" s="14">
        <f>IFERROR(VLOOKUP(IF(MOD(COLUMN(AK15),2)=0,$A15&amp;"-"&amp;AK$3,$A15&amp;"-"&amp;AJ$3),CoSo1[],AK$38,0),"")</f>
        <v>0</v>
      </c>
      <c r="AL15" s="14">
        <f>IFERROR(VLOOKUP(IF(MOD(COLUMN(AL15),2)=0,$A15&amp;"-"&amp;AL$3,$A15&amp;"-"&amp;AK$3),CoSo1[],AL$38,0),"")</f>
        <v>0</v>
      </c>
      <c r="AM15" s="14">
        <f>IFERROR(VLOOKUP(IF(MOD(COLUMN(AM15),2)=0,$A15&amp;"-"&amp;AM$3,$A15&amp;"-"&amp;AL$3),CoSo1[],AM$38,0),"")</f>
        <v>0</v>
      </c>
      <c r="AN15" s="14">
        <f>IFERROR(VLOOKUP(IF(MOD(COLUMN(AN15),2)=0,$A15&amp;"-"&amp;AN$3,$A15&amp;"-"&amp;AM$3),CoSo1[],AN$38,0),"")</f>
        <v>0</v>
      </c>
      <c r="AO15" s="14">
        <f>IFERROR(VLOOKUP(IF(MOD(COLUMN(AO15),2)=0,$A15&amp;"-"&amp;AO$3,$A15&amp;"-"&amp;AN$3),CoSo1[],AO$38,0),"")</f>
        <v>0</v>
      </c>
      <c r="AP15" s="14">
        <f>IFERROR(VLOOKUP(IF(MOD(COLUMN(AP15),2)=0,$A15&amp;"-"&amp;AP$3,$A15&amp;"-"&amp;AO$3),CoSo1[],AP$38,0),"")</f>
        <v>0</v>
      </c>
      <c r="AQ15" s="14">
        <f>IFERROR(VLOOKUP(IF(MOD(COLUMN(AQ15),2)=0,$A15&amp;"-"&amp;AQ$3,$A15&amp;"-"&amp;AP$3),CoSo1[],AQ$38,0),"")</f>
        <v>0</v>
      </c>
      <c r="AR15" s="11">
        <f t="shared" si="4"/>
        <v>35</v>
      </c>
      <c r="AS15" s="11">
        <f t="shared" si="4"/>
        <v>1</v>
      </c>
      <c r="AT15" s="14"/>
      <c r="AU15" s="14">
        <f>IFERROR(VLOOKUP(IF(MOD(COLUMN(AU15),2)=1,$A15&amp;"-"&amp;AU$3,$A15&amp;"-"&amp;AT$3),CoSo3[],DoanhThuThang!AU$38,0),"")</f>
        <v>293</v>
      </c>
      <c r="AV15" s="14">
        <f>IFERROR(VLOOKUP(IF(MOD(COLUMN(AV15),2)=1,$A15&amp;"-"&amp;AV$3,$A15&amp;"-"&amp;AU$3),CoSo3[],DoanhThuThang!AV$38,0),"")</f>
        <v>4</v>
      </c>
      <c r="AW15" s="14">
        <f>IFERROR(VLOOKUP(IF(MOD(COLUMN(AW15),2)=1,$A15&amp;"-"&amp;AW$3,$A15&amp;"-"&amp;AV$3),CoSo3[],DoanhThuThang!AW$38,0),"")</f>
        <v>170</v>
      </c>
      <c r="AX15" s="14">
        <f>IFERROR(VLOOKUP(IF(MOD(COLUMN(AX15),2)=1,$A15&amp;"-"&amp;AX$3,$A15&amp;"-"&amp;AW$3),CoSo3[],DoanhThuThang!AX$38,0),"")</f>
        <v>3</v>
      </c>
      <c r="AY15" s="11">
        <f t="shared" si="7"/>
        <v>463</v>
      </c>
      <c r="AZ15" s="11">
        <f t="shared" si="8"/>
        <v>7</v>
      </c>
      <c r="BA15" s="14"/>
      <c r="BB15" s="14">
        <f>IFERROR(VLOOKUP(IF(MOD(COLUMN(BB15),2)=0,$A15&amp;"-"&amp;BB$3,$A15&amp;"-"&amp;BA$3),CoSo3[],DoanhThuThang!BB$38,0),"")</f>
        <v>0</v>
      </c>
      <c r="BC15" s="14">
        <f>IFERROR(VLOOKUP(IF(MOD(COLUMN(BC15),2)=0,$A15&amp;"-"&amp;BC$3,$A15&amp;"-"&amp;BB$3),CoSo3[],DoanhThuThang!BC$38,0),"")</f>
        <v>0</v>
      </c>
      <c r="BD15" s="14">
        <f>IFERROR(VLOOKUP(IF(MOD(COLUMN(BD15),2)=0,$A15&amp;"-"&amp;BD$3,$A15&amp;"-"&amp;BC$3),CoSo3[],DoanhThuThang!BD$38,0),"")</f>
        <v>0</v>
      </c>
      <c r="BE15" s="14">
        <f>IFERROR(VLOOKUP(IF(MOD(COLUMN(BE15),2)=0,$A15&amp;"-"&amp;BE$3,$A15&amp;"-"&amp;BD$3),CoSo3[],DoanhThuThang!BE$38,0),"")</f>
        <v>0</v>
      </c>
      <c r="BF15" s="11">
        <f t="shared" si="9"/>
        <v>0</v>
      </c>
      <c r="BG15" s="11">
        <f t="shared" si="10"/>
        <v>0</v>
      </c>
      <c r="BH15" s="14"/>
      <c r="BI15" s="14">
        <f>IFERROR(VLOOKUP(IF(MOD(COLUMN(BI15),2)=1,$A15&amp;"-"&amp;BI$3,$A15&amp;"-"&amp;BH$3),CoSo4[],DoanhThuThang!BI$38,0),"")</f>
        <v>0</v>
      </c>
      <c r="BJ15" s="14">
        <f>IFERROR(VLOOKUP(IF(MOD(COLUMN(BJ15),2)=1,$A15&amp;"-"&amp;BJ$3,$A15&amp;"-"&amp;BI$3),CoSo4[],DoanhThuThang!BJ$38,0),"")</f>
        <v>0</v>
      </c>
      <c r="BK15" s="14">
        <f>IFERROR(VLOOKUP(IF(MOD(COLUMN(BK15),2)=1,$A15&amp;"-"&amp;BK$3,$A15&amp;"-"&amp;BJ$3),CoSo4[],DoanhThuThang!BK$38,0),"")</f>
        <v>234</v>
      </c>
      <c r="BL15" s="14">
        <f>IFERROR(VLOOKUP(IF(MOD(COLUMN(BL15),2)=1,$A15&amp;"-"&amp;BL$3,$A15&amp;"-"&amp;BK$3),CoSo4[],DoanhThuThang!BL$38,0),"")</f>
        <v>4</v>
      </c>
      <c r="BM15" s="11">
        <f t="shared" si="11"/>
        <v>234</v>
      </c>
      <c r="BN15" s="11">
        <f t="shared" si="12"/>
        <v>4</v>
      </c>
      <c r="BO15" s="14"/>
      <c r="BP15" s="14">
        <f>IFERROR(VLOOKUP(IF(MOD(COLUMN(BP15),2)=0,$A15&amp;"-"&amp;BP$3,$A15&amp;"-"&amp;BO$3),CoSo4[],DoanhThuThang!BP$38,0),"")</f>
        <v>0</v>
      </c>
      <c r="BQ15" s="14">
        <f>IFERROR(VLOOKUP(IF(MOD(COLUMN(BQ15),2)=0,$A15&amp;"-"&amp;BQ$3,$A15&amp;"-"&amp;BP$3),CoSo4[],DoanhThuThang!BQ$38,0),"")</f>
        <v>0</v>
      </c>
      <c r="BR15" s="14">
        <f>IFERROR(VLOOKUP(IF(MOD(COLUMN(BR15),2)=0,$A15&amp;"-"&amp;BR$3,$A15&amp;"-"&amp;BQ$3),CoSo4[],DoanhThuThang!BR$38,0),"")</f>
        <v>0</v>
      </c>
      <c r="BS15" s="14">
        <f>IFERROR(VLOOKUP(IF(MOD(COLUMN(BS15),2)=0,$A15&amp;"-"&amp;BS$3,$A15&amp;"-"&amp;BR$3),CoSo4[],DoanhThuThang!BS$38,0),"")</f>
        <v>0</v>
      </c>
      <c r="BT15" s="11">
        <f t="shared" si="13"/>
        <v>0</v>
      </c>
      <c r="BU15" s="11">
        <f t="shared" si="14"/>
        <v>0</v>
      </c>
      <c r="BV15" s="103"/>
      <c r="BW15" s="14" t="str">
        <f>IFERROR(VLOOKUP($A15,BanBuon[],DoanhThuThang!BW$38,0),"")</f>
        <v/>
      </c>
      <c r="BX15" s="14" t="str">
        <f>IFERROR(VLOOKUP($A15,BanBuon[],DoanhThuThang!BX$38,0),"")</f>
        <v/>
      </c>
      <c r="BY15" s="14" t="str">
        <f>IFERROR(VLOOKUP($A15,BanBuon[],DoanhThuThang!BY$38,0),"")</f>
        <v/>
      </c>
      <c r="BZ15" s="14" t="str">
        <f>IFERROR(VLOOKUP($A15,BanBuon[],DoanhThuThang!BZ$38,0),"")</f>
        <v/>
      </c>
      <c r="CA15" s="106">
        <f t="shared" si="19"/>
        <v>0</v>
      </c>
      <c r="CB15" s="106">
        <f t="shared" si="17"/>
        <v>0</v>
      </c>
      <c r="CC15" s="14">
        <f>IFERROR(VLOOKUP(IF(MOD(COLUMN(B15),2)=0,$A15&amp;"-"&amp;B$3,$A15&amp;"-"&amp;A$3),CoSo1[],CC$38,0),"")</f>
        <v>650</v>
      </c>
      <c r="CD15" s="14">
        <f>IFERROR(VLOOKUP(IF(MOD(COLUMN(C15),2)=0,$A15&amp;"-"&amp;CD$3,$A15&amp;"-"&amp;CC$3),CoSo1[],CD$38,0),"")</f>
        <v>13</v>
      </c>
      <c r="CE15" s="14">
        <f>IFERROR(VLOOKUP(IF(MOD(COLUMN(D15),2)=0,$A15&amp;"-"&amp;D$3,$A15&amp;"-"&amp;C$3),CoSo1[],CE$38,0),"")</f>
        <v>1740</v>
      </c>
      <c r="CF15" s="14">
        <f>IFERROR(VLOOKUP(IF(MOD(COLUMN(E15),2)=0,$A15&amp;"-"&amp;E$3,$A15&amp;"-"&amp;D$3),CoSo1[],CF$38,0),"")</f>
        <v>18</v>
      </c>
      <c r="CG15" s="106">
        <f t="shared" si="20"/>
        <v>2390</v>
      </c>
      <c r="CH15" s="106">
        <f t="shared" si="18"/>
        <v>31</v>
      </c>
    </row>
    <row r="16" spans="1:86" x14ac:dyDescent="0.25">
      <c r="A16" s="13">
        <v>11</v>
      </c>
      <c r="B16" s="14">
        <f>IFERROR(VLOOKUP(IF(MOD(COLUMN(B16),2)=0,$A16&amp;"-"&amp;B$3,$A16&amp;"-"&amp;A$3),CoSo1[],B$38,0),"")</f>
        <v>531</v>
      </c>
      <c r="C16" s="14">
        <f>IFERROR(VLOOKUP(IF(MOD(COLUMN(C16),2)=0,$A16&amp;"-"&amp;C$3,$A16&amp;"-"&amp;B$3),CoSo1[],C$38,0),"")</f>
        <v>7</v>
      </c>
      <c r="D16" s="14">
        <f>IFERROR(VLOOKUP(IF(MOD(COLUMN(D16),2)=0,$A16&amp;"-"&amp;D$3,$A16&amp;"-"&amp;C$3),CoSo1[],D$38,0),"")</f>
        <v>298</v>
      </c>
      <c r="E16" s="14">
        <f>IFERROR(VLOOKUP(IF(MOD(COLUMN(E16),2)=0,$A16&amp;"-"&amp;E$3,$A16&amp;"-"&amp;D$3),CoSo1[],E$38,0),"")</f>
        <v>8</v>
      </c>
      <c r="F16" s="14">
        <f>IFERROR(VLOOKUP(IF(MOD(COLUMN(F16),2)=0,$A16&amp;"-"&amp;F$3,$A16&amp;"-"&amp;E$3),CoSo1[],F$38,0),"")</f>
        <v>128</v>
      </c>
      <c r="G16" s="14">
        <f>IFERROR(VLOOKUP(IF(MOD(COLUMN(G16),2)=0,$A16&amp;"-"&amp;G$3,$A16&amp;"-"&amp;F$3),CoSo1[],G$38,0),"")</f>
        <v>1</v>
      </c>
      <c r="H16" s="14">
        <f>IFERROR(VLOOKUP(IF(MOD(COLUMN(H16),2)=0,$A16&amp;"-"&amp;H$3,$A16&amp;"-"&amp;G$3),CoSo1[],H$38,0),"")</f>
        <v>200</v>
      </c>
      <c r="I16" s="14">
        <f>IFERROR(VLOOKUP(IF(MOD(COLUMN(I16),2)=0,$A16&amp;"-"&amp;I$3,$A16&amp;"-"&amp;H$3),CoSo1[],I$38,0),"")</f>
        <v>3</v>
      </c>
      <c r="J16" s="14">
        <f>IFERROR(VLOOKUP(IF(MOD(COLUMN(J16),2)=0,$A16&amp;"-"&amp;J$3,$A16&amp;"-"&amp;I$3),CoSo1[],J$38,0),"")</f>
        <v>0</v>
      </c>
      <c r="K16" s="14">
        <f>IFERROR(VLOOKUP(IF(MOD(COLUMN(K16),2)=0,$A16&amp;"-"&amp;K$3,$A16&amp;"-"&amp;J$3),CoSo1[],K$38,0),"")</f>
        <v>0</v>
      </c>
      <c r="L16" s="14">
        <f>IFERROR(VLOOKUP(IF(MOD(COLUMN(L16),2)=0,$A16&amp;"-"&amp;L$3,$A16&amp;"-"&amp;K$3),CoSo1[],L$38,0),"")</f>
        <v>0</v>
      </c>
      <c r="M16" s="14">
        <f>IFERROR(VLOOKUP(IF(MOD(COLUMN(M16),2)=0,$A16&amp;"-"&amp;M$3,$A16&amp;"-"&amp;L$3),CoSo1[],M$38,0),"")</f>
        <v>0</v>
      </c>
      <c r="N16" s="11">
        <f t="shared" si="15"/>
        <v>1157</v>
      </c>
      <c r="O16" s="11">
        <f t="shared" si="16"/>
        <v>19</v>
      </c>
      <c r="P16" s="14"/>
      <c r="Q16" s="14">
        <f>IFERROR(VLOOKUP(IF(MOD(COLUMN(Q16),2)=1,$A16&amp;"-"&amp;Q$3,$A16&amp;"-"&amp;P$3),CoSo1[],Q$38,0),"")</f>
        <v>59</v>
      </c>
      <c r="R16" s="14">
        <f>IFERROR(VLOOKUP(IF(MOD(COLUMN(R16),2)=1,$A16&amp;"-"&amp;R$3,$A16&amp;"-"&amp;Q$3),CoSo1[],R$38,0),"")</f>
        <v>1</v>
      </c>
      <c r="S16" s="14">
        <f>IFERROR(VLOOKUP(IF(MOD(COLUMN(S16),2)=1,$A16&amp;"-"&amp;S$3,$A16&amp;"-"&amp;R$3),CoSo1[],S$38,0),"")</f>
        <v>0</v>
      </c>
      <c r="T16" s="14">
        <f>IFERROR(VLOOKUP(IF(MOD(COLUMN(T16),2)=1,$A16&amp;"-"&amp;T$3,$A16&amp;"-"&amp;S$3),CoSo1[],T$38,0),"")</f>
        <v>0</v>
      </c>
      <c r="U16" s="14">
        <f>IFERROR(VLOOKUP(IF(MOD(COLUMN(U16),2)=1,$A16&amp;"-"&amp;U$3,$A16&amp;"-"&amp;T$3),CoSo1[],U$38,0),"")</f>
        <v>0</v>
      </c>
      <c r="V16" s="14">
        <f>IFERROR(VLOOKUP(IF(MOD(COLUMN(V16),2)=1,$A16&amp;"-"&amp;V$3,$A16&amp;"-"&amp;U$3),CoSo1[],V$38,0),"")</f>
        <v>0</v>
      </c>
      <c r="W16" s="14">
        <f>IFERROR(VLOOKUP(IF(MOD(COLUMN(W16),2)=1,$A16&amp;"-"&amp;W$3,$A16&amp;"-"&amp;V$3),CoSo1[],W$38,0),"")</f>
        <v>0</v>
      </c>
      <c r="X16" s="14">
        <f>IFERROR(VLOOKUP(IF(MOD(COLUMN(X16),2)=1,$A16&amp;"-"&amp;X$3,$A16&amp;"-"&amp;W$3),CoSo1[],X$38,0),"")</f>
        <v>0</v>
      </c>
      <c r="Y16" s="14">
        <f>IFERROR(VLOOKUP(IF(MOD(COLUMN(Y16),2)=1,$A16&amp;"-"&amp;Y$3,$A16&amp;"-"&amp;X$3),CoSo1[],Y$38,0),"")</f>
        <v>0</v>
      </c>
      <c r="Z16" s="14">
        <f>IFERROR(VLOOKUP(IF(MOD(COLUMN(Z16),2)=1,$A16&amp;"-"&amp;Z$3,$A16&amp;"-"&amp;Y$3),CoSo1[],Z$38,0),"")</f>
        <v>0</v>
      </c>
      <c r="AA16" s="14">
        <f>IFERROR(VLOOKUP(IF(MOD(COLUMN(AA16),2)=1,$A16&amp;"-"&amp;AA$3,$A16&amp;"-"&amp;Z$3),CoSo1[],AA$38,0),"")</f>
        <v>0</v>
      </c>
      <c r="AB16" s="14">
        <f>IFERROR(VLOOKUP(IF(MOD(COLUMN(AB16),2)=1,$A16&amp;"-"&amp;AB$3,$A16&amp;"-"&amp;AA$3),CoSo1[],AB$38,0),"")</f>
        <v>0</v>
      </c>
      <c r="AC16" s="11">
        <f t="shared" si="2"/>
        <v>59</v>
      </c>
      <c r="AD16" s="11">
        <f t="shared" si="2"/>
        <v>1</v>
      </c>
      <c r="AE16" s="14"/>
      <c r="AF16" s="14">
        <f>IFERROR(VLOOKUP(IF(MOD(COLUMN(AF16),2)=0,$A16&amp;"-"&amp;AF$3,$A16&amp;"-"&amp;AE$3),CoSo1[],AF$38,0),"")</f>
        <v>100</v>
      </c>
      <c r="AG16" s="14">
        <f>IFERROR(VLOOKUP(IF(MOD(COLUMN(AG16),2)=0,$A16&amp;"-"&amp;AG$3,$A16&amp;"-"&amp;AF$3),CoSo1[],AG$38,0),"")</f>
        <v>1</v>
      </c>
      <c r="AH16" s="14">
        <f>IFERROR(VLOOKUP(IF(MOD(COLUMN(AH16),2)=0,$A16&amp;"-"&amp;AH$3,$A16&amp;"-"&amp;AG$3),CoSo1[],AH$38,0),"")</f>
        <v>70</v>
      </c>
      <c r="AI16" s="14">
        <f>IFERROR(VLOOKUP(IF(MOD(COLUMN(AI16),2)=0,$A16&amp;"-"&amp;AI$3,$A16&amp;"-"&amp;AH$3),CoSo1[],AI$38,0),"")</f>
        <v>1</v>
      </c>
      <c r="AJ16" s="14">
        <f>IFERROR(VLOOKUP(IF(MOD(COLUMN(AJ16),2)=0,$A16&amp;"-"&amp;AJ$3,$A16&amp;"-"&amp;AI$3),CoSo1[],AJ$38,0),"")</f>
        <v>0</v>
      </c>
      <c r="AK16" s="14">
        <f>IFERROR(VLOOKUP(IF(MOD(COLUMN(AK16),2)=0,$A16&amp;"-"&amp;AK$3,$A16&amp;"-"&amp;AJ$3),CoSo1[],AK$38,0),"")</f>
        <v>0</v>
      </c>
      <c r="AL16" s="14">
        <f>IFERROR(VLOOKUP(IF(MOD(COLUMN(AL16),2)=0,$A16&amp;"-"&amp;AL$3,$A16&amp;"-"&amp;AK$3),CoSo1[],AL$38,0),"")</f>
        <v>0</v>
      </c>
      <c r="AM16" s="14">
        <f>IFERROR(VLOOKUP(IF(MOD(COLUMN(AM16),2)=0,$A16&amp;"-"&amp;AM$3,$A16&amp;"-"&amp;AL$3),CoSo1[],AM$38,0),"")</f>
        <v>0</v>
      </c>
      <c r="AN16" s="14">
        <f>IFERROR(VLOOKUP(IF(MOD(COLUMN(AN16),2)=0,$A16&amp;"-"&amp;AN$3,$A16&amp;"-"&amp;AM$3),CoSo1[],AN$38,0),"")</f>
        <v>0</v>
      </c>
      <c r="AO16" s="14">
        <f>IFERROR(VLOOKUP(IF(MOD(COLUMN(AO16),2)=0,$A16&amp;"-"&amp;AO$3,$A16&amp;"-"&amp;AN$3),CoSo1[],AO$38,0),"")</f>
        <v>0</v>
      </c>
      <c r="AP16" s="14">
        <f>IFERROR(VLOOKUP(IF(MOD(COLUMN(AP16),2)=0,$A16&amp;"-"&amp;AP$3,$A16&amp;"-"&amp;AO$3),CoSo1[],AP$38,0),"")</f>
        <v>0</v>
      </c>
      <c r="AQ16" s="14">
        <f>IFERROR(VLOOKUP(IF(MOD(COLUMN(AQ16),2)=0,$A16&amp;"-"&amp;AQ$3,$A16&amp;"-"&amp;AP$3),CoSo1[],AQ$38,0),"")</f>
        <v>0</v>
      </c>
      <c r="AR16" s="11">
        <f t="shared" si="4"/>
        <v>170</v>
      </c>
      <c r="AS16" s="11">
        <f t="shared" si="4"/>
        <v>2</v>
      </c>
      <c r="AT16" s="14"/>
      <c r="AU16" s="14">
        <f>IFERROR(VLOOKUP(IF(MOD(COLUMN(AU16),2)=1,$A16&amp;"-"&amp;AU$3,$A16&amp;"-"&amp;AT$3),CoSo3[],DoanhThuThang!AU$38,0),"")</f>
        <v>291.5</v>
      </c>
      <c r="AV16" s="14">
        <f>IFERROR(VLOOKUP(IF(MOD(COLUMN(AV16),2)=1,$A16&amp;"-"&amp;AV$3,$A16&amp;"-"&amp;AU$3),CoSo3[],DoanhThuThang!AV$38,0),"")</f>
        <v>5</v>
      </c>
      <c r="AW16" s="14">
        <f>IFERROR(VLOOKUP(IF(MOD(COLUMN(AW16),2)=1,$A16&amp;"-"&amp;AW$3,$A16&amp;"-"&amp;AV$3),CoSo3[],DoanhThuThang!AW$38,0),"")</f>
        <v>874</v>
      </c>
      <c r="AX16" s="14">
        <f>IFERROR(VLOOKUP(IF(MOD(COLUMN(AX16),2)=1,$A16&amp;"-"&amp;AX$3,$A16&amp;"-"&amp;AW$3),CoSo3[],DoanhThuThang!AX$38,0),"")</f>
        <v>8</v>
      </c>
      <c r="AY16" s="11">
        <f t="shared" si="7"/>
        <v>1165.5</v>
      </c>
      <c r="AZ16" s="11">
        <f t="shared" si="8"/>
        <v>13</v>
      </c>
      <c r="BA16" s="14"/>
      <c r="BB16" s="14">
        <f>IFERROR(VLOOKUP(IF(MOD(COLUMN(BB16),2)=0,$A16&amp;"-"&amp;BB$3,$A16&amp;"-"&amp;BA$3),CoSo3[],DoanhThuThang!BB$38,0),"")</f>
        <v>0</v>
      </c>
      <c r="BC16" s="14">
        <f>IFERROR(VLOOKUP(IF(MOD(COLUMN(BC16),2)=0,$A16&amp;"-"&amp;BC$3,$A16&amp;"-"&amp;BB$3),CoSo3[],DoanhThuThang!BC$38,0),"")</f>
        <v>0</v>
      </c>
      <c r="BD16" s="14">
        <f>IFERROR(VLOOKUP(IF(MOD(COLUMN(BD16),2)=0,$A16&amp;"-"&amp;BD$3,$A16&amp;"-"&amp;BC$3),CoSo3[],DoanhThuThang!BD$38,0),"")</f>
        <v>0</v>
      </c>
      <c r="BE16" s="14">
        <f>IFERROR(VLOOKUP(IF(MOD(COLUMN(BE16),2)=0,$A16&amp;"-"&amp;BE$3,$A16&amp;"-"&amp;BD$3),CoSo3[],DoanhThuThang!BE$38,0),"")</f>
        <v>0</v>
      </c>
      <c r="BF16" s="11">
        <f t="shared" si="9"/>
        <v>0</v>
      </c>
      <c r="BG16" s="11">
        <f t="shared" si="10"/>
        <v>0</v>
      </c>
      <c r="BH16" s="14"/>
      <c r="BI16" s="14">
        <f>IFERROR(VLOOKUP(IF(MOD(COLUMN(BI16),2)=1,$A16&amp;"-"&amp;BI$3,$A16&amp;"-"&amp;BH$3),CoSo4[],DoanhThuThang!BI$38,0),"")</f>
        <v>55</v>
      </c>
      <c r="BJ16" s="14">
        <f>IFERROR(VLOOKUP(IF(MOD(COLUMN(BJ16),2)=1,$A16&amp;"-"&amp;BJ$3,$A16&amp;"-"&amp;BI$3),CoSo4[],DoanhThuThang!BJ$38,0),"")</f>
        <v>1</v>
      </c>
      <c r="BK16" s="14">
        <f>IFERROR(VLOOKUP(IF(MOD(COLUMN(BK16),2)=1,$A16&amp;"-"&amp;BK$3,$A16&amp;"-"&amp;BJ$3),CoSo4[],DoanhThuThang!BK$38,0),"")</f>
        <v>169</v>
      </c>
      <c r="BL16" s="14">
        <f>IFERROR(VLOOKUP(IF(MOD(COLUMN(BL16),2)=1,$A16&amp;"-"&amp;BL$3,$A16&amp;"-"&amp;BK$3),CoSo4[],DoanhThuThang!BL$38,0),"")</f>
        <v>3</v>
      </c>
      <c r="BM16" s="11">
        <f t="shared" si="11"/>
        <v>224</v>
      </c>
      <c r="BN16" s="11">
        <f t="shared" si="12"/>
        <v>4</v>
      </c>
      <c r="BO16" s="14"/>
      <c r="BP16" s="14">
        <f>IFERROR(VLOOKUP(IF(MOD(COLUMN(BP16),2)=0,$A16&amp;"-"&amp;BP$3,$A16&amp;"-"&amp;BO$3),CoSo4[],DoanhThuThang!BP$38,0),"")</f>
        <v>0</v>
      </c>
      <c r="BQ16" s="14">
        <f>IFERROR(VLOOKUP(IF(MOD(COLUMN(BQ16),2)=0,$A16&amp;"-"&amp;BQ$3,$A16&amp;"-"&amp;BP$3),CoSo4[],DoanhThuThang!BQ$38,0),"")</f>
        <v>0</v>
      </c>
      <c r="BR16" s="14">
        <f>IFERROR(VLOOKUP(IF(MOD(COLUMN(BR16),2)=0,$A16&amp;"-"&amp;BR$3,$A16&amp;"-"&amp;BQ$3),CoSo4[],DoanhThuThang!BR$38,0),"")</f>
        <v>0</v>
      </c>
      <c r="BS16" s="14">
        <f>IFERROR(VLOOKUP(IF(MOD(COLUMN(BS16),2)=0,$A16&amp;"-"&amp;BS$3,$A16&amp;"-"&amp;BR$3),CoSo4[],DoanhThuThang!BS$38,0),"")</f>
        <v>0</v>
      </c>
      <c r="BT16" s="11">
        <f t="shared" si="13"/>
        <v>0</v>
      </c>
      <c r="BU16" s="11">
        <f t="shared" si="14"/>
        <v>0</v>
      </c>
      <c r="BV16" s="103"/>
      <c r="BW16" s="14" t="str">
        <f>IFERROR(VLOOKUP($A16,BanBuon[],DoanhThuThang!BW$38,0),"")</f>
        <v/>
      </c>
      <c r="BX16" s="14" t="str">
        <f>IFERROR(VLOOKUP($A16,BanBuon[],DoanhThuThang!BX$38,0),"")</f>
        <v/>
      </c>
      <c r="BY16" s="14" t="str">
        <f>IFERROR(VLOOKUP($A16,BanBuon[],DoanhThuThang!BY$38,0),"")</f>
        <v/>
      </c>
      <c r="BZ16" s="14" t="str">
        <f>IFERROR(VLOOKUP($A16,BanBuon[],DoanhThuThang!BZ$38,0),"")</f>
        <v/>
      </c>
      <c r="CA16" s="106">
        <f t="shared" si="19"/>
        <v>0</v>
      </c>
      <c r="CB16" s="106">
        <f t="shared" si="17"/>
        <v>0</v>
      </c>
      <c r="CC16" s="14">
        <f>IFERROR(VLOOKUP(IF(MOD(COLUMN(B16),2)=0,$A16&amp;"-"&amp;B$3,$A16&amp;"-"&amp;A$3),CoSo1[],CC$38,0),"")</f>
        <v>1150</v>
      </c>
      <c r="CD16" s="14">
        <f>IFERROR(VLOOKUP(IF(MOD(COLUMN(C16),2)=0,$A16&amp;"-"&amp;CD$3,$A16&amp;"-"&amp;CC$3),CoSo1[],CD$38,0),"")</f>
        <v>14</v>
      </c>
      <c r="CE16" s="14">
        <f>IFERROR(VLOOKUP(IF(MOD(COLUMN(D16),2)=0,$A16&amp;"-"&amp;D$3,$A16&amp;"-"&amp;C$3),CoSo1[],CE$38,0),"")</f>
        <v>1330</v>
      </c>
      <c r="CF16" s="14">
        <f>IFERROR(VLOOKUP(IF(MOD(COLUMN(E16),2)=0,$A16&amp;"-"&amp;E$3,$A16&amp;"-"&amp;D$3),CoSo1[],CF$38,0),"")</f>
        <v>12</v>
      </c>
      <c r="CG16" s="106">
        <f t="shared" si="20"/>
        <v>2480</v>
      </c>
      <c r="CH16" s="106">
        <f t="shared" si="18"/>
        <v>26</v>
      </c>
    </row>
    <row r="17" spans="1:86" x14ac:dyDescent="0.25">
      <c r="A17" s="13">
        <v>12</v>
      </c>
      <c r="B17" s="14">
        <f>IFERROR(VLOOKUP(IF(MOD(COLUMN(B17),2)=0,$A17&amp;"-"&amp;B$3,$A17&amp;"-"&amp;A$3),CoSo1[],B$38,0),"")</f>
        <v>216</v>
      </c>
      <c r="C17" s="14">
        <f>IFERROR(VLOOKUP(IF(MOD(COLUMN(C17),2)=0,$A17&amp;"-"&amp;C$3,$A17&amp;"-"&amp;B$3),CoSo1[],C$38,0),"")</f>
        <v>6</v>
      </c>
      <c r="D17" s="14">
        <f>IFERROR(VLOOKUP(IF(MOD(COLUMN(D17),2)=0,$A17&amp;"-"&amp;D$3,$A17&amp;"-"&amp;C$3),CoSo1[],D$38,0),"")</f>
        <v>1314</v>
      </c>
      <c r="E17" s="14">
        <f>IFERROR(VLOOKUP(IF(MOD(COLUMN(E17),2)=0,$A17&amp;"-"&amp;E$3,$A17&amp;"-"&amp;D$3),CoSo1[],E$38,0),"")</f>
        <v>15</v>
      </c>
      <c r="F17" s="14">
        <f>IFERROR(VLOOKUP(IF(MOD(COLUMN(F17),2)=0,$A17&amp;"-"&amp;F$3,$A17&amp;"-"&amp;E$3),CoSo1[],F$38,0),"")</f>
        <v>0</v>
      </c>
      <c r="G17" s="14">
        <f>IFERROR(VLOOKUP(IF(MOD(COLUMN(G17),2)=0,$A17&amp;"-"&amp;G$3,$A17&amp;"-"&amp;F$3),CoSo1[],G$38,0),"")</f>
        <v>0</v>
      </c>
      <c r="H17" s="14">
        <f>IFERROR(VLOOKUP(IF(MOD(COLUMN(H17),2)=0,$A17&amp;"-"&amp;H$3,$A17&amp;"-"&amp;G$3),CoSo1[],H$38,0),"")</f>
        <v>322</v>
      </c>
      <c r="I17" s="14">
        <f>IFERROR(VLOOKUP(IF(MOD(COLUMN(I17),2)=0,$A17&amp;"-"&amp;I$3,$A17&amp;"-"&amp;H$3),CoSo1[],I$38,0),"")</f>
        <v>4</v>
      </c>
      <c r="J17" s="14">
        <f>IFERROR(VLOOKUP(IF(MOD(COLUMN(J17),2)=0,$A17&amp;"-"&amp;J$3,$A17&amp;"-"&amp;I$3),CoSo1[],J$38,0),"")</f>
        <v>0</v>
      </c>
      <c r="K17" s="14">
        <f>IFERROR(VLOOKUP(IF(MOD(COLUMN(K17),2)=0,$A17&amp;"-"&amp;K$3,$A17&amp;"-"&amp;J$3),CoSo1[],K$38,0),"")</f>
        <v>0</v>
      </c>
      <c r="L17" s="14">
        <f>IFERROR(VLOOKUP(IF(MOD(COLUMN(L17),2)=0,$A17&amp;"-"&amp;L$3,$A17&amp;"-"&amp;K$3),CoSo1[],L$38,0),"")</f>
        <v>136</v>
      </c>
      <c r="M17" s="14">
        <f>IFERROR(VLOOKUP(IF(MOD(COLUMN(M17),2)=0,$A17&amp;"-"&amp;M$3,$A17&amp;"-"&amp;L$3),CoSo1[],M$38,0),"")</f>
        <v>1</v>
      </c>
      <c r="N17" s="11">
        <f t="shared" si="15"/>
        <v>1988</v>
      </c>
      <c r="O17" s="11">
        <f t="shared" si="16"/>
        <v>26</v>
      </c>
      <c r="P17" s="14"/>
      <c r="Q17" s="14">
        <f>IFERROR(VLOOKUP(IF(MOD(COLUMN(Q17),2)=1,$A17&amp;"-"&amp;Q$3,$A17&amp;"-"&amp;P$3),CoSo1[],Q$38,0),"")</f>
        <v>0</v>
      </c>
      <c r="R17" s="14">
        <f>IFERROR(VLOOKUP(IF(MOD(COLUMN(R17),2)=1,$A17&amp;"-"&amp;R$3,$A17&amp;"-"&amp;Q$3),CoSo1[],R$38,0),"")</f>
        <v>0</v>
      </c>
      <c r="S17" s="14">
        <f>IFERROR(VLOOKUP(IF(MOD(COLUMN(S17),2)=1,$A17&amp;"-"&amp;S$3,$A17&amp;"-"&amp;R$3),CoSo1[],S$38,0),"")</f>
        <v>36</v>
      </c>
      <c r="T17" s="14">
        <f>IFERROR(VLOOKUP(IF(MOD(COLUMN(T17),2)=1,$A17&amp;"-"&amp;T$3,$A17&amp;"-"&amp;S$3),CoSo1[],T$38,0),"")</f>
        <v>1</v>
      </c>
      <c r="U17" s="14">
        <f>IFERROR(VLOOKUP(IF(MOD(COLUMN(U17),2)=1,$A17&amp;"-"&amp;U$3,$A17&amp;"-"&amp;T$3),CoSo1[],U$38,0),"")</f>
        <v>0</v>
      </c>
      <c r="V17" s="14">
        <f>IFERROR(VLOOKUP(IF(MOD(COLUMN(V17),2)=1,$A17&amp;"-"&amp;V$3,$A17&amp;"-"&amp;U$3),CoSo1[],V$38,0),"")</f>
        <v>0</v>
      </c>
      <c r="W17" s="14">
        <f>IFERROR(VLOOKUP(IF(MOD(COLUMN(W17),2)=1,$A17&amp;"-"&amp;W$3,$A17&amp;"-"&amp;V$3),CoSo1[],W$38,0),"")</f>
        <v>0</v>
      </c>
      <c r="X17" s="14">
        <f>IFERROR(VLOOKUP(IF(MOD(COLUMN(X17),2)=1,$A17&amp;"-"&amp;X$3,$A17&amp;"-"&amp;W$3),CoSo1[],X$38,0),"")</f>
        <v>0</v>
      </c>
      <c r="Y17" s="14">
        <f>IFERROR(VLOOKUP(IF(MOD(COLUMN(Y17),2)=1,$A17&amp;"-"&amp;Y$3,$A17&amp;"-"&amp;X$3),CoSo1[],Y$38,0),"")</f>
        <v>0</v>
      </c>
      <c r="Z17" s="14">
        <f>IFERROR(VLOOKUP(IF(MOD(COLUMN(Z17),2)=1,$A17&amp;"-"&amp;Z$3,$A17&amp;"-"&amp;Y$3),CoSo1[],Z$38,0),"")</f>
        <v>0</v>
      </c>
      <c r="AA17" s="14">
        <f>IFERROR(VLOOKUP(IF(MOD(COLUMN(AA17),2)=1,$A17&amp;"-"&amp;AA$3,$A17&amp;"-"&amp;Z$3),CoSo1[],AA$38,0),"")</f>
        <v>0</v>
      </c>
      <c r="AB17" s="14">
        <f>IFERROR(VLOOKUP(IF(MOD(COLUMN(AB17),2)=1,$A17&amp;"-"&amp;AB$3,$A17&amp;"-"&amp;AA$3),CoSo1[],AB$38,0),"")</f>
        <v>0</v>
      </c>
      <c r="AC17" s="11">
        <f t="shared" si="2"/>
        <v>36</v>
      </c>
      <c r="AD17" s="11">
        <f t="shared" si="2"/>
        <v>1</v>
      </c>
      <c r="AE17" s="14">
        <f>SUM(AC11:AC17)</f>
        <v>415</v>
      </c>
      <c r="AF17" s="14">
        <f>IFERROR(VLOOKUP(IF(MOD(COLUMN(AF17),2)=0,$A17&amp;"-"&amp;AF$3,$A17&amp;"-"&amp;AE$3),CoSo1[],AF$38,0),"")</f>
        <v>0</v>
      </c>
      <c r="AG17" s="14">
        <f>IFERROR(VLOOKUP(IF(MOD(COLUMN(AG17),2)=0,$A17&amp;"-"&amp;AG$3,$A17&amp;"-"&amp;AF$3),CoSo1[],AG$38,0),"")</f>
        <v>0</v>
      </c>
      <c r="AH17" s="14">
        <f>IFERROR(VLOOKUP(IF(MOD(COLUMN(AH17),2)=0,$A17&amp;"-"&amp;AH$3,$A17&amp;"-"&amp;AG$3),CoSo1[],AH$38,0),"")</f>
        <v>20</v>
      </c>
      <c r="AI17" s="14">
        <f>IFERROR(VLOOKUP(IF(MOD(COLUMN(AI17),2)=0,$A17&amp;"-"&amp;AI$3,$A17&amp;"-"&amp;AH$3),CoSo1[],AI$38,0),"")</f>
        <v>1</v>
      </c>
      <c r="AJ17" s="14">
        <f>IFERROR(VLOOKUP(IF(MOD(COLUMN(AJ17),2)=0,$A17&amp;"-"&amp;AJ$3,$A17&amp;"-"&amp;AI$3),CoSo1[],AJ$38,0),"")</f>
        <v>0</v>
      </c>
      <c r="AK17" s="14">
        <f>IFERROR(VLOOKUP(IF(MOD(COLUMN(AK17),2)=0,$A17&amp;"-"&amp;AK$3,$A17&amp;"-"&amp;AJ$3),CoSo1[],AK$38,0),"")</f>
        <v>0</v>
      </c>
      <c r="AL17" s="14">
        <f>IFERROR(VLOOKUP(IF(MOD(COLUMN(AL17),2)=0,$A17&amp;"-"&amp;AL$3,$A17&amp;"-"&amp;AK$3),CoSo1[],AL$38,0),"")</f>
        <v>0</v>
      </c>
      <c r="AM17" s="14">
        <f>IFERROR(VLOOKUP(IF(MOD(COLUMN(AM17),2)=0,$A17&amp;"-"&amp;AM$3,$A17&amp;"-"&amp;AL$3),CoSo1[],AM$38,0),"")</f>
        <v>0</v>
      </c>
      <c r="AN17" s="14">
        <f>IFERROR(VLOOKUP(IF(MOD(COLUMN(AN17),2)=0,$A17&amp;"-"&amp;AN$3,$A17&amp;"-"&amp;AM$3),CoSo1[],AN$38,0),"")</f>
        <v>0</v>
      </c>
      <c r="AO17" s="14">
        <f>IFERROR(VLOOKUP(IF(MOD(COLUMN(AO17),2)=0,$A17&amp;"-"&amp;AO$3,$A17&amp;"-"&amp;AN$3),CoSo1[],AO$38,0),"")</f>
        <v>0</v>
      </c>
      <c r="AP17" s="14">
        <f>IFERROR(VLOOKUP(IF(MOD(COLUMN(AP17),2)=0,$A17&amp;"-"&amp;AP$3,$A17&amp;"-"&amp;AO$3),CoSo1[],AP$38,0),"")</f>
        <v>0</v>
      </c>
      <c r="AQ17" s="14">
        <f>IFERROR(VLOOKUP(IF(MOD(COLUMN(AQ17),2)=0,$A17&amp;"-"&amp;AQ$3,$A17&amp;"-"&amp;AP$3),CoSo1[],AQ$38,0),"")</f>
        <v>0</v>
      </c>
      <c r="AR17" s="11">
        <f t="shared" si="4"/>
        <v>20</v>
      </c>
      <c r="AS17" s="11">
        <f t="shared" si="4"/>
        <v>1</v>
      </c>
      <c r="AT17" s="14"/>
      <c r="AU17" s="14">
        <f>IFERROR(VLOOKUP(IF(MOD(COLUMN(AU17),2)=1,$A17&amp;"-"&amp;AU$3,$A17&amp;"-"&amp;AT$3),CoSo3[],DoanhThuThang!AU$38,0),"")</f>
        <v>103</v>
      </c>
      <c r="AV17" s="14">
        <f>IFERROR(VLOOKUP(IF(MOD(COLUMN(AV17),2)=1,$A17&amp;"-"&amp;AV$3,$A17&amp;"-"&amp;AU$3),CoSo3[],DoanhThuThang!AV$38,0),"")</f>
        <v>2</v>
      </c>
      <c r="AW17" s="14">
        <f>IFERROR(VLOOKUP(IF(MOD(COLUMN(AW17),2)=1,$A17&amp;"-"&amp;AW$3,$A17&amp;"-"&amp;AV$3),CoSo3[],DoanhThuThang!AW$38,0),"")</f>
        <v>455</v>
      </c>
      <c r="AX17" s="14">
        <f>IFERROR(VLOOKUP(IF(MOD(COLUMN(AX17),2)=1,$A17&amp;"-"&amp;AX$3,$A17&amp;"-"&amp;AW$3),CoSo3[],DoanhThuThang!AX$38,0),"")</f>
        <v>6</v>
      </c>
      <c r="AY17" s="11">
        <f t="shared" si="7"/>
        <v>558</v>
      </c>
      <c r="AZ17" s="11">
        <f t="shared" si="8"/>
        <v>8</v>
      </c>
      <c r="BA17" s="14"/>
      <c r="BB17" s="14">
        <f>IFERROR(VLOOKUP(IF(MOD(COLUMN(BB17),2)=0,$A17&amp;"-"&amp;BB$3,$A17&amp;"-"&amp;BA$3),CoSo3[],DoanhThuThang!BB$38,0),"")</f>
        <v>0</v>
      </c>
      <c r="BC17" s="14">
        <f>IFERROR(VLOOKUP(IF(MOD(COLUMN(BC17),2)=0,$A17&amp;"-"&amp;BC$3,$A17&amp;"-"&amp;BB$3),CoSo3[],DoanhThuThang!BC$38,0),"")</f>
        <v>0</v>
      </c>
      <c r="BD17" s="14">
        <f>IFERROR(VLOOKUP(IF(MOD(COLUMN(BD17),2)=0,$A17&amp;"-"&amp;BD$3,$A17&amp;"-"&amp;BC$3),CoSo3[],DoanhThuThang!BD$38,0),"")</f>
        <v>0</v>
      </c>
      <c r="BE17" s="14">
        <f>IFERROR(VLOOKUP(IF(MOD(COLUMN(BE17),2)=0,$A17&amp;"-"&amp;BE$3,$A17&amp;"-"&amp;BD$3),CoSo3[],DoanhThuThang!BE$38,0),"")</f>
        <v>0</v>
      </c>
      <c r="BF17" s="11">
        <f t="shared" si="9"/>
        <v>0</v>
      </c>
      <c r="BG17" s="11">
        <f t="shared" si="10"/>
        <v>0</v>
      </c>
      <c r="BH17" s="14"/>
      <c r="BI17" s="14">
        <f>IFERROR(VLOOKUP(IF(MOD(COLUMN(BI17),2)=1,$A17&amp;"-"&amp;BI$3,$A17&amp;"-"&amp;BH$3),CoSo4[],DoanhThuThang!BI$38,0),"")</f>
        <v>42</v>
      </c>
      <c r="BJ17" s="14">
        <f>IFERROR(VLOOKUP(IF(MOD(COLUMN(BJ17),2)=1,$A17&amp;"-"&amp;BJ$3,$A17&amp;"-"&amp;BI$3),CoSo4[],DoanhThuThang!BJ$38,0),"")</f>
        <v>2</v>
      </c>
      <c r="BK17" s="14">
        <f>IFERROR(VLOOKUP(IF(MOD(COLUMN(BK17),2)=1,$A17&amp;"-"&amp;BK$3,$A17&amp;"-"&amp;BJ$3),CoSo4[],DoanhThuThang!BK$38,0),"")</f>
        <v>273</v>
      </c>
      <c r="BL17" s="14">
        <f>IFERROR(VLOOKUP(IF(MOD(COLUMN(BL17),2)=1,$A17&amp;"-"&amp;BL$3,$A17&amp;"-"&amp;BK$3),CoSo4[],DoanhThuThang!BL$38,0),"")</f>
        <v>7</v>
      </c>
      <c r="BM17" s="11">
        <f t="shared" si="11"/>
        <v>315</v>
      </c>
      <c r="BN17" s="11">
        <f t="shared" si="12"/>
        <v>9</v>
      </c>
      <c r="BO17" s="14"/>
      <c r="BP17" s="14">
        <f>IFERROR(VLOOKUP(IF(MOD(COLUMN(BP17),2)=0,$A17&amp;"-"&amp;BP$3,$A17&amp;"-"&amp;BO$3),CoSo4[],DoanhThuThang!BP$38,0),"")</f>
        <v>0</v>
      </c>
      <c r="BQ17" s="14">
        <f>IFERROR(VLOOKUP(IF(MOD(COLUMN(BQ17),2)=0,$A17&amp;"-"&amp;BQ$3,$A17&amp;"-"&amp;BP$3),CoSo4[],DoanhThuThang!BQ$38,0),"")</f>
        <v>0</v>
      </c>
      <c r="BR17" s="14">
        <f>IFERROR(VLOOKUP(IF(MOD(COLUMN(BR17),2)=0,$A17&amp;"-"&amp;BR$3,$A17&amp;"-"&amp;BQ$3),CoSo4[],DoanhThuThang!BR$38,0),"")</f>
        <v>0</v>
      </c>
      <c r="BS17" s="14">
        <f>IFERROR(VLOOKUP(IF(MOD(COLUMN(BS17),2)=0,$A17&amp;"-"&amp;BS$3,$A17&amp;"-"&amp;BR$3),CoSo4[],DoanhThuThang!BS$38,0),"")</f>
        <v>0</v>
      </c>
      <c r="BT17" s="11">
        <f t="shared" si="13"/>
        <v>0</v>
      </c>
      <c r="BU17" s="11">
        <f t="shared" si="14"/>
        <v>0</v>
      </c>
      <c r="BV17" s="103"/>
      <c r="BW17" s="14" t="str">
        <f>IFERROR(VLOOKUP($A17,BanBuon[],DoanhThuThang!BW$38,0),"")</f>
        <v/>
      </c>
      <c r="BX17" s="14" t="str">
        <f>IFERROR(VLOOKUP($A17,BanBuon[],DoanhThuThang!BX$38,0),"")</f>
        <v/>
      </c>
      <c r="BY17" s="14" t="str">
        <f>IFERROR(VLOOKUP($A17,BanBuon[],DoanhThuThang!BY$38,0),"")</f>
        <v/>
      </c>
      <c r="BZ17" s="14" t="str">
        <f>IFERROR(VLOOKUP($A17,BanBuon[],DoanhThuThang!BZ$38,0),"")</f>
        <v/>
      </c>
      <c r="CA17" s="106">
        <f t="shared" si="19"/>
        <v>0</v>
      </c>
      <c r="CB17" s="106">
        <f t="shared" si="17"/>
        <v>0</v>
      </c>
      <c r="CC17" s="14">
        <f>IFERROR(VLOOKUP(IF(MOD(COLUMN(B17),2)=0,$A17&amp;"-"&amp;B$3,$A17&amp;"-"&amp;A$3),CoSo1[],CC$38,0),"")</f>
        <v>1550</v>
      </c>
      <c r="CD17" s="14">
        <f>IFERROR(VLOOKUP(IF(MOD(COLUMN(C17),2)=0,$A17&amp;"-"&amp;CD$3,$A17&amp;"-"&amp;CC$3),CoSo1[],CD$38,0),"")</f>
        <v>1</v>
      </c>
      <c r="CE17" s="14">
        <f>IFERROR(VLOOKUP(IF(MOD(COLUMN(D17),2)=0,$A17&amp;"-"&amp;D$3,$A17&amp;"-"&amp;C$3),CoSo1[],CE$38,0),"")</f>
        <v>2150</v>
      </c>
      <c r="CF17" s="14">
        <f>IFERROR(VLOOKUP(IF(MOD(COLUMN(E17),2)=0,$A17&amp;"-"&amp;E$3,$A17&amp;"-"&amp;D$3),CoSo1[],CF$38,0),"")</f>
        <v>1</v>
      </c>
      <c r="CG17" s="106">
        <f t="shared" si="20"/>
        <v>3700</v>
      </c>
      <c r="CH17" s="106">
        <f t="shared" si="18"/>
        <v>2</v>
      </c>
    </row>
    <row r="18" spans="1:86" x14ac:dyDescent="0.25">
      <c r="A18" s="13">
        <v>13</v>
      </c>
      <c r="B18" s="14">
        <f>IFERROR(VLOOKUP(IF(MOD(COLUMN(B18),2)=0,$A18&amp;"-"&amp;B$3,$A18&amp;"-"&amp;A$3),CoSo1[],B$38,0),"")</f>
        <v>412</v>
      </c>
      <c r="C18" s="14">
        <f>IFERROR(VLOOKUP(IF(MOD(COLUMN(C18),2)=0,$A18&amp;"-"&amp;C$3,$A18&amp;"-"&amp;B$3),CoSo1[],C$38,0),"")</f>
        <v>5</v>
      </c>
      <c r="D18" s="14">
        <f>IFERROR(VLOOKUP(IF(MOD(COLUMN(D18),2)=0,$A18&amp;"-"&amp;D$3,$A18&amp;"-"&amp;C$3),CoSo1[],D$38,0),"")</f>
        <v>821</v>
      </c>
      <c r="E18" s="14">
        <f>IFERROR(VLOOKUP(IF(MOD(COLUMN(E18),2)=0,$A18&amp;"-"&amp;E$3,$A18&amp;"-"&amp;D$3),CoSo1[],E$38,0),"")</f>
        <v>14</v>
      </c>
      <c r="F18" s="14">
        <f>IFERROR(VLOOKUP(IF(MOD(COLUMN(F18),2)=0,$A18&amp;"-"&amp;F$3,$A18&amp;"-"&amp;E$3),CoSo1[],F$38,0),"")</f>
        <v>54</v>
      </c>
      <c r="G18" s="14">
        <f>IFERROR(VLOOKUP(IF(MOD(COLUMN(G18),2)=0,$A18&amp;"-"&amp;G$3,$A18&amp;"-"&amp;F$3),CoSo1[],G$38,0),"")</f>
        <v>1</v>
      </c>
      <c r="H18" s="14">
        <f>IFERROR(VLOOKUP(IF(MOD(COLUMN(H18),2)=0,$A18&amp;"-"&amp;H$3,$A18&amp;"-"&amp;G$3),CoSo1[],H$38,0),"")</f>
        <v>0</v>
      </c>
      <c r="I18" s="14">
        <f>IFERROR(VLOOKUP(IF(MOD(COLUMN(I18),2)=0,$A18&amp;"-"&amp;I$3,$A18&amp;"-"&amp;H$3),CoSo1[],I$38,0),"")</f>
        <v>0</v>
      </c>
      <c r="J18" s="14">
        <f>IFERROR(VLOOKUP(IF(MOD(COLUMN(J18),2)=0,$A18&amp;"-"&amp;J$3,$A18&amp;"-"&amp;I$3),CoSo1[],J$38,0),"")</f>
        <v>0</v>
      </c>
      <c r="K18" s="14">
        <f>IFERROR(VLOOKUP(IF(MOD(COLUMN(K18),2)=0,$A18&amp;"-"&amp;K$3,$A18&amp;"-"&amp;J$3),CoSo1[],K$38,0),"")</f>
        <v>0</v>
      </c>
      <c r="L18" s="14">
        <f>IFERROR(VLOOKUP(IF(MOD(COLUMN(L18),2)=0,$A18&amp;"-"&amp;L$3,$A18&amp;"-"&amp;K$3),CoSo1[],L$38,0),"")</f>
        <v>0</v>
      </c>
      <c r="M18" s="14">
        <f>IFERROR(VLOOKUP(IF(MOD(COLUMN(M18),2)=0,$A18&amp;"-"&amp;M$3,$A18&amp;"-"&amp;L$3),CoSo1[],M$38,0),"")</f>
        <v>0</v>
      </c>
      <c r="N18" s="11">
        <f t="shared" si="15"/>
        <v>1287</v>
      </c>
      <c r="O18" s="11">
        <f t="shared" si="16"/>
        <v>20</v>
      </c>
      <c r="P18" s="14"/>
      <c r="Q18" s="14">
        <f>IFERROR(VLOOKUP(IF(MOD(COLUMN(Q18),2)=1,$A18&amp;"-"&amp;Q$3,$A18&amp;"-"&amp;P$3),CoSo1[],Q$38,0),"")</f>
        <v>16</v>
      </c>
      <c r="R18" s="14">
        <f>IFERROR(VLOOKUP(IF(MOD(COLUMN(R18),2)=1,$A18&amp;"-"&amp;R$3,$A18&amp;"-"&amp;Q$3),CoSo1[],R$38,0),"")</f>
        <v>1</v>
      </c>
      <c r="S18" s="14">
        <f>IFERROR(VLOOKUP(IF(MOD(COLUMN(S18),2)=1,$A18&amp;"-"&amp;S$3,$A18&amp;"-"&amp;R$3),CoSo1[],S$38,0),"")</f>
        <v>0</v>
      </c>
      <c r="T18" s="14">
        <f>IFERROR(VLOOKUP(IF(MOD(COLUMN(T18),2)=1,$A18&amp;"-"&amp;T$3,$A18&amp;"-"&amp;S$3),CoSo1[],T$38,0),"")</f>
        <v>0</v>
      </c>
      <c r="U18" s="14">
        <f>IFERROR(VLOOKUP(IF(MOD(COLUMN(U18),2)=1,$A18&amp;"-"&amp;U$3,$A18&amp;"-"&amp;T$3),CoSo1[],U$38,0),"")</f>
        <v>0</v>
      </c>
      <c r="V18" s="14">
        <f>IFERROR(VLOOKUP(IF(MOD(COLUMN(V18),2)=1,$A18&amp;"-"&amp;V$3,$A18&amp;"-"&amp;U$3),CoSo1[],V$38,0),"")</f>
        <v>0</v>
      </c>
      <c r="W18" s="14">
        <f>IFERROR(VLOOKUP(IF(MOD(COLUMN(W18),2)=1,$A18&amp;"-"&amp;W$3,$A18&amp;"-"&amp;V$3),CoSo1[],W$38,0),"")</f>
        <v>0</v>
      </c>
      <c r="X18" s="14">
        <f>IFERROR(VLOOKUP(IF(MOD(COLUMN(X18),2)=1,$A18&amp;"-"&amp;X$3,$A18&amp;"-"&amp;W$3),CoSo1[],X$38,0),"")</f>
        <v>0</v>
      </c>
      <c r="Y18" s="14">
        <f>IFERROR(VLOOKUP(IF(MOD(COLUMN(Y18),2)=1,$A18&amp;"-"&amp;Y$3,$A18&amp;"-"&amp;X$3),CoSo1[],Y$38,0),"")</f>
        <v>0</v>
      </c>
      <c r="Z18" s="14">
        <f>IFERROR(VLOOKUP(IF(MOD(COLUMN(Z18),2)=1,$A18&amp;"-"&amp;Z$3,$A18&amp;"-"&amp;Y$3),CoSo1[],Z$38,0),"")</f>
        <v>0</v>
      </c>
      <c r="AA18" s="14">
        <f>IFERROR(VLOOKUP(IF(MOD(COLUMN(AA18),2)=1,$A18&amp;"-"&amp;AA$3,$A18&amp;"-"&amp;Z$3),CoSo1[],AA$38,0),"")</f>
        <v>0</v>
      </c>
      <c r="AB18" s="14">
        <f>IFERROR(VLOOKUP(IF(MOD(COLUMN(AB18),2)=1,$A18&amp;"-"&amp;AB$3,$A18&amp;"-"&amp;AA$3),CoSo1[],AB$38,0),"")</f>
        <v>0</v>
      </c>
      <c r="AC18" s="11">
        <f t="shared" si="2"/>
        <v>16</v>
      </c>
      <c r="AD18" s="11">
        <f t="shared" si="2"/>
        <v>1</v>
      </c>
      <c r="AE18" s="14"/>
      <c r="AF18" s="14">
        <f>IFERROR(VLOOKUP(IF(MOD(COLUMN(AF18),2)=0,$A18&amp;"-"&amp;AF$3,$A18&amp;"-"&amp;AE$3),CoSo1[],AF$38,0),"")</f>
        <v>0</v>
      </c>
      <c r="AG18" s="14">
        <f>IFERROR(VLOOKUP(IF(MOD(COLUMN(AG18),2)=0,$A18&amp;"-"&amp;AG$3,$A18&amp;"-"&amp;AF$3),CoSo1[],AG$38,0),"")</f>
        <v>0</v>
      </c>
      <c r="AH18" s="14">
        <f>IFERROR(VLOOKUP(IF(MOD(COLUMN(AH18),2)=0,$A18&amp;"-"&amp;AH$3,$A18&amp;"-"&amp;AG$3),CoSo1[],AH$38,0),"")</f>
        <v>240</v>
      </c>
      <c r="AI18" s="14">
        <f>IFERROR(VLOOKUP(IF(MOD(COLUMN(AI18),2)=0,$A18&amp;"-"&amp;AI$3,$A18&amp;"-"&amp;AH$3),CoSo1[],AI$38,0),"")</f>
        <v>1</v>
      </c>
      <c r="AJ18" s="14">
        <f>IFERROR(VLOOKUP(IF(MOD(COLUMN(AJ18),2)=0,$A18&amp;"-"&amp;AJ$3,$A18&amp;"-"&amp;AI$3),CoSo1[],AJ$38,0),"")</f>
        <v>0</v>
      </c>
      <c r="AK18" s="14">
        <f>IFERROR(VLOOKUP(IF(MOD(COLUMN(AK18),2)=0,$A18&amp;"-"&amp;AK$3,$A18&amp;"-"&amp;AJ$3),CoSo1[],AK$38,0),"")</f>
        <v>0</v>
      </c>
      <c r="AL18" s="14">
        <f>IFERROR(VLOOKUP(IF(MOD(COLUMN(AL18),2)=0,$A18&amp;"-"&amp;AL$3,$A18&amp;"-"&amp;AK$3),CoSo1[],AL$38,0),"")</f>
        <v>0</v>
      </c>
      <c r="AM18" s="14">
        <f>IFERROR(VLOOKUP(IF(MOD(COLUMN(AM18),2)=0,$A18&amp;"-"&amp;AM$3,$A18&amp;"-"&amp;AL$3),CoSo1[],AM$38,0),"")</f>
        <v>0</v>
      </c>
      <c r="AN18" s="14">
        <f>IFERROR(VLOOKUP(IF(MOD(COLUMN(AN18),2)=0,$A18&amp;"-"&amp;AN$3,$A18&amp;"-"&amp;AM$3),CoSo1[],AN$38,0),"")</f>
        <v>0</v>
      </c>
      <c r="AO18" s="14">
        <f>IFERROR(VLOOKUP(IF(MOD(COLUMN(AO18),2)=0,$A18&amp;"-"&amp;AO$3,$A18&amp;"-"&amp;AN$3),CoSo1[],AO$38,0),"")</f>
        <v>0</v>
      </c>
      <c r="AP18" s="14">
        <f>IFERROR(VLOOKUP(IF(MOD(COLUMN(AP18),2)=0,$A18&amp;"-"&amp;AP$3,$A18&amp;"-"&amp;AO$3),CoSo1[],AP$38,0),"")</f>
        <v>0</v>
      </c>
      <c r="AQ18" s="14">
        <f>IFERROR(VLOOKUP(IF(MOD(COLUMN(AQ18),2)=0,$A18&amp;"-"&amp;AQ$3,$A18&amp;"-"&amp;AP$3),CoSo1[],AQ$38,0),"")</f>
        <v>0</v>
      </c>
      <c r="AR18" s="11">
        <f t="shared" si="4"/>
        <v>240</v>
      </c>
      <c r="AS18" s="11">
        <f t="shared" si="4"/>
        <v>1</v>
      </c>
      <c r="AT18" s="14"/>
      <c r="AU18" s="14">
        <f>IFERROR(VLOOKUP(IF(MOD(COLUMN(AU18),2)=1,$A18&amp;"-"&amp;AU$3,$A18&amp;"-"&amp;AT$3),CoSo3[],DoanhThuThang!AU$38,0),"")</f>
        <v>181</v>
      </c>
      <c r="AV18" s="14">
        <f>IFERROR(VLOOKUP(IF(MOD(COLUMN(AV18),2)=1,$A18&amp;"-"&amp;AV$3,$A18&amp;"-"&amp;AU$3),CoSo3[],DoanhThuThang!AV$38,0),"")</f>
        <v>2</v>
      </c>
      <c r="AW18" s="14">
        <f>IFERROR(VLOOKUP(IF(MOD(COLUMN(AW18),2)=1,$A18&amp;"-"&amp;AW$3,$A18&amp;"-"&amp;AV$3),CoSo3[],DoanhThuThang!AW$38,0),"")</f>
        <v>1083</v>
      </c>
      <c r="AX18" s="14">
        <f>IFERROR(VLOOKUP(IF(MOD(COLUMN(AX18),2)=1,$A18&amp;"-"&amp;AX$3,$A18&amp;"-"&amp;AW$3),CoSo3[],DoanhThuThang!AX$38,0),"")</f>
        <v>14</v>
      </c>
      <c r="AY18" s="11">
        <f t="shared" si="7"/>
        <v>1264</v>
      </c>
      <c r="AZ18" s="11">
        <f t="shared" si="8"/>
        <v>16</v>
      </c>
      <c r="BA18" s="14"/>
      <c r="BB18" s="14">
        <f>IFERROR(VLOOKUP(IF(MOD(COLUMN(BB18),2)=0,$A18&amp;"-"&amp;BB$3,$A18&amp;"-"&amp;BA$3),CoSo3[],DoanhThuThang!BB$38,0),"")</f>
        <v>0</v>
      </c>
      <c r="BC18" s="14">
        <f>IFERROR(VLOOKUP(IF(MOD(COLUMN(BC18),2)=0,$A18&amp;"-"&amp;BC$3,$A18&amp;"-"&amp;BB$3),CoSo3[],DoanhThuThang!BC$38,0),"")</f>
        <v>0</v>
      </c>
      <c r="BD18" s="14">
        <f>IFERROR(VLOOKUP(IF(MOD(COLUMN(BD18),2)=0,$A18&amp;"-"&amp;BD$3,$A18&amp;"-"&amp;BC$3),CoSo3[],DoanhThuThang!BD$38,0),"")</f>
        <v>0</v>
      </c>
      <c r="BE18" s="14">
        <f>IFERROR(VLOOKUP(IF(MOD(COLUMN(BE18),2)=0,$A18&amp;"-"&amp;BE$3,$A18&amp;"-"&amp;BD$3),CoSo3[],DoanhThuThang!BE$38,0),"")</f>
        <v>0</v>
      </c>
      <c r="BF18" s="11">
        <f t="shared" si="9"/>
        <v>0</v>
      </c>
      <c r="BG18" s="11">
        <f t="shared" si="10"/>
        <v>0</v>
      </c>
      <c r="BH18" s="14"/>
      <c r="BI18" s="14">
        <f>IFERROR(VLOOKUP(IF(MOD(COLUMN(BI18),2)=1,$A18&amp;"-"&amp;BI$3,$A18&amp;"-"&amp;BH$3),CoSo4[],DoanhThuThang!BI$38,0),"")</f>
        <v>53</v>
      </c>
      <c r="BJ18" s="14">
        <f>IFERROR(VLOOKUP(IF(MOD(COLUMN(BJ18),2)=1,$A18&amp;"-"&amp;BJ$3,$A18&amp;"-"&amp;BI$3),CoSo4[],DoanhThuThang!BJ$38,0),"")</f>
        <v>2</v>
      </c>
      <c r="BK18" s="14">
        <f>IFERROR(VLOOKUP(IF(MOD(COLUMN(BK18),2)=1,$A18&amp;"-"&amp;BK$3,$A18&amp;"-"&amp;BJ$3),CoSo4[],DoanhThuThang!BK$38,0),"")</f>
        <v>413</v>
      </c>
      <c r="BL18" s="14">
        <f>IFERROR(VLOOKUP(IF(MOD(COLUMN(BL18),2)=1,$A18&amp;"-"&amp;BL$3,$A18&amp;"-"&amp;BK$3),CoSo4[],DoanhThuThang!BL$38,0),"")</f>
        <v>6</v>
      </c>
      <c r="BM18" s="11">
        <f t="shared" si="11"/>
        <v>466</v>
      </c>
      <c r="BN18" s="11">
        <f t="shared" si="12"/>
        <v>8</v>
      </c>
      <c r="BO18" s="14"/>
      <c r="BP18" s="14">
        <f>IFERROR(VLOOKUP(IF(MOD(COLUMN(BP18),2)=0,$A18&amp;"-"&amp;BP$3,$A18&amp;"-"&amp;BO$3),CoSo4[],DoanhThuThang!BP$38,0),"")</f>
        <v>0</v>
      </c>
      <c r="BQ18" s="14">
        <f>IFERROR(VLOOKUP(IF(MOD(COLUMN(BQ18),2)=0,$A18&amp;"-"&amp;BQ$3,$A18&amp;"-"&amp;BP$3),CoSo4[],DoanhThuThang!BQ$38,0),"")</f>
        <v>0</v>
      </c>
      <c r="BR18" s="14">
        <f>IFERROR(VLOOKUP(IF(MOD(COLUMN(BR18),2)=0,$A18&amp;"-"&amp;BR$3,$A18&amp;"-"&amp;BQ$3),CoSo4[],DoanhThuThang!BR$38,0),"")</f>
        <v>0</v>
      </c>
      <c r="BS18" s="14">
        <f>IFERROR(VLOOKUP(IF(MOD(COLUMN(BS18),2)=0,$A18&amp;"-"&amp;BS$3,$A18&amp;"-"&amp;BR$3),CoSo4[],DoanhThuThang!BS$38,0),"")</f>
        <v>0</v>
      </c>
      <c r="BT18" s="11">
        <f t="shared" si="13"/>
        <v>0</v>
      </c>
      <c r="BU18" s="11">
        <f t="shared" si="14"/>
        <v>0</v>
      </c>
      <c r="BV18" s="103"/>
      <c r="BW18" s="14" t="str">
        <f>IFERROR(VLOOKUP($A18,BanBuon[],DoanhThuThang!BW$38,0),"")</f>
        <v/>
      </c>
      <c r="BX18" s="14" t="str">
        <f>IFERROR(VLOOKUP($A18,BanBuon[],DoanhThuThang!BX$38,0),"")</f>
        <v/>
      </c>
      <c r="BY18" s="14" t="str">
        <f>IFERROR(VLOOKUP($A18,BanBuon[],DoanhThuThang!BY$38,0),"")</f>
        <v/>
      </c>
      <c r="BZ18" s="14" t="str">
        <f>IFERROR(VLOOKUP($A18,BanBuon[],DoanhThuThang!BZ$38,0),"")</f>
        <v/>
      </c>
      <c r="CA18" s="106">
        <f t="shared" si="19"/>
        <v>0</v>
      </c>
      <c r="CB18" s="106">
        <f t="shared" si="17"/>
        <v>0</v>
      </c>
      <c r="CC18" s="14">
        <f>IFERROR(VLOOKUP(IF(MOD(COLUMN(B18),2)=0,$A18&amp;"-"&amp;B$3,$A18&amp;"-"&amp;A$3),CoSo1[],CC$38,0),"")</f>
        <v>1000</v>
      </c>
      <c r="CD18" s="14">
        <f>IFERROR(VLOOKUP(IF(MOD(COLUMN(C18),2)=0,$A18&amp;"-"&amp;CD$3,$A18&amp;"-"&amp;CC$3),CoSo1[],CD$38,0),"")</f>
        <v>10</v>
      </c>
      <c r="CE18" s="14">
        <f>IFERROR(VLOOKUP(IF(MOD(COLUMN(D18),2)=0,$A18&amp;"-"&amp;D$3,$A18&amp;"-"&amp;C$3),CoSo1[],CE$38,0),"")</f>
        <v>1920</v>
      </c>
      <c r="CF18" s="14">
        <f>IFERROR(VLOOKUP(IF(MOD(COLUMN(E18),2)=0,$A18&amp;"-"&amp;E$3,$A18&amp;"-"&amp;D$3),CoSo1[],CF$38,0),"")</f>
        <v>19</v>
      </c>
      <c r="CG18" s="106">
        <f t="shared" si="20"/>
        <v>2920</v>
      </c>
      <c r="CH18" s="106">
        <f t="shared" si="18"/>
        <v>29</v>
      </c>
    </row>
    <row r="19" spans="1:86" x14ac:dyDescent="0.25">
      <c r="A19" s="13">
        <v>14</v>
      </c>
      <c r="B19" s="14">
        <f>IFERROR(VLOOKUP(IF(MOD(COLUMN(B19),2)=0,$A19&amp;"-"&amp;B$3,$A19&amp;"-"&amp;A$3),CoSo1[],B$38,0),"")</f>
        <v>190</v>
      </c>
      <c r="C19" s="14">
        <f>IFERROR(VLOOKUP(IF(MOD(COLUMN(C19),2)=0,$A19&amp;"-"&amp;C$3,$A19&amp;"-"&amp;B$3),CoSo1[],C$38,0),"")</f>
        <v>6</v>
      </c>
      <c r="D19" s="14">
        <f>IFERROR(VLOOKUP(IF(MOD(COLUMN(D19),2)=0,$A19&amp;"-"&amp;D$3,$A19&amp;"-"&amp;C$3),CoSo1[],D$38,0),"")</f>
        <v>749</v>
      </c>
      <c r="E19" s="14">
        <f>IFERROR(VLOOKUP(IF(MOD(COLUMN(E19),2)=0,$A19&amp;"-"&amp;E$3,$A19&amp;"-"&amp;D$3),CoSo1[],E$38,0),"")</f>
        <v>12</v>
      </c>
      <c r="F19" s="14">
        <f>IFERROR(VLOOKUP(IF(MOD(COLUMN(F19),2)=0,$A19&amp;"-"&amp;F$3,$A19&amp;"-"&amp;E$3),CoSo1[],F$38,0),"")</f>
        <v>0</v>
      </c>
      <c r="G19" s="14">
        <f>IFERROR(VLOOKUP(IF(MOD(COLUMN(G19),2)=0,$A19&amp;"-"&amp;G$3,$A19&amp;"-"&amp;F$3),CoSo1[],G$38,0),"")</f>
        <v>0</v>
      </c>
      <c r="H19" s="14">
        <f>IFERROR(VLOOKUP(IF(MOD(COLUMN(H19),2)=0,$A19&amp;"-"&amp;H$3,$A19&amp;"-"&amp;G$3),CoSo1[],H$38,0),"")</f>
        <v>179</v>
      </c>
      <c r="I19" s="14">
        <f>IFERROR(VLOOKUP(IF(MOD(COLUMN(I19),2)=0,$A19&amp;"-"&amp;I$3,$A19&amp;"-"&amp;H$3),CoSo1[],I$38,0),"")</f>
        <v>2</v>
      </c>
      <c r="J19" s="14">
        <f>IFERROR(VLOOKUP(IF(MOD(COLUMN(J19),2)=0,$A19&amp;"-"&amp;J$3,$A19&amp;"-"&amp;I$3),CoSo1[],J$38,0),"")</f>
        <v>0</v>
      </c>
      <c r="K19" s="14">
        <f>IFERROR(VLOOKUP(IF(MOD(COLUMN(K19),2)=0,$A19&amp;"-"&amp;K$3,$A19&amp;"-"&amp;J$3),CoSo1[],K$38,0),"")</f>
        <v>0</v>
      </c>
      <c r="L19" s="14">
        <f>IFERROR(VLOOKUP(IF(MOD(COLUMN(L19),2)=0,$A19&amp;"-"&amp;L$3,$A19&amp;"-"&amp;K$3),CoSo1[],L$38,0),"")</f>
        <v>500</v>
      </c>
      <c r="M19" s="14">
        <f>IFERROR(VLOOKUP(IF(MOD(COLUMN(M19),2)=0,$A19&amp;"-"&amp;M$3,$A19&amp;"-"&amp;L$3),CoSo1[],M$38,0),"")</f>
        <v>1</v>
      </c>
      <c r="N19" s="11">
        <f t="shared" si="15"/>
        <v>1618</v>
      </c>
      <c r="O19" s="11">
        <f t="shared" si="16"/>
        <v>21</v>
      </c>
      <c r="P19" s="14"/>
      <c r="Q19" s="14">
        <f>IFERROR(VLOOKUP(IF(MOD(COLUMN(Q19),2)=1,$A19&amp;"-"&amp;Q$3,$A19&amp;"-"&amp;P$3),CoSo1[],Q$38,0),"")</f>
        <v>35</v>
      </c>
      <c r="R19" s="14">
        <f>IFERROR(VLOOKUP(IF(MOD(COLUMN(R19),2)=1,$A19&amp;"-"&amp;R$3,$A19&amp;"-"&amp;Q$3),CoSo1[],R$38,0),"")</f>
        <v>1</v>
      </c>
      <c r="S19" s="14">
        <f>IFERROR(VLOOKUP(IF(MOD(COLUMN(S19),2)=1,$A19&amp;"-"&amp;S$3,$A19&amp;"-"&amp;R$3),CoSo1[],S$38,0),"")</f>
        <v>129</v>
      </c>
      <c r="T19" s="14">
        <f>IFERROR(VLOOKUP(IF(MOD(COLUMN(T19),2)=1,$A19&amp;"-"&amp;T$3,$A19&amp;"-"&amp;S$3),CoSo1[],T$38,0),"")</f>
        <v>2</v>
      </c>
      <c r="U19" s="14">
        <f>IFERROR(VLOOKUP(IF(MOD(COLUMN(U19),2)=1,$A19&amp;"-"&amp;U$3,$A19&amp;"-"&amp;T$3),CoSo1[],U$38,0),"")</f>
        <v>0</v>
      </c>
      <c r="V19" s="14">
        <f>IFERROR(VLOOKUP(IF(MOD(COLUMN(V19),2)=1,$A19&amp;"-"&amp;V$3,$A19&amp;"-"&amp;U$3),CoSo1[],V$38,0),"")</f>
        <v>0</v>
      </c>
      <c r="W19" s="14">
        <f>IFERROR(VLOOKUP(IF(MOD(COLUMN(W19),2)=1,$A19&amp;"-"&amp;W$3,$A19&amp;"-"&amp;V$3),CoSo1[],W$38,0),"")</f>
        <v>0</v>
      </c>
      <c r="X19" s="14">
        <f>IFERROR(VLOOKUP(IF(MOD(COLUMN(X19),2)=1,$A19&amp;"-"&amp;X$3,$A19&amp;"-"&amp;W$3),CoSo1[],X$38,0),"")</f>
        <v>0</v>
      </c>
      <c r="Y19" s="14">
        <f>IFERROR(VLOOKUP(IF(MOD(COLUMN(Y19),2)=1,$A19&amp;"-"&amp;Y$3,$A19&amp;"-"&amp;X$3),CoSo1[],Y$38,0),"")</f>
        <v>0</v>
      </c>
      <c r="Z19" s="14">
        <f>IFERROR(VLOOKUP(IF(MOD(COLUMN(Z19),2)=1,$A19&amp;"-"&amp;Z$3,$A19&amp;"-"&amp;Y$3),CoSo1[],Z$38,0),"")</f>
        <v>0</v>
      </c>
      <c r="AA19" s="14">
        <f>IFERROR(VLOOKUP(IF(MOD(COLUMN(AA19),2)=1,$A19&amp;"-"&amp;AA$3,$A19&amp;"-"&amp;Z$3),CoSo1[],AA$38,0),"")</f>
        <v>0</v>
      </c>
      <c r="AB19" s="14">
        <f>IFERROR(VLOOKUP(IF(MOD(COLUMN(AB19),2)=1,$A19&amp;"-"&amp;AB$3,$A19&amp;"-"&amp;AA$3),CoSo1[],AB$38,0),"")</f>
        <v>0</v>
      </c>
      <c r="AC19" s="11">
        <f t="shared" si="2"/>
        <v>164</v>
      </c>
      <c r="AD19" s="11">
        <f t="shared" si="2"/>
        <v>3</v>
      </c>
      <c r="AE19" s="14"/>
      <c r="AF19" s="14">
        <f>IFERROR(VLOOKUP(IF(MOD(COLUMN(AF19),2)=0,$A19&amp;"-"&amp;AF$3,$A19&amp;"-"&amp;AE$3),CoSo1[],AF$38,0),"")</f>
        <v>0</v>
      </c>
      <c r="AG19" s="14">
        <f>IFERROR(VLOOKUP(IF(MOD(COLUMN(AG19),2)=0,$A19&amp;"-"&amp;AG$3,$A19&amp;"-"&amp;AF$3),CoSo1[],AG$38,0),"")</f>
        <v>0</v>
      </c>
      <c r="AH19" s="14">
        <f>IFERROR(VLOOKUP(IF(MOD(COLUMN(AH19),2)=0,$A19&amp;"-"&amp;AH$3,$A19&amp;"-"&amp;AG$3),CoSo1[],AH$38,0),"")</f>
        <v>45</v>
      </c>
      <c r="AI19" s="14">
        <f>IFERROR(VLOOKUP(IF(MOD(COLUMN(AI19),2)=0,$A19&amp;"-"&amp;AI$3,$A19&amp;"-"&amp;AH$3),CoSo1[],AI$38,0),"")</f>
        <v>1</v>
      </c>
      <c r="AJ19" s="14">
        <f>IFERROR(VLOOKUP(IF(MOD(COLUMN(AJ19),2)=0,$A19&amp;"-"&amp;AJ$3,$A19&amp;"-"&amp;AI$3),CoSo1[],AJ$38,0),"")</f>
        <v>0</v>
      </c>
      <c r="AK19" s="14">
        <f>IFERROR(VLOOKUP(IF(MOD(COLUMN(AK19),2)=0,$A19&amp;"-"&amp;AK$3,$A19&amp;"-"&amp;AJ$3),CoSo1[],AK$38,0),"")</f>
        <v>0</v>
      </c>
      <c r="AL19" s="14">
        <f>IFERROR(VLOOKUP(IF(MOD(COLUMN(AL19),2)=0,$A19&amp;"-"&amp;AL$3,$A19&amp;"-"&amp;AK$3),CoSo1[],AL$38,0),"")</f>
        <v>0</v>
      </c>
      <c r="AM19" s="14">
        <f>IFERROR(VLOOKUP(IF(MOD(COLUMN(AM19),2)=0,$A19&amp;"-"&amp;AM$3,$A19&amp;"-"&amp;AL$3),CoSo1[],AM$38,0),"")</f>
        <v>0</v>
      </c>
      <c r="AN19" s="14">
        <f>IFERROR(VLOOKUP(IF(MOD(COLUMN(AN19),2)=0,$A19&amp;"-"&amp;AN$3,$A19&amp;"-"&amp;AM$3),CoSo1[],AN$38,0),"")</f>
        <v>0</v>
      </c>
      <c r="AO19" s="14">
        <f>IFERROR(VLOOKUP(IF(MOD(COLUMN(AO19),2)=0,$A19&amp;"-"&amp;AO$3,$A19&amp;"-"&amp;AN$3),CoSo1[],AO$38,0),"")</f>
        <v>0</v>
      </c>
      <c r="AP19" s="14">
        <f>IFERROR(VLOOKUP(IF(MOD(COLUMN(AP19),2)=0,$A19&amp;"-"&amp;AP$3,$A19&amp;"-"&amp;AO$3),CoSo1[],AP$38,0),"")</f>
        <v>0</v>
      </c>
      <c r="AQ19" s="14">
        <f>IFERROR(VLOOKUP(IF(MOD(COLUMN(AQ19),2)=0,$A19&amp;"-"&amp;AQ$3,$A19&amp;"-"&amp;AP$3),CoSo1[],AQ$38,0),"")</f>
        <v>0</v>
      </c>
      <c r="AR19" s="11">
        <f t="shared" si="4"/>
        <v>45</v>
      </c>
      <c r="AS19" s="11">
        <f t="shared" si="4"/>
        <v>1</v>
      </c>
      <c r="AT19" s="14"/>
      <c r="AU19" s="14">
        <f>IFERROR(VLOOKUP(IF(MOD(COLUMN(AU19),2)=1,$A19&amp;"-"&amp;AU$3,$A19&amp;"-"&amp;AT$3),CoSo3[],DoanhThuThang!AU$38,0),"")</f>
        <v>4</v>
      </c>
      <c r="AV19" s="14">
        <f>IFERROR(VLOOKUP(IF(MOD(COLUMN(AV19),2)=1,$A19&amp;"-"&amp;AV$3,$A19&amp;"-"&amp;AU$3),CoSo3[],DoanhThuThang!AV$38,0),"")</f>
        <v>1</v>
      </c>
      <c r="AW19" s="14">
        <f>IFERROR(VLOOKUP(IF(MOD(COLUMN(AW19),2)=1,$A19&amp;"-"&amp;AW$3,$A19&amp;"-"&amp;AV$3),CoSo3[],DoanhThuThang!AW$38,0),"")</f>
        <v>592</v>
      </c>
      <c r="AX19" s="14">
        <f>IFERROR(VLOOKUP(IF(MOD(COLUMN(AX19),2)=1,$A19&amp;"-"&amp;AX$3,$A19&amp;"-"&amp;AW$3),CoSo3[],DoanhThuThang!AX$38,0),"")</f>
        <v>6</v>
      </c>
      <c r="AY19" s="11">
        <f t="shared" si="7"/>
        <v>596</v>
      </c>
      <c r="AZ19" s="11">
        <f t="shared" si="8"/>
        <v>7</v>
      </c>
      <c r="BA19" s="14"/>
      <c r="BB19" s="14">
        <f>IFERROR(VLOOKUP(IF(MOD(COLUMN(BB19),2)=0,$A19&amp;"-"&amp;BB$3,$A19&amp;"-"&amp;BA$3),CoSo3[],DoanhThuThang!BB$38,0),"")</f>
        <v>0</v>
      </c>
      <c r="BC19" s="14">
        <f>IFERROR(VLOOKUP(IF(MOD(COLUMN(BC19),2)=0,$A19&amp;"-"&amp;BC$3,$A19&amp;"-"&amp;BB$3),CoSo3[],DoanhThuThang!BC$38,0),"")</f>
        <v>0</v>
      </c>
      <c r="BD19" s="14">
        <f>IFERROR(VLOOKUP(IF(MOD(COLUMN(BD19),2)=0,$A19&amp;"-"&amp;BD$3,$A19&amp;"-"&amp;BC$3),CoSo3[],DoanhThuThang!BD$38,0),"")</f>
        <v>0</v>
      </c>
      <c r="BE19" s="14">
        <f>IFERROR(VLOOKUP(IF(MOD(COLUMN(BE19),2)=0,$A19&amp;"-"&amp;BE$3,$A19&amp;"-"&amp;BD$3),CoSo3[],DoanhThuThang!BE$38,0),"")</f>
        <v>0</v>
      </c>
      <c r="BF19" s="11">
        <f t="shared" si="9"/>
        <v>0</v>
      </c>
      <c r="BG19" s="11">
        <f t="shared" si="10"/>
        <v>0</v>
      </c>
      <c r="BH19" s="5"/>
      <c r="BI19" s="14">
        <f>IFERROR(VLOOKUP(IF(MOD(COLUMN(BI19),2)=1,$A19&amp;"-"&amp;BI$3,$A19&amp;"-"&amp;BH$3),CoSo4[],DoanhThuThang!BI$38,0),"")</f>
        <v>250</v>
      </c>
      <c r="BJ19" s="14">
        <f>IFERROR(VLOOKUP(IF(MOD(COLUMN(BJ19),2)=1,$A19&amp;"-"&amp;BJ$3,$A19&amp;"-"&amp;BI$3),CoSo4[],DoanhThuThang!BJ$38,0),"")</f>
        <v>2</v>
      </c>
      <c r="BK19" s="14">
        <f>IFERROR(VLOOKUP(IF(MOD(COLUMN(BK19),2)=1,$A19&amp;"-"&amp;BK$3,$A19&amp;"-"&amp;BJ$3),CoSo4[],DoanhThuThang!BK$38,0),"")</f>
        <v>484</v>
      </c>
      <c r="BL19" s="14">
        <f>IFERROR(VLOOKUP(IF(MOD(COLUMN(BL19),2)=1,$A19&amp;"-"&amp;BL$3,$A19&amp;"-"&amp;BK$3),CoSo4[],DoanhThuThang!BL$38,0),"")</f>
        <v>6</v>
      </c>
      <c r="BM19" s="11">
        <f t="shared" si="11"/>
        <v>734</v>
      </c>
      <c r="BN19" s="11">
        <f t="shared" si="12"/>
        <v>8</v>
      </c>
      <c r="BO19" s="14"/>
      <c r="BP19" s="14">
        <f>IFERROR(VLOOKUP(IF(MOD(COLUMN(BP19),2)=0,$A19&amp;"-"&amp;BP$3,$A19&amp;"-"&amp;BO$3),CoSo4[],DoanhThuThang!BP$38,0),"")</f>
        <v>0</v>
      </c>
      <c r="BQ19" s="14">
        <f>IFERROR(VLOOKUP(IF(MOD(COLUMN(BQ19),2)=0,$A19&amp;"-"&amp;BQ$3,$A19&amp;"-"&amp;BP$3),CoSo4[],DoanhThuThang!BQ$38,0),"")</f>
        <v>0</v>
      </c>
      <c r="BR19" s="14">
        <f>IFERROR(VLOOKUP(IF(MOD(COLUMN(BR19),2)=0,$A19&amp;"-"&amp;BR$3,$A19&amp;"-"&amp;BQ$3),CoSo4[],DoanhThuThang!BR$38,0),"")</f>
        <v>0</v>
      </c>
      <c r="BS19" s="14">
        <f>IFERROR(VLOOKUP(IF(MOD(COLUMN(BS19),2)=0,$A19&amp;"-"&amp;BS$3,$A19&amp;"-"&amp;BR$3),CoSo4[],DoanhThuThang!BS$38,0),"")</f>
        <v>0</v>
      </c>
      <c r="BT19" s="11">
        <f t="shared" si="13"/>
        <v>0</v>
      </c>
      <c r="BU19" s="11">
        <f t="shared" si="14"/>
        <v>0</v>
      </c>
      <c r="BV19" s="103"/>
      <c r="BW19" s="14" t="str">
        <f>IFERROR(VLOOKUP($A19,BanBuon[],DoanhThuThang!BW$38,0),"")</f>
        <v/>
      </c>
      <c r="BX19" s="14" t="str">
        <f>IFERROR(VLOOKUP($A19,BanBuon[],DoanhThuThang!BX$38,0),"")</f>
        <v/>
      </c>
      <c r="BY19" s="14" t="str">
        <f>IFERROR(VLOOKUP($A19,BanBuon[],DoanhThuThang!BY$38,0),"")</f>
        <v/>
      </c>
      <c r="BZ19" s="14" t="str">
        <f>IFERROR(VLOOKUP($A19,BanBuon[],DoanhThuThang!BZ$38,0),"")</f>
        <v/>
      </c>
      <c r="CA19" s="106">
        <f t="shared" si="19"/>
        <v>0</v>
      </c>
      <c r="CB19" s="106">
        <f t="shared" si="17"/>
        <v>0</v>
      </c>
      <c r="CC19" s="14">
        <f>IFERROR(VLOOKUP(IF(MOD(COLUMN(B19),2)=0,$A19&amp;"-"&amp;B$3,$A19&amp;"-"&amp;A$3),CoSo1[],CC$38,0),"")</f>
        <v>1100</v>
      </c>
      <c r="CD19" s="14">
        <f>IFERROR(VLOOKUP(IF(MOD(COLUMN(C19),2)=0,$A19&amp;"-"&amp;CD$3,$A19&amp;"-"&amp;CC$3),CoSo1[],CD$38,0),"")</f>
        <v>13</v>
      </c>
      <c r="CE19" s="14">
        <v>2995</v>
      </c>
      <c r="CF19" s="14">
        <f>IFERROR(VLOOKUP(IF(MOD(COLUMN(E19),2)=0,$A19&amp;"-"&amp;E$3,$A19&amp;"-"&amp;D$3),CoSo1[],CF$38,0),"")</f>
        <v>32</v>
      </c>
      <c r="CG19" s="106">
        <f t="shared" si="20"/>
        <v>4095</v>
      </c>
      <c r="CH19" s="106">
        <f t="shared" si="18"/>
        <v>45</v>
      </c>
    </row>
    <row r="20" spans="1:86" x14ac:dyDescent="0.25">
      <c r="A20" s="13">
        <v>15</v>
      </c>
      <c r="B20" s="14">
        <f>IFERROR(VLOOKUP(IF(MOD(COLUMN(B20),2)=0,$A20&amp;"-"&amp;B$3,$A20&amp;"-"&amp;A$3),CoSo1[],B$38,0),"")</f>
        <v>286</v>
      </c>
      <c r="C20" s="14">
        <f>IFERROR(VLOOKUP(IF(MOD(COLUMN(C20),2)=0,$A20&amp;"-"&amp;C$3,$A20&amp;"-"&amp;B$3),CoSo1[],C$38,0),"")</f>
        <v>4</v>
      </c>
      <c r="D20" s="14">
        <f>IFERROR(VLOOKUP(IF(MOD(COLUMN(D20),2)=0,$A20&amp;"-"&amp;D$3,$A20&amp;"-"&amp;C$3),CoSo1[],D$38,0),"")</f>
        <v>1131</v>
      </c>
      <c r="E20" s="14">
        <f>IFERROR(VLOOKUP(IF(MOD(COLUMN(E20),2)=0,$A20&amp;"-"&amp;E$3,$A20&amp;"-"&amp;D$3),CoSo1[],E$38,0),"")</f>
        <v>12</v>
      </c>
      <c r="F20" s="14">
        <f>IFERROR(VLOOKUP(IF(MOD(COLUMN(F20),2)=0,$A20&amp;"-"&amp;F$3,$A20&amp;"-"&amp;E$3),CoSo1[],F$38,0),"")</f>
        <v>0</v>
      </c>
      <c r="G20" s="14">
        <f>IFERROR(VLOOKUP(IF(MOD(COLUMN(G20),2)=0,$A20&amp;"-"&amp;G$3,$A20&amp;"-"&amp;F$3),CoSo1[],G$38,0),"")</f>
        <v>0</v>
      </c>
      <c r="H20" s="14">
        <f>IFERROR(VLOOKUP(IF(MOD(COLUMN(H20),2)=0,$A20&amp;"-"&amp;H$3,$A20&amp;"-"&amp;G$3),CoSo1[],H$38,0),"")</f>
        <v>0</v>
      </c>
      <c r="I20" s="14">
        <f>IFERROR(VLOOKUP(IF(MOD(COLUMN(I20),2)=0,$A20&amp;"-"&amp;I$3,$A20&amp;"-"&amp;H$3),CoSo1[],I$38,0),"")</f>
        <v>0</v>
      </c>
      <c r="J20" s="14">
        <f>IFERROR(VLOOKUP(IF(MOD(COLUMN(J20),2)=0,$A20&amp;"-"&amp;J$3,$A20&amp;"-"&amp;I$3),CoSo1[],J$38,0),"")</f>
        <v>0</v>
      </c>
      <c r="K20" s="14">
        <f>IFERROR(VLOOKUP(IF(MOD(COLUMN(K20),2)=0,$A20&amp;"-"&amp;K$3,$A20&amp;"-"&amp;J$3),CoSo1[],K$38,0),"")</f>
        <v>0</v>
      </c>
      <c r="L20" s="14">
        <f>IFERROR(VLOOKUP(IF(MOD(COLUMN(L20),2)=0,$A20&amp;"-"&amp;L$3,$A20&amp;"-"&amp;K$3),CoSo1[],L$38,0),"")</f>
        <v>0</v>
      </c>
      <c r="M20" s="14">
        <f>IFERROR(VLOOKUP(IF(MOD(COLUMN(M20),2)=0,$A20&amp;"-"&amp;M$3,$A20&amp;"-"&amp;L$3),CoSo1[],M$38,0),"")</f>
        <v>0</v>
      </c>
      <c r="N20" s="11">
        <f t="shared" si="15"/>
        <v>1417</v>
      </c>
      <c r="O20" s="11">
        <f t="shared" si="16"/>
        <v>16</v>
      </c>
      <c r="P20" s="14"/>
      <c r="Q20" s="14">
        <f>IFERROR(VLOOKUP(IF(MOD(COLUMN(Q20),2)=1,$A20&amp;"-"&amp;Q$3,$A20&amp;"-"&amp;P$3),CoSo1[],Q$38,0),"")</f>
        <v>0</v>
      </c>
      <c r="R20" s="14">
        <f>IFERROR(VLOOKUP(IF(MOD(COLUMN(R20),2)=1,$A20&amp;"-"&amp;R$3,$A20&amp;"-"&amp;Q$3),CoSo1[],R$38,0),"")</f>
        <v>0</v>
      </c>
      <c r="S20" s="14">
        <f>IFERROR(VLOOKUP(IF(MOD(COLUMN(S20),2)=1,$A20&amp;"-"&amp;S$3,$A20&amp;"-"&amp;R$3),CoSo1[],S$38,0),"")</f>
        <v>234</v>
      </c>
      <c r="T20" s="14">
        <f>IFERROR(VLOOKUP(IF(MOD(COLUMN(T20),2)=1,$A20&amp;"-"&amp;T$3,$A20&amp;"-"&amp;S$3),CoSo1[],T$38,0),"")</f>
        <v>3</v>
      </c>
      <c r="U20" s="14">
        <f>IFERROR(VLOOKUP(IF(MOD(COLUMN(U20),2)=1,$A20&amp;"-"&amp;U$3,$A20&amp;"-"&amp;T$3),CoSo1[],U$38,0),"")</f>
        <v>0</v>
      </c>
      <c r="V20" s="14">
        <f>IFERROR(VLOOKUP(IF(MOD(COLUMN(V20),2)=1,$A20&amp;"-"&amp;V$3,$A20&amp;"-"&amp;U$3),CoSo1[],V$38,0),"")</f>
        <v>0</v>
      </c>
      <c r="W20" s="14">
        <f>IFERROR(VLOOKUP(IF(MOD(COLUMN(W20),2)=1,$A20&amp;"-"&amp;W$3,$A20&amp;"-"&amp;V$3),CoSo1[],W$38,0),"")</f>
        <v>0</v>
      </c>
      <c r="X20" s="14">
        <f>IFERROR(VLOOKUP(IF(MOD(COLUMN(X20),2)=1,$A20&amp;"-"&amp;X$3,$A20&amp;"-"&amp;W$3),CoSo1[],X$38,0),"")</f>
        <v>0</v>
      </c>
      <c r="Y20" s="14">
        <f>IFERROR(VLOOKUP(IF(MOD(COLUMN(Y20),2)=1,$A20&amp;"-"&amp;Y$3,$A20&amp;"-"&amp;X$3),CoSo1[],Y$38,0),"")</f>
        <v>0</v>
      </c>
      <c r="Z20" s="14">
        <f>IFERROR(VLOOKUP(IF(MOD(COLUMN(Z20),2)=1,$A20&amp;"-"&amp;Z$3,$A20&amp;"-"&amp;Y$3),CoSo1[],Z$38,0),"")</f>
        <v>0</v>
      </c>
      <c r="AA20" s="14">
        <f>IFERROR(VLOOKUP(IF(MOD(COLUMN(AA20),2)=1,$A20&amp;"-"&amp;AA$3,$A20&amp;"-"&amp;Z$3),CoSo1[],AA$38,0),"")</f>
        <v>0</v>
      </c>
      <c r="AB20" s="14">
        <f>IFERROR(VLOOKUP(IF(MOD(COLUMN(AB20),2)=1,$A20&amp;"-"&amp;AB$3,$A20&amp;"-"&amp;AA$3),CoSo1[],AB$38,0),"")</f>
        <v>0</v>
      </c>
      <c r="AC20" s="11">
        <f t="shared" si="2"/>
        <v>234</v>
      </c>
      <c r="AD20" s="11">
        <f t="shared" si="2"/>
        <v>3</v>
      </c>
      <c r="AE20" s="14"/>
      <c r="AF20" s="14">
        <f>IFERROR(VLOOKUP(IF(MOD(COLUMN(AF20),2)=0,$A20&amp;"-"&amp;AF$3,$A20&amp;"-"&amp;AE$3),CoSo1[],AF$38,0),"")</f>
        <v>0</v>
      </c>
      <c r="AG20" s="14">
        <f>IFERROR(VLOOKUP(IF(MOD(COLUMN(AG20),2)=0,$A20&amp;"-"&amp;AG$3,$A20&amp;"-"&amp;AF$3),CoSo1[],AG$38,0),"")</f>
        <v>0</v>
      </c>
      <c r="AH20" s="14">
        <f>IFERROR(VLOOKUP(IF(MOD(COLUMN(AH20),2)=0,$A20&amp;"-"&amp;AH$3,$A20&amp;"-"&amp;AG$3),CoSo1[],AH$38,0),"")</f>
        <v>0</v>
      </c>
      <c r="AI20" s="14">
        <f>IFERROR(VLOOKUP(IF(MOD(COLUMN(AI20),2)=0,$A20&amp;"-"&amp;AI$3,$A20&amp;"-"&amp;AH$3),CoSo1[],AI$38,0),"")</f>
        <v>0</v>
      </c>
      <c r="AJ20" s="14">
        <f>IFERROR(VLOOKUP(IF(MOD(COLUMN(AJ20),2)=0,$A20&amp;"-"&amp;AJ$3,$A20&amp;"-"&amp;AI$3),CoSo1[],AJ$38,0),"")</f>
        <v>0</v>
      </c>
      <c r="AK20" s="14">
        <f>IFERROR(VLOOKUP(IF(MOD(COLUMN(AK20),2)=0,$A20&amp;"-"&amp;AK$3,$A20&amp;"-"&amp;AJ$3),CoSo1[],AK$38,0),"")</f>
        <v>0</v>
      </c>
      <c r="AL20" s="14">
        <f>IFERROR(VLOOKUP(IF(MOD(COLUMN(AL20),2)=0,$A20&amp;"-"&amp;AL$3,$A20&amp;"-"&amp;AK$3),CoSo1[],AL$38,0),"")</f>
        <v>0</v>
      </c>
      <c r="AM20" s="14">
        <f>IFERROR(VLOOKUP(IF(MOD(COLUMN(AM20),2)=0,$A20&amp;"-"&amp;AM$3,$A20&amp;"-"&amp;AL$3),CoSo1[],AM$38,0),"")</f>
        <v>0</v>
      </c>
      <c r="AN20" s="14">
        <f>IFERROR(VLOOKUP(IF(MOD(COLUMN(AN20),2)=0,$A20&amp;"-"&amp;AN$3,$A20&amp;"-"&amp;AM$3),CoSo1[],AN$38,0),"")</f>
        <v>0</v>
      </c>
      <c r="AO20" s="14">
        <f>IFERROR(VLOOKUP(IF(MOD(COLUMN(AO20),2)=0,$A20&amp;"-"&amp;AO$3,$A20&amp;"-"&amp;AN$3),CoSo1[],AO$38,0),"")</f>
        <v>0</v>
      </c>
      <c r="AP20" s="14">
        <f>IFERROR(VLOOKUP(IF(MOD(COLUMN(AP20),2)=0,$A20&amp;"-"&amp;AP$3,$A20&amp;"-"&amp;AO$3),CoSo1[],AP$38,0),"")</f>
        <v>0</v>
      </c>
      <c r="AQ20" s="14">
        <f>IFERROR(VLOOKUP(IF(MOD(COLUMN(AQ20),2)=0,$A20&amp;"-"&amp;AQ$3,$A20&amp;"-"&amp;AP$3),CoSo1[],AQ$38,0),"")</f>
        <v>0</v>
      </c>
      <c r="AR20" s="11">
        <f t="shared" si="4"/>
        <v>0</v>
      </c>
      <c r="AS20" s="11">
        <f t="shared" si="4"/>
        <v>0</v>
      </c>
      <c r="AT20" s="14"/>
      <c r="AU20" s="14">
        <f>IFERROR(VLOOKUP(IF(MOD(COLUMN(AU20),2)=1,$A20&amp;"-"&amp;AU$3,$A20&amp;"-"&amp;AT$3),CoSo3[],DoanhThuThang!AU$38,0),"")</f>
        <v>225</v>
      </c>
      <c r="AV20" s="14">
        <f>IFERROR(VLOOKUP(IF(MOD(COLUMN(AV20),2)=1,$A20&amp;"-"&amp;AV$3,$A20&amp;"-"&amp;AU$3),CoSo3[],DoanhThuThang!AV$38,0),"")</f>
        <v>4</v>
      </c>
      <c r="AW20" s="14">
        <f>IFERROR(VLOOKUP(IF(MOD(COLUMN(AW20),2)=1,$A20&amp;"-"&amp;AW$3,$A20&amp;"-"&amp;AV$3),CoSo3[],DoanhThuThang!AW$38,0),"")</f>
        <v>263</v>
      </c>
      <c r="AX20" s="14">
        <f>IFERROR(VLOOKUP(IF(MOD(COLUMN(AX20),2)=1,$A20&amp;"-"&amp;AX$3,$A20&amp;"-"&amp;AW$3),CoSo3[],DoanhThuThang!AX$38,0),"")</f>
        <v>6</v>
      </c>
      <c r="AY20" s="11">
        <f t="shared" si="7"/>
        <v>488</v>
      </c>
      <c r="AZ20" s="11">
        <f t="shared" si="8"/>
        <v>10</v>
      </c>
      <c r="BA20" s="14"/>
      <c r="BB20" s="14">
        <f>IFERROR(VLOOKUP(IF(MOD(COLUMN(BB20),2)=0,$A20&amp;"-"&amp;BB$3,$A20&amp;"-"&amp;BA$3),CoSo3[],DoanhThuThang!BB$38,0),"")</f>
        <v>0</v>
      </c>
      <c r="BC20" s="14">
        <f>IFERROR(VLOOKUP(IF(MOD(COLUMN(BC20),2)=0,$A20&amp;"-"&amp;BC$3,$A20&amp;"-"&amp;BB$3),CoSo3[],DoanhThuThang!BC$38,0),"")</f>
        <v>0</v>
      </c>
      <c r="BD20" s="14">
        <f>IFERROR(VLOOKUP(IF(MOD(COLUMN(BD20),2)=0,$A20&amp;"-"&amp;BD$3,$A20&amp;"-"&amp;BC$3),CoSo3[],DoanhThuThang!BD$38,0),"")</f>
        <v>60</v>
      </c>
      <c r="BE20" s="14">
        <f>IFERROR(VLOOKUP(IF(MOD(COLUMN(BE20),2)=0,$A20&amp;"-"&amp;BE$3,$A20&amp;"-"&amp;BD$3),CoSo3[],DoanhThuThang!BE$38,0),"")</f>
        <v>1</v>
      </c>
      <c r="BF20" s="11">
        <f t="shared" si="9"/>
        <v>60</v>
      </c>
      <c r="BG20" s="11">
        <f t="shared" si="10"/>
        <v>1</v>
      </c>
      <c r="BH20" s="14"/>
      <c r="BI20" s="14">
        <f>IFERROR(VLOOKUP(IF(MOD(COLUMN(BI20),2)=1,$A20&amp;"-"&amp;BI$3,$A20&amp;"-"&amp;BH$3),CoSo4[],DoanhThuThang!BI$38,0),"")</f>
        <v>24</v>
      </c>
      <c r="BJ20" s="14">
        <f>IFERROR(VLOOKUP(IF(MOD(COLUMN(BJ20),2)=1,$A20&amp;"-"&amp;BJ$3,$A20&amp;"-"&amp;BI$3),CoSo4[],DoanhThuThang!BJ$38,0),"")</f>
        <v>1</v>
      </c>
      <c r="BK20" s="14">
        <f>IFERROR(VLOOKUP(IF(MOD(COLUMN(BK20),2)=1,$A20&amp;"-"&amp;BK$3,$A20&amp;"-"&amp;BJ$3),CoSo4[],DoanhThuThang!BK$38,0),"")</f>
        <v>140</v>
      </c>
      <c r="BL20" s="14">
        <f>IFERROR(VLOOKUP(IF(MOD(COLUMN(BL20),2)=1,$A20&amp;"-"&amp;BL$3,$A20&amp;"-"&amp;BK$3),CoSo4[],DoanhThuThang!BL$38,0),"")</f>
        <v>3</v>
      </c>
      <c r="BM20" s="11">
        <f t="shared" si="11"/>
        <v>164</v>
      </c>
      <c r="BN20" s="11">
        <f t="shared" si="12"/>
        <v>4</v>
      </c>
      <c r="BO20" s="14"/>
      <c r="BP20" s="14">
        <f>IFERROR(VLOOKUP(IF(MOD(COLUMN(BP20),2)=0,$A20&amp;"-"&amp;BP$3,$A20&amp;"-"&amp;BO$3),CoSo4[],DoanhThuThang!BP$38,0),"")</f>
        <v>0</v>
      </c>
      <c r="BQ20" s="14">
        <f>IFERROR(VLOOKUP(IF(MOD(COLUMN(BQ20),2)=0,$A20&amp;"-"&amp;BQ$3,$A20&amp;"-"&amp;BP$3),CoSo4[],DoanhThuThang!BQ$38,0),"")</f>
        <v>0</v>
      </c>
      <c r="BR20" s="14">
        <f>IFERROR(VLOOKUP(IF(MOD(COLUMN(BR20),2)=0,$A20&amp;"-"&amp;BR$3,$A20&amp;"-"&amp;BQ$3),CoSo4[],DoanhThuThang!BR$38,0),"")</f>
        <v>0</v>
      </c>
      <c r="BS20" s="14">
        <f>IFERROR(VLOOKUP(IF(MOD(COLUMN(BS20),2)=0,$A20&amp;"-"&amp;BS$3,$A20&amp;"-"&amp;BR$3),CoSo4[],DoanhThuThang!BS$38,0),"")</f>
        <v>0</v>
      </c>
      <c r="BT20" s="11">
        <f t="shared" si="13"/>
        <v>0</v>
      </c>
      <c r="BU20" s="11">
        <f t="shared" si="14"/>
        <v>0</v>
      </c>
      <c r="BV20" s="103"/>
      <c r="BW20" s="14" t="str">
        <f>IFERROR(VLOOKUP($A20,BanBuon[],DoanhThuThang!BW$38,0),"")</f>
        <v/>
      </c>
      <c r="BX20" s="14" t="str">
        <f>IFERROR(VLOOKUP($A20,BanBuon[],DoanhThuThang!BX$38,0),"")</f>
        <v/>
      </c>
      <c r="BY20" s="14" t="str">
        <f>IFERROR(VLOOKUP($A20,BanBuon[],DoanhThuThang!BY$38,0),"")</f>
        <v/>
      </c>
      <c r="BZ20" s="14" t="str">
        <f>IFERROR(VLOOKUP($A20,BanBuon[],DoanhThuThang!BZ$38,0),"")</f>
        <v/>
      </c>
      <c r="CA20" s="106">
        <f t="shared" si="19"/>
        <v>0</v>
      </c>
      <c r="CB20" s="106">
        <f t="shared" si="17"/>
        <v>0</v>
      </c>
      <c r="CC20" s="14">
        <f>IFERROR(VLOOKUP(IF(MOD(COLUMN(B20),2)=0,$A20&amp;"-"&amp;B$3,$A20&amp;"-"&amp;A$3),CoSo1[],CC$38,0),"")</f>
        <v>0</v>
      </c>
      <c r="CD20" s="14">
        <f>IFERROR(VLOOKUP(IF(MOD(COLUMN(C20),2)=0,$A20&amp;"-"&amp;CD$3,$A20&amp;"-"&amp;CC$3),CoSo1[],CD$38,0),"")</f>
        <v>0</v>
      </c>
      <c r="CE20" s="14">
        <f>IFERROR(VLOOKUP(IF(MOD(COLUMN(D20),2)=0,$A20&amp;"-"&amp;D$3,$A20&amp;"-"&amp;C$3),CoSo1[],CE$38,0),"")</f>
        <v>2330</v>
      </c>
      <c r="CF20" s="14">
        <f>IFERROR(VLOOKUP(IF(MOD(COLUMN(E20),2)=0,$A20&amp;"-"&amp;E$3,$A20&amp;"-"&amp;D$3),CoSo1[],CF$38,0),"")</f>
        <v>2</v>
      </c>
      <c r="CG20" s="106">
        <f t="shared" si="20"/>
        <v>2330</v>
      </c>
      <c r="CH20" s="106">
        <f t="shared" si="18"/>
        <v>2</v>
      </c>
    </row>
    <row r="21" spans="1:86" x14ac:dyDescent="0.25">
      <c r="A21" s="13">
        <v>16</v>
      </c>
      <c r="B21" s="14">
        <f>IFERROR(VLOOKUP(IF(MOD(COLUMN(B21),2)=0,$A21&amp;"-"&amp;B$3,$A21&amp;"-"&amp;A$3),CoSo1[],B$38,0),"")</f>
        <v>574</v>
      </c>
      <c r="C21" s="14">
        <f>IFERROR(VLOOKUP(IF(MOD(COLUMN(C21),2)=0,$A21&amp;"-"&amp;C$3,$A21&amp;"-"&amp;B$3),CoSo1[],C$38,0),"")</f>
        <v>8</v>
      </c>
      <c r="D21" s="14">
        <f>IFERROR(VLOOKUP(IF(MOD(COLUMN(D21),2)=0,$A21&amp;"-"&amp;D$3,$A21&amp;"-"&amp;C$3),CoSo1[],D$38,0),"")</f>
        <v>1352</v>
      </c>
      <c r="E21" s="14">
        <f>IFERROR(VLOOKUP(IF(MOD(COLUMN(E21),2)=0,$A21&amp;"-"&amp;E$3,$A21&amp;"-"&amp;D$3),CoSo1[],E$38,0),"")</f>
        <v>7</v>
      </c>
      <c r="F21" s="14">
        <f>IFERROR(VLOOKUP(IF(MOD(COLUMN(F21),2)=0,$A21&amp;"-"&amp;F$3,$A21&amp;"-"&amp;E$3),CoSo1[],F$38,0),"")</f>
        <v>0</v>
      </c>
      <c r="G21" s="14">
        <f>IFERROR(VLOOKUP(IF(MOD(COLUMN(G21),2)=0,$A21&amp;"-"&amp;G$3,$A21&amp;"-"&amp;F$3),CoSo1[],G$38,0),"")</f>
        <v>0</v>
      </c>
      <c r="H21" s="14">
        <f>IFERROR(VLOOKUP(IF(MOD(COLUMN(H21),2)=0,$A21&amp;"-"&amp;H$3,$A21&amp;"-"&amp;G$3),CoSo1[],H$38,0),"")</f>
        <v>202</v>
      </c>
      <c r="I21" s="14">
        <f>IFERROR(VLOOKUP(IF(MOD(COLUMN(I21),2)=0,$A21&amp;"-"&amp;I$3,$A21&amp;"-"&amp;H$3),CoSo1[],I$38,0),"")</f>
        <v>1</v>
      </c>
      <c r="J21" s="14">
        <f>IFERROR(VLOOKUP(IF(MOD(COLUMN(J21),2)=0,$A21&amp;"-"&amp;J$3,$A21&amp;"-"&amp;I$3),CoSo1[],J$38,0),"")</f>
        <v>0</v>
      </c>
      <c r="K21" s="14">
        <f>IFERROR(VLOOKUP(IF(MOD(COLUMN(K21),2)=0,$A21&amp;"-"&amp;K$3,$A21&amp;"-"&amp;J$3),CoSo1[],K$38,0),"")</f>
        <v>0</v>
      </c>
      <c r="L21" s="14">
        <f>IFERROR(VLOOKUP(IF(MOD(COLUMN(L21),2)=0,$A21&amp;"-"&amp;L$3,$A21&amp;"-"&amp;K$3),CoSo1[],L$38,0),"")</f>
        <v>843</v>
      </c>
      <c r="M21" s="14">
        <f>IFERROR(VLOOKUP(IF(MOD(COLUMN(M21),2)=0,$A21&amp;"-"&amp;M$3,$A21&amp;"-"&amp;L$3),CoSo1[],M$38,0),"")</f>
        <v>2</v>
      </c>
      <c r="N21" s="11">
        <f t="shared" si="15"/>
        <v>2971</v>
      </c>
      <c r="O21" s="11">
        <f t="shared" si="16"/>
        <v>18</v>
      </c>
      <c r="P21" s="14"/>
      <c r="Q21" s="14">
        <f>IFERROR(VLOOKUP(IF(MOD(COLUMN(Q21),2)=1,$A21&amp;"-"&amp;Q$3,$A21&amp;"-"&amp;P$3),CoSo1[],Q$38,0),"")</f>
        <v>84</v>
      </c>
      <c r="R21" s="14">
        <f>IFERROR(VLOOKUP(IF(MOD(COLUMN(R21),2)=1,$A21&amp;"-"&amp;R$3,$A21&amp;"-"&amp;Q$3),CoSo1[],R$38,0),"")</f>
        <v>1</v>
      </c>
      <c r="S21" s="14">
        <f>IFERROR(VLOOKUP(IF(MOD(COLUMN(S21),2)=1,$A21&amp;"-"&amp;S$3,$A21&amp;"-"&amp;R$3),CoSo1[],S$38,0),"")</f>
        <v>0</v>
      </c>
      <c r="T21" s="14">
        <f>IFERROR(VLOOKUP(IF(MOD(COLUMN(T21),2)=1,$A21&amp;"-"&amp;T$3,$A21&amp;"-"&amp;S$3),CoSo1[],T$38,0),"")</f>
        <v>0</v>
      </c>
      <c r="U21" s="14">
        <f>IFERROR(VLOOKUP(IF(MOD(COLUMN(U21),2)=1,$A21&amp;"-"&amp;U$3,$A21&amp;"-"&amp;T$3),CoSo1[],U$38,0),"")</f>
        <v>0</v>
      </c>
      <c r="V21" s="14">
        <f>IFERROR(VLOOKUP(IF(MOD(COLUMN(V21),2)=1,$A21&amp;"-"&amp;V$3,$A21&amp;"-"&amp;U$3),CoSo1[],V$38,0),"")</f>
        <v>0</v>
      </c>
      <c r="W21" s="14">
        <f>IFERROR(VLOOKUP(IF(MOD(COLUMN(W21),2)=1,$A21&amp;"-"&amp;W$3,$A21&amp;"-"&amp;V$3),CoSo1[],W$38,0),"")</f>
        <v>0</v>
      </c>
      <c r="X21" s="14">
        <f>IFERROR(VLOOKUP(IF(MOD(COLUMN(X21),2)=1,$A21&amp;"-"&amp;X$3,$A21&amp;"-"&amp;W$3),CoSo1[],X$38,0),"")</f>
        <v>0</v>
      </c>
      <c r="Y21" s="14">
        <f>IFERROR(VLOOKUP(IF(MOD(COLUMN(Y21),2)=1,$A21&amp;"-"&amp;Y$3,$A21&amp;"-"&amp;X$3),CoSo1[],Y$38,0),"")</f>
        <v>0</v>
      </c>
      <c r="Z21" s="14">
        <f>IFERROR(VLOOKUP(IF(MOD(COLUMN(Z21),2)=1,$A21&amp;"-"&amp;Z$3,$A21&amp;"-"&amp;Y$3),CoSo1[],Z$38,0),"")</f>
        <v>0</v>
      </c>
      <c r="AA21" s="14">
        <f>IFERROR(VLOOKUP(IF(MOD(COLUMN(AA21),2)=1,$A21&amp;"-"&amp;AA$3,$A21&amp;"-"&amp;Z$3),CoSo1[],AA$38,0),"")</f>
        <v>0</v>
      </c>
      <c r="AB21" s="14">
        <f>IFERROR(VLOOKUP(IF(MOD(COLUMN(AB21),2)=1,$A21&amp;"-"&amp;AB$3,$A21&amp;"-"&amp;AA$3),CoSo1[],AB$38,0),"")</f>
        <v>0</v>
      </c>
      <c r="AC21" s="11">
        <f t="shared" si="2"/>
        <v>84</v>
      </c>
      <c r="AD21" s="11">
        <f t="shared" si="2"/>
        <v>1</v>
      </c>
      <c r="AE21" s="14"/>
      <c r="AF21" s="14">
        <f>IFERROR(VLOOKUP(IF(MOD(COLUMN(AF21),2)=0,$A21&amp;"-"&amp;AF$3,$A21&amp;"-"&amp;AE$3),CoSo1[],AF$38,0),"")</f>
        <v>0</v>
      </c>
      <c r="AG21" s="14">
        <f>IFERROR(VLOOKUP(IF(MOD(COLUMN(AG21),2)=0,$A21&amp;"-"&amp;AG$3,$A21&amp;"-"&amp;AF$3),CoSo1[],AG$38,0),"")</f>
        <v>0</v>
      </c>
      <c r="AH21" s="14">
        <f>IFERROR(VLOOKUP(IF(MOD(COLUMN(AH21),2)=0,$A21&amp;"-"&amp;AH$3,$A21&amp;"-"&amp;AG$3),CoSo1[],AH$38,0),"")</f>
        <v>129</v>
      </c>
      <c r="AI21" s="14">
        <f>IFERROR(VLOOKUP(IF(MOD(COLUMN(AI21),2)=0,$A21&amp;"-"&amp;AI$3,$A21&amp;"-"&amp;AH$3),CoSo1[],AI$38,0),"")</f>
        <v>1</v>
      </c>
      <c r="AJ21" s="14">
        <f>IFERROR(VLOOKUP(IF(MOD(COLUMN(AJ21),2)=0,$A21&amp;"-"&amp;AJ$3,$A21&amp;"-"&amp;AI$3),CoSo1[],AJ$38,0),"")</f>
        <v>0</v>
      </c>
      <c r="AK21" s="14">
        <f>IFERROR(VLOOKUP(IF(MOD(COLUMN(AK21),2)=0,$A21&amp;"-"&amp;AK$3,$A21&amp;"-"&amp;AJ$3),CoSo1[],AK$38,0),"")</f>
        <v>0</v>
      </c>
      <c r="AL21" s="14">
        <f>IFERROR(VLOOKUP(IF(MOD(COLUMN(AL21),2)=0,$A21&amp;"-"&amp;AL$3,$A21&amp;"-"&amp;AK$3),CoSo1[],AL$38,0),"")</f>
        <v>0</v>
      </c>
      <c r="AM21" s="14">
        <f>IFERROR(VLOOKUP(IF(MOD(COLUMN(AM21),2)=0,$A21&amp;"-"&amp;AM$3,$A21&amp;"-"&amp;AL$3),CoSo1[],AM$38,0),"")</f>
        <v>0</v>
      </c>
      <c r="AN21" s="14">
        <f>IFERROR(VLOOKUP(IF(MOD(COLUMN(AN21),2)=0,$A21&amp;"-"&amp;AN$3,$A21&amp;"-"&amp;AM$3),CoSo1[],AN$38,0),"")</f>
        <v>0</v>
      </c>
      <c r="AO21" s="14">
        <f>IFERROR(VLOOKUP(IF(MOD(COLUMN(AO21),2)=0,$A21&amp;"-"&amp;AO$3,$A21&amp;"-"&amp;AN$3),CoSo1[],AO$38,0),"")</f>
        <v>0</v>
      </c>
      <c r="AP21" s="14">
        <f>IFERROR(VLOOKUP(IF(MOD(COLUMN(AP21),2)=0,$A21&amp;"-"&amp;AP$3,$A21&amp;"-"&amp;AO$3),CoSo1[],AP$38,0),"")</f>
        <v>0</v>
      </c>
      <c r="AQ21" s="14">
        <f>IFERROR(VLOOKUP(IF(MOD(COLUMN(AQ21),2)=0,$A21&amp;"-"&amp;AQ$3,$A21&amp;"-"&amp;AP$3),CoSo1[],AQ$38,0),"")</f>
        <v>0</v>
      </c>
      <c r="AR21" s="11">
        <f t="shared" si="4"/>
        <v>129</v>
      </c>
      <c r="AS21" s="11">
        <f t="shared" si="4"/>
        <v>1</v>
      </c>
      <c r="AT21" s="14"/>
      <c r="AU21" s="14">
        <f>IFERROR(VLOOKUP(IF(MOD(COLUMN(AU21),2)=1,$A21&amp;"-"&amp;AU$3,$A21&amp;"-"&amp;AT$3),CoSo3[],DoanhThuThang!AU$38,0),"")</f>
        <v>46</v>
      </c>
      <c r="AV21" s="14">
        <f>IFERROR(VLOOKUP(IF(MOD(COLUMN(AV21),2)=1,$A21&amp;"-"&amp;AV$3,$A21&amp;"-"&amp;AU$3),CoSo3[],DoanhThuThang!AV$38,0),"")</f>
        <v>2</v>
      </c>
      <c r="AW21" s="14">
        <f>IFERROR(VLOOKUP(IF(MOD(COLUMN(AW21),2)=1,$A21&amp;"-"&amp;AW$3,$A21&amp;"-"&amp;AV$3),CoSo3[],DoanhThuThang!AW$38,0),"")</f>
        <v>497</v>
      </c>
      <c r="AX21" s="14">
        <f>IFERROR(VLOOKUP(IF(MOD(COLUMN(AX21),2)=1,$A21&amp;"-"&amp;AX$3,$A21&amp;"-"&amp;AW$3),CoSo3[],DoanhThuThang!AX$38,0),"")</f>
        <v>6</v>
      </c>
      <c r="AY21" s="11">
        <f t="shared" si="7"/>
        <v>543</v>
      </c>
      <c r="AZ21" s="11">
        <f t="shared" si="8"/>
        <v>8</v>
      </c>
      <c r="BA21" s="14"/>
      <c r="BB21" s="14">
        <f>IFERROR(VLOOKUP(IF(MOD(COLUMN(BB21),2)=0,$A21&amp;"-"&amp;BB$3,$A21&amp;"-"&amp;BA$3),CoSo3[],DoanhThuThang!BB$38,0),"")</f>
        <v>0</v>
      </c>
      <c r="BC21" s="14">
        <f>IFERROR(VLOOKUP(IF(MOD(COLUMN(BC21),2)=0,$A21&amp;"-"&amp;BC$3,$A21&amp;"-"&amp;BB$3),CoSo3[],DoanhThuThang!BC$38,0),"")</f>
        <v>0</v>
      </c>
      <c r="BD21" s="14">
        <f>IFERROR(VLOOKUP(IF(MOD(COLUMN(BD21),2)=0,$A21&amp;"-"&amp;BD$3,$A21&amp;"-"&amp;BC$3),CoSo3[],DoanhThuThang!BD$38,0),"")</f>
        <v>0</v>
      </c>
      <c r="BE21" s="14">
        <f>IFERROR(VLOOKUP(IF(MOD(COLUMN(BE21),2)=0,$A21&amp;"-"&amp;BE$3,$A21&amp;"-"&amp;BD$3),CoSo3[],DoanhThuThang!BE$38,0),"")</f>
        <v>0</v>
      </c>
      <c r="BF21" s="11">
        <f t="shared" si="9"/>
        <v>0</v>
      </c>
      <c r="BG21" s="11">
        <f t="shared" si="10"/>
        <v>0</v>
      </c>
      <c r="BH21" s="14"/>
      <c r="BI21" s="14">
        <f>IFERROR(VLOOKUP(IF(MOD(COLUMN(BI21),2)=1,$A21&amp;"-"&amp;BI$3,$A21&amp;"-"&amp;BH$3),CoSo4[],DoanhThuThang!BI$38,0),"")</f>
        <v>44</v>
      </c>
      <c r="BJ21" s="14">
        <f>IFERROR(VLOOKUP(IF(MOD(COLUMN(BJ21),2)=1,$A21&amp;"-"&amp;BJ$3,$A21&amp;"-"&amp;BI$3),CoSo4[],DoanhThuThang!BJ$38,0),"")</f>
        <v>1</v>
      </c>
      <c r="BK21" s="14">
        <f>IFERROR(VLOOKUP(IF(MOD(COLUMN(BK21),2)=1,$A21&amp;"-"&amp;BK$3,$A21&amp;"-"&amp;BJ$3),CoSo4[],DoanhThuThang!BK$38,0),"")</f>
        <v>133</v>
      </c>
      <c r="BL21" s="14">
        <f>IFERROR(VLOOKUP(IF(MOD(COLUMN(BL21),2)=1,$A21&amp;"-"&amp;BL$3,$A21&amp;"-"&amp;BK$3),CoSo4[],DoanhThuThang!BL$38,0),"")</f>
        <v>2</v>
      </c>
      <c r="BM21" s="11">
        <f t="shared" si="11"/>
        <v>177</v>
      </c>
      <c r="BN21" s="11">
        <f t="shared" si="12"/>
        <v>3</v>
      </c>
      <c r="BO21" s="14"/>
      <c r="BP21" s="14">
        <f>IFERROR(VLOOKUP(IF(MOD(COLUMN(BP21),2)=0,$A21&amp;"-"&amp;BP$3,$A21&amp;"-"&amp;BO$3),CoSo4[],DoanhThuThang!BP$38,0),"")</f>
        <v>0</v>
      </c>
      <c r="BQ21" s="14">
        <f>IFERROR(VLOOKUP(IF(MOD(COLUMN(BQ21),2)=0,$A21&amp;"-"&amp;BQ$3,$A21&amp;"-"&amp;BP$3),CoSo4[],DoanhThuThang!BQ$38,0),"")</f>
        <v>0</v>
      </c>
      <c r="BR21" s="14">
        <f>IFERROR(VLOOKUP(IF(MOD(COLUMN(BR21),2)=0,$A21&amp;"-"&amp;BR$3,$A21&amp;"-"&amp;BQ$3),CoSo4[],DoanhThuThang!BR$38,0),"")</f>
        <v>0</v>
      </c>
      <c r="BS21" s="14">
        <f>IFERROR(VLOOKUP(IF(MOD(COLUMN(BS21),2)=0,$A21&amp;"-"&amp;BS$3,$A21&amp;"-"&amp;BR$3),CoSo4[],DoanhThuThang!BS$38,0),"")</f>
        <v>0</v>
      </c>
      <c r="BT21" s="11">
        <f t="shared" si="13"/>
        <v>0</v>
      </c>
      <c r="BU21" s="11">
        <f t="shared" si="14"/>
        <v>0</v>
      </c>
      <c r="BV21" s="103"/>
      <c r="BW21" s="14" t="str">
        <f>IFERROR(VLOOKUP($A21,BanBuon[],DoanhThuThang!BW$38,0),"")</f>
        <v/>
      </c>
      <c r="BX21" s="14" t="str">
        <f>IFERROR(VLOOKUP($A21,BanBuon[],DoanhThuThang!BX$38,0),"")</f>
        <v/>
      </c>
      <c r="BY21" s="14" t="str">
        <f>IFERROR(VLOOKUP($A21,BanBuon[],DoanhThuThang!BY$38,0),"")</f>
        <v/>
      </c>
      <c r="BZ21" s="14" t="str">
        <f>IFERROR(VLOOKUP($A21,BanBuon[],DoanhThuThang!BZ$38,0),"")</f>
        <v/>
      </c>
      <c r="CA21" s="106">
        <f t="shared" si="19"/>
        <v>0</v>
      </c>
      <c r="CB21" s="106">
        <f t="shared" si="17"/>
        <v>0</v>
      </c>
      <c r="CC21" s="14">
        <f>IFERROR(VLOOKUP(IF(MOD(COLUMN(B21),2)=0,$A21&amp;"-"&amp;B$3,$A21&amp;"-"&amp;A$3),CoSo1[],CC$38,0),"")</f>
        <v>400</v>
      </c>
      <c r="CD21" s="14">
        <f>IFERROR(VLOOKUP(IF(MOD(COLUMN(C21),2)=0,$A21&amp;"-"&amp;CD$3,$A21&amp;"-"&amp;CC$3),CoSo1[],CD$38,0),"")</f>
        <v>2</v>
      </c>
      <c r="CE21" s="14">
        <f>IFERROR(VLOOKUP(IF(MOD(COLUMN(D21),2)=0,$A21&amp;"-"&amp;D$3,$A21&amp;"-"&amp;C$3),CoSo1[],CE$38,0),"")</f>
        <v>889</v>
      </c>
      <c r="CF21" s="14">
        <f>IFERROR(VLOOKUP(IF(MOD(COLUMN(E21),2)=0,$A21&amp;"-"&amp;E$3,$A21&amp;"-"&amp;D$3),CoSo1[],CF$38,0),"")</f>
        <v>7</v>
      </c>
      <c r="CG21" s="106">
        <f t="shared" si="20"/>
        <v>1289</v>
      </c>
      <c r="CH21" s="106">
        <f t="shared" si="18"/>
        <v>9</v>
      </c>
    </row>
    <row r="22" spans="1:86" x14ac:dyDescent="0.25">
      <c r="A22" s="13">
        <v>17</v>
      </c>
      <c r="B22" s="14">
        <f>IFERROR(VLOOKUP(IF(MOD(COLUMN(B22),2)=0,$A22&amp;"-"&amp;B$3,$A22&amp;"-"&amp;A$3),CoSo1[],B$38,0),"")</f>
        <v>1025</v>
      </c>
      <c r="C22" s="14">
        <f>IFERROR(VLOOKUP(IF(MOD(COLUMN(C22),2)=0,$A22&amp;"-"&amp;C$3,$A22&amp;"-"&amp;B$3),CoSo1[],C$38,0),"")</f>
        <v>10</v>
      </c>
      <c r="D22" s="14">
        <f>IFERROR(VLOOKUP(IF(MOD(COLUMN(D22),2)=0,$A22&amp;"-"&amp;D$3,$A22&amp;"-"&amp;C$3),CoSo1[],D$38,0),"")</f>
        <v>764</v>
      </c>
      <c r="E22" s="14">
        <f>IFERROR(VLOOKUP(IF(MOD(COLUMN(E22),2)=0,$A22&amp;"-"&amp;E$3,$A22&amp;"-"&amp;D$3),CoSo1[],E$38,0),"")</f>
        <v>14</v>
      </c>
      <c r="F22" s="14">
        <f>IFERROR(VLOOKUP(IF(MOD(COLUMN(F22),2)=0,$A22&amp;"-"&amp;F$3,$A22&amp;"-"&amp;E$3),CoSo1[],F$38,0),"")</f>
        <v>0</v>
      </c>
      <c r="G22" s="14">
        <f>IFERROR(VLOOKUP(IF(MOD(COLUMN(G22),2)=0,$A22&amp;"-"&amp;G$3,$A22&amp;"-"&amp;F$3),CoSo1[],G$38,0),"")</f>
        <v>0</v>
      </c>
      <c r="H22" s="14">
        <f>IFERROR(VLOOKUP(IF(MOD(COLUMN(H22),2)=0,$A22&amp;"-"&amp;H$3,$A22&amp;"-"&amp;G$3),CoSo1[],H$38,0),"")</f>
        <v>245</v>
      </c>
      <c r="I22" s="14">
        <f>IFERROR(VLOOKUP(IF(MOD(COLUMN(I22),2)=0,$A22&amp;"-"&amp;I$3,$A22&amp;"-"&amp;H$3),CoSo1[],I$38,0),"")</f>
        <v>3</v>
      </c>
      <c r="J22" s="14">
        <f>IFERROR(VLOOKUP(IF(MOD(COLUMN(J22),2)=0,$A22&amp;"-"&amp;J$3,$A22&amp;"-"&amp;I$3),CoSo1[],J$38,0),"")</f>
        <v>0</v>
      </c>
      <c r="K22" s="14">
        <f>IFERROR(VLOOKUP(IF(MOD(COLUMN(K22),2)=0,$A22&amp;"-"&amp;K$3,$A22&amp;"-"&amp;J$3),CoSo1[],K$38,0),"")</f>
        <v>0</v>
      </c>
      <c r="L22" s="14">
        <f>IFERROR(VLOOKUP(IF(MOD(COLUMN(L22),2)=0,$A22&amp;"-"&amp;L$3,$A22&amp;"-"&amp;K$3),CoSo1[],L$38,0),"")</f>
        <v>0</v>
      </c>
      <c r="M22" s="14">
        <f>IFERROR(VLOOKUP(IF(MOD(COLUMN(M22),2)=0,$A22&amp;"-"&amp;M$3,$A22&amp;"-"&amp;L$3),CoSo1[],M$38,0),"")</f>
        <v>0</v>
      </c>
      <c r="N22" s="11">
        <f t="shared" si="15"/>
        <v>2034</v>
      </c>
      <c r="O22" s="11">
        <f t="shared" si="16"/>
        <v>27</v>
      </c>
      <c r="P22" s="14"/>
      <c r="Q22" s="14">
        <f>IFERROR(VLOOKUP(IF(MOD(COLUMN(Q22),2)=1,$A22&amp;"-"&amp;Q$3,$A22&amp;"-"&amp;P$3),CoSo1[],Q$38,0),"")</f>
        <v>40</v>
      </c>
      <c r="R22" s="14">
        <f>IFERROR(VLOOKUP(IF(MOD(COLUMN(R22),2)=1,$A22&amp;"-"&amp;R$3,$A22&amp;"-"&amp;Q$3),CoSo1[],R$38,0),"")</f>
        <v>1</v>
      </c>
      <c r="S22" s="14">
        <f>IFERROR(VLOOKUP(IF(MOD(COLUMN(S22),2)=1,$A22&amp;"-"&amp;S$3,$A22&amp;"-"&amp;R$3),CoSo1[],S$38,0),"")</f>
        <v>102</v>
      </c>
      <c r="T22" s="14">
        <f>IFERROR(VLOOKUP(IF(MOD(COLUMN(T22),2)=1,$A22&amp;"-"&amp;T$3,$A22&amp;"-"&amp;S$3),CoSo1[],T$38,0),"")</f>
        <v>2</v>
      </c>
      <c r="U22" s="14">
        <f>IFERROR(VLOOKUP(IF(MOD(COLUMN(U22),2)=1,$A22&amp;"-"&amp;U$3,$A22&amp;"-"&amp;T$3),CoSo1[],U$38,0),"")</f>
        <v>0</v>
      </c>
      <c r="V22" s="14">
        <f>IFERROR(VLOOKUP(IF(MOD(COLUMN(V22),2)=1,$A22&amp;"-"&amp;V$3,$A22&amp;"-"&amp;U$3),CoSo1[],V$38,0),"")</f>
        <v>0</v>
      </c>
      <c r="W22" s="14">
        <f>IFERROR(VLOOKUP(IF(MOD(COLUMN(W22),2)=1,$A22&amp;"-"&amp;W$3,$A22&amp;"-"&amp;V$3),CoSo1[],W$38,0),"")</f>
        <v>0</v>
      </c>
      <c r="X22" s="14">
        <f>IFERROR(VLOOKUP(IF(MOD(COLUMN(X22),2)=1,$A22&amp;"-"&amp;X$3,$A22&amp;"-"&amp;W$3),CoSo1[],X$38,0),"")</f>
        <v>0</v>
      </c>
      <c r="Y22" s="14">
        <f>IFERROR(VLOOKUP(IF(MOD(COLUMN(Y22),2)=1,$A22&amp;"-"&amp;Y$3,$A22&amp;"-"&amp;X$3),CoSo1[],Y$38,0),"")</f>
        <v>0</v>
      </c>
      <c r="Z22" s="14">
        <f>IFERROR(VLOOKUP(IF(MOD(COLUMN(Z22),2)=1,$A22&amp;"-"&amp;Z$3,$A22&amp;"-"&amp;Y$3),CoSo1[],Z$38,0),"")</f>
        <v>0</v>
      </c>
      <c r="AA22" s="14">
        <f>IFERROR(VLOOKUP(IF(MOD(COLUMN(AA22),2)=1,$A22&amp;"-"&amp;AA$3,$A22&amp;"-"&amp;Z$3),CoSo1[],AA$38,0),"")</f>
        <v>0</v>
      </c>
      <c r="AB22" s="14">
        <f>IFERROR(VLOOKUP(IF(MOD(COLUMN(AB22),2)=1,$A22&amp;"-"&amp;AB$3,$A22&amp;"-"&amp;AA$3),CoSo1[],AB$38,0),"")</f>
        <v>0</v>
      </c>
      <c r="AC22" s="11">
        <f t="shared" si="2"/>
        <v>142</v>
      </c>
      <c r="AD22" s="11">
        <f t="shared" si="2"/>
        <v>3</v>
      </c>
      <c r="AE22" s="14"/>
      <c r="AF22" s="14">
        <f>IFERROR(VLOOKUP(IF(MOD(COLUMN(AF22),2)=0,$A22&amp;"-"&amp;AF$3,$A22&amp;"-"&amp;AE$3),CoSo1[],AF$38,0),"")</f>
        <v>40</v>
      </c>
      <c r="AG22" s="14">
        <f>IFERROR(VLOOKUP(IF(MOD(COLUMN(AG22),2)=0,$A22&amp;"-"&amp;AG$3,$A22&amp;"-"&amp;AF$3),CoSo1[],AG$38,0),"")</f>
        <v>1</v>
      </c>
      <c r="AH22" s="14">
        <f>IFERROR(VLOOKUP(IF(MOD(COLUMN(AH22),2)=0,$A22&amp;"-"&amp;AH$3,$A22&amp;"-"&amp;AG$3),CoSo1[],AH$38,0),"")</f>
        <v>60</v>
      </c>
      <c r="AI22" s="14">
        <f>IFERROR(VLOOKUP(IF(MOD(COLUMN(AI22),2)=0,$A22&amp;"-"&amp;AI$3,$A22&amp;"-"&amp;AH$3),CoSo1[],AI$38,0),"")</f>
        <v>2</v>
      </c>
      <c r="AJ22" s="14">
        <f>IFERROR(VLOOKUP(IF(MOD(COLUMN(AJ22),2)=0,$A22&amp;"-"&amp;AJ$3,$A22&amp;"-"&amp;AI$3),CoSo1[],AJ$38,0),"")</f>
        <v>0</v>
      </c>
      <c r="AK22" s="14">
        <f>IFERROR(VLOOKUP(IF(MOD(COLUMN(AK22),2)=0,$A22&amp;"-"&amp;AK$3,$A22&amp;"-"&amp;AJ$3),CoSo1[],AK$38,0),"")</f>
        <v>0</v>
      </c>
      <c r="AL22" s="14">
        <f>IFERROR(VLOOKUP(IF(MOD(COLUMN(AL22),2)=0,$A22&amp;"-"&amp;AL$3,$A22&amp;"-"&amp;AK$3),CoSo1[],AL$38,0),"")</f>
        <v>90</v>
      </c>
      <c r="AM22" s="14">
        <f>IFERROR(VLOOKUP(IF(MOD(COLUMN(AM22),2)=0,$A22&amp;"-"&amp;AM$3,$A22&amp;"-"&amp;AL$3),CoSo1[],AM$38,0),"")</f>
        <v>1</v>
      </c>
      <c r="AN22" s="14">
        <f>IFERROR(VLOOKUP(IF(MOD(COLUMN(AN22),2)=0,$A22&amp;"-"&amp;AN$3,$A22&amp;"-"&amp;AM$3),CoSo1[],AN$38,0),"")</f>
        <v>0</v>
      </c>
      <c r="AO22" s="14">
        <f>IFERROR(VLOOKUP(IF(MOD(COLUMN(AO22),2)=0,$A22&amp;"-"&amp;AO$3,$A22&amp;"-"&amp;AN$3),CoSo1[],AO$38,0),"")</f>
        <v>0</v>
      </c>
      <c r="AP22" s="14">
        <f>IFERROR(VLOOKUP(IF(MOD(COLUMN(AP22),2)=0,$A22&amp;"-"&amp;AP$3,$A22&amp;"-"&amp;AO$3),CoSo1[],AP$38,0),"")</f>
        <v>0</v>
      </c>
      <c r="AQ22" s="14">
        <f>IFERROR(VLOOKUP(IF(MOD(COLUMN(AQ22),2)=0,$A22&amp;"-"&amp;AQ$3,$A22&amp;"-"&amp;AP$3),CoSo1[],AQ$38,0),"")</f>
        <v>0</v>
      </c>
      <c r="AR22" s="11">
        <f t="shared" si="4"/>
        <v>190</v>
      </c>
      <c r="AS22" s="11">
        <f t="shared" si="4"/>
        <v>4</v>
      </c>
      <c r="AT22" s="14"/>
      <c r="AU22" s="14">
        <f>IFERROR(VLOOKUP(IF(MOD(COLUMN(AU22),2)=1,$A22&amp;"-"&amp;AU$3,$A22&amp;"-"&amp;AT$3),CoSo3[],DoanhThuThang!AU$38,0),"")</f>
        <v>187</v>
      </c>
      <c r="AV22" s="14">
        <f>IFERROR(VLOOKUP(IF(MOD(COLUMN(AV22),2)=1,$A22&amp;"-"&amp;AV$3,$A22&amp;"-"&amp;AU$3),CoSo3[],DoanhThuThang!AV$38,0),"")</f>
        <v>2</v>
      </c>
      <c r="AW22" s="14">
        <f>IFERROR(VLOOKUP(IF(MOD(COLUMN(AW22),2)=1,$A22&amp;"-"&amp;AW$3,$A22&amp;"-"&amp;AV$3),CoSo3[],DoanhThuThang!AW$38,0),"")</f>
        <v>342</v>
      </c>
      <c r="AX22" s="14">
        <f>IFERROR(VLOOKUP(IF(MOD(COLUMN(AX22),2)=1,$A22&amp;"-"&amp;AX$3,$A22&amp;"-"&amp;AW$3),CoSo3[],DoanhThuThang!AX$38,0),"")</f>
        <v>7</v>
      </c>
      <c r="AY22" s="11">
        <f t="shared" si="7"/>
        <v>529</v>
      </c>
      <c r="AZ22" s="11">
        <f t="shared" si="8"/>
        <v>9</v>
      </c>
      <c r="BA22" s="14"/>
      <c r="BB22" s="14">
        <f>IFERROR(VLOOKUP(IF(MOD(COLUMN(BB22),2)=0,$A22&amp;"-"&amp;BB$3,$A22&amp;"-"&amp;BA$3),CoSo3[],DoanhThuThang!BB$38,0),"")</f>
        <v>0</v>
      </c>
      <c r="BC22" s="14">
        <f>IFERROR(VLOOKUP(IF(MOD(COLUMN(BC22),2)=0,$A22&amp;"-"&amp;BC$3,$A22&amp;"-"&amp;BB$3),CoSo3[],DoanhThuThang!BC$38,0),"")</f>
        <v>0</v>
      </c>
      <c r="BD22" s="14">
        <f>IFERROR(VLOOKUP(IF(MOD(COLUMN(BD22),2)=0,$A22&amp;"-"&amp;BD$3,$A22&amp;"-"&amp;BC$3),CoSo3[],DoanhThuThang!BD$38,0),"")</f>
        <v>0</v>
      </c>
      <c r="BE22" s="14">
        <f>IFERROR(VLOOKUP(IF(MOD(COLUMN(BE22),2)=0,$A22&amp;"-"&amp;BE$3,$A22&amp;"-"&amp;BD$3),CoSo3[],DoanhThuThang!BE$38,0),"")</f>
        <v>0</v>
      </c>
      <c r="BF22" s="11">
        <f t="shared" si="9"/>
        <v>0</v>
      </c>
      <c r="BG22" s="11">
        <f t="shared" si="10"/>
        <v>0</v>
      </c>
      <c r="BH22" s="14"/>
      <c r="BI22" s="14">
        <f>IFERROR(VLOOKUP(IF(MOD(COLUMN(BI22),2)=1,$A22&amp;"-"&amp;BI$3,$A22&amp;"-"&amp;BH$3),CoSo4[],DoanhThuThang!BI$38,0),"")</f>
        <v>92</v>
      </c>
      <c r="BJ22" s="14">
        <f>IFERROR(VLOOKUP(IF(MOD(COLUMN(BJ22),2)=1,$A22&amp;"-"&amp;BJ$3,$A22&amp;"-"&amp;BI$3),CoSo4[],DoanhThuThang!BJ$38,0),"")</f>
        <v>1</v>
      </c>
      <c r="BK22" s="14">
        <f>IFERROR(VLOOKUP(IF(MOD(COLUMN(BK22),2)=1,$A22&amp;"-"&amp;BK$3,$A22&amp;"-"&amp;BJ$3),CoSo4[],DoanhThuThang!BK$38,0),"")</f>
        <v>43</v>
      </c>
      <c r="BL22" s="14">
        <f>IFERROR(VLOOKUP(IF(MOD(COLUMN(BL22),2)=1,$A22&amp;"-"&amp;BL$3,$A22&amp;"-"&amp;BK$3),CoSo4[],DoanhThuThang!BL$38,0),"")</f>
        <v>2</v>
      </c>
      <c r="BM22" s="11">
        <f t="shared" si="11"/>
        <v>135</v>
      </c>
      <c r="BN22" s="11">
        <f t="shared" si="12"/>
        <v>3</v>
      </c>
      <c r="BO22" s="14"/>
      <c r="BP22" s="14">
        <f>IFERROR(VLOOKUP(IF(MOD(COLUMN(BP22),2)=0,$A22&amp;"-"&amp;BP$3,$A22&amp;"-"&amp;BO$3),CoSo4[],DoanhThuThang!BP$38,0),"")</f>
        <v>0</v>
      </c>
      <c r="BQ22" s="14">
        <f>IFERROR(VLOOKUP(IF(MOD(COLUMN(BQ22),2)=0,$A22&amp;"-"&amp;BQ$3,$A22&amp;"-"&amp;BP$3),CoSo4[],DoanhThuThang!BQ$38,0),"")</f>
        <v>0</v>
      </c>
      <c r="BR22" s="14">
        <f>IFERROR(VLOOKUP(IF(MOD(COLUMN(BR22),2)=0,$A22&amp;"-"&amp;BR$3,$A22&amp;"-"&amp;BQ$3),CoSo4[],DoanhThuThang!BR$38,0),"")</f>
        <v>0</v>
      </c>
      <c r="BS22" s="14">
        <f>IFERROR(VLOOKUP(IF(MOD(COLUMN(BS22),2)=0,$A22&amp;"-"&amp;BS$3,$A22&amp;"-"&amp;BR$3),CoSo4[],DoanhThuThang!BS$38,0),"")</f>
        <v>0</v>
      </c>
      <c r="BT22" s="11">
        <f t="shared" si="13"/>
        <v>0</v>
      </c>
      <c r="BU22" s="11">
        <f t="shared" si="14"/>
        <v>0</v>
      </c>
      <c r="BV22" s="103"/>
      <c r="BW22" s="14" t="str">
        <f>IFERROR(VLOOKUP($A22,BanBuon[],DoanhThuThang!BW$38,0),"")</f>
        <v/>
      </c>
      <c r="BX22" s="14" t="str">
        <f>IFERROR(VLOOKUP($A22,BanBuon[],DoanhThuThang!BX$38,0),"")</f>
        <v/>
      </c>
      <c r="BY22" s="14" t="str">
        <f>IFERROR(VLOOKUP($A22,BanBuon[],DoanhThuThang!BY$38,0),"")</f>
        <v/>
      </c>
      <c r="BZ22" s="14" t="str">
        <f>IFERROR(VLOOKUP($A22,BanBuon[],DoanhThuThang!BZ$38,0),"")</f>
        <v/>
      </c>
      <c r="CA22" s="106">
        <f t="shared" si="19"/>
        <v>0</v>
      </c>
      <c r="CB22" s="106">
        <f t="shared" si="17"/>
        <v>0</v>
      </c>
      <c r="CC22" s="14">
        <f>IFERROR(VLOOKUP(IF(MOD(COLUMN(B22),2)=0,$A22&amp;"-"&amp;B$3,$A22&amp;"-"&amp;A$3),CoSo1[],CC$38,0),"")</f>
        <v>1310</v>
      </c>
      <c r="CD22" s="14">
        <f>IFERROR(VLOOKUP(IF(MOD(COLUMN(C22),2)=0,$A22&amp;"-"&amp;CD$3,$A22&amp;"-"&amp;CC$3),CoSo1[],CD$38,0),"")</f>
        <v>2</v>
      </c>
      <c r="CE22" s="14">
        <f>IFERROR(VLOOKUP(IF(MOD(COLUMN(D22),2)=0,$A22&amp;"-"&amp;D$3,$A22&amp;"-"&amp;C$3),CoSo1[],CE$38,0),"")</f>
        <v>1001</v>
      </c>
      <c r="CF22" s="14">
        <f>IFERROR(VLOOKUP(IF(MOD(COLUMN(E22),2)=0,$A22&amp;"-"&amp;E$3,$A22&amp;"-"&amp;D$3),CoSo1[],CF$38,0),"")</f>
        <v>7</v>
      </c>
      <c r="CG22" s="106">
        <f t="shared" si="20"/>
        <v>2311</v>
      </c>
      <c r="CH22" s="106">
        <f t="shared" si="18"/>
        <v>9</v>
      </c>
    </row>
    <row r="23" spans="1:86" x14ac:dyDescent="0.25">
      <c r="A23" s="13">
        <v>18</v>
      </c>
      <c r="B23" s="14">
        <f>IFERROR(VLOOKUP(IF(MOD(COLUMN(B23),2)=0,$A23&amp;"-"&amp;B$3,$A23&amp;"-"&amp;A$3),CoSo1[],B$38,0),"")</f>
        <v>204</v>
      </c>
      <c r="C23" s="14">
        <f>IFERROR(VLOOKUP(IF(MOD(COLUMN(C23),2)=0,$A23&amp;"-"&amp;C$3,$A23&amp;"-"&amp;B$3),CoSo1[],C$38,0),"")</f>
        <v>5</v>
      </c>
      <c r="D23" s="14">
        <f>IFERROR(VLOOKUP(IF(MOD(COLUMN(D23),2)=0,$A23&amp;"-"&amp;D$3,$A23&amp;"-"&amp;C$3),CoSo1[],D$38,0),"")</f>
        <v>1545</v>
      </c>
      <c r="E23" s="14">
        <f>IFERROR(VLOOKUP(IF(MOD(COLUMN(E23),2)=0,$A23&amp;"-"&amp;E$3,$A23&amp;"-"&amp;D$3),CoSo1[],E$38,0),"")</f>
        <v>16</v>
      </c>
      <c r="F23" s="14">
        <f>IFERROR(VLOOKUP(IF(MOD(COLUMN(F23),2)=0,$A23&amp;"-"&amp;F$3,$A23&amp;"-"&amp;E$3),CoSo1[],F$38,0),"")</f>
        <v>0</v>
      </c>
      <c r="G23" s="14">
        <f>IFERROR(VLOOKUP(IF(MOD(COLUMN(G23),2)=0,$A23&amp;"-"&amp;G$3,$A23&amp;"-"&amp;F$3),CoSo1[],G$38,0),"")</f>
        <v>0</v>
      </c>
      <c r="H23" s="14">
        <f>IFERROR(VLOOKUP(IF(MOD(COLUMN(H23),2)=0,$A23&amp;"-"&amp;H$3,$A23&amp;"-"&amp;G$3),CoSo1[],H$38,0),"")</f>
        <v>169</v>
      </c>
      <c r="I23" s="14">
        <f>IFERROR(VLOOKUP(IF(MOD(COLUMN(I23),2)=0,$A23&amp;"-"&amp;I$3,$A23&amp;"-"&amp;H$3),CoSo1[],I$38,0),"")</f>
        <v>2</v>
      </c>
      <c r="J23" s="14">
        <f>IFERROR(VLOOKUP(IF(MOD(COLUMN(J23),2)=0,$A23&amp;"-"&amp;J$3,$A23&amp;"-"&amp;I$3),CoSo1[],J$38,0),"")</f>
        <v>0</v>
      </c>
      <c r="K23" s="14">
        <f>IFERROR(VLOOKUP(IF(MOD(COLUMN(K23),2)=0,$A23&amp;"-"&amp;K$3,$A23&amp;"-"&amp;J$3),CoSo1[],K$38,0),"")</f>
        <v>0</v>
      </c>
      <c r="L23" s="14">
        <f>IFERROR(VLOOKUP(IF(MOD(COLUMN(L23),2)=0,$A23&amp;"-"&amp;L$3,$A23&amp;"-"&amp;K$3),CoSo1[],L$38,0),"")</f>
        <v>110</v>
      </c>
      <c r="M23" s="14">
        <f>IFERROR(VLOOKUP(IF(MOD(COLUMN(M23),2)=0,$A23&amp;"-"&amp;M$3,$A23&amp;"-"&amp;L$3),CoSo1[],M$38,0),"")</f>
        <v>1</v>
      </c>
      <c r="N23" s="11">
        <f t="shared" si="15"/>
        <v>2028</v>
      </c>
      <c r="O23" s="11">
        <f t="shared" si="16"/>
        <v>24</v>
      </c>
      <c r="P23" s="14"/>
      <c r="Q23" s="14">
        <f>IFERROR(VLOOKUP(IF(MOD(COLUMN(Q23),2)=1,$A23&amp;"-"&amp;Q$3,$A23&amp;"-"&amp;P$3),CoSo1[],Q$38,0),"")</f>
        <v>103</v>
      </c>
      <c r="R23" s="14">
        <f>IFERROR(VLOOKUP(IF(MOD(COLUMN(R23),2)=1,$A23&amp;"-"&amp;R$3,$A23&amp;"-"&amp;Q$3),CoSo1[],R$38,0),"")</f>
        <v>2</v>
      </c>
      <c r="S23" s="14">
        <f>IFERROR(VLOOKUP(IF(MOD(COLUMN(S23),2)=1,$A23&amp;"-"&amp;S$3,$A23&amp;"-"&amp;R$3),CoSo1[],S$38,0),"")</f>
        <v>63</v>
      </c>
      <c r="T23" s="14">
        <f>IFERROR(VLOOKUP(IF(MOD(COLUMN(T23),2)=1,$A23&amp;"-"&amp;T$3,$A23&amp;"-"&amp;S$3),CoSo1[],T$38,0),"")</f>
        <v>1</v>
      </c>
      <c r="U23" s="14">
        <f>IFERROR(VLOOKUP(IF(MOD(COLUMN(U23),2)=1,$A23&amp;"-"&amp;U$3,$A23&amp;"-"&amp;T$3),CoSo1[],U$38,0),"")</f>
        <v>0</v>
      </c>
      <c r="V23" s="14">
        <f>IFERROR(VLOOKUP(IF(MOD(COLUMN(V23),2)=1,$A23&amp;"-"&amp;V$3,$A23&amp;"-"&amp;U$3),CoSo1[],V$38,0),"")</f>
        <v>0</v>
      </c>
      <c r="W23" s="14">
        <f>IFERROR(VLOOKUP(IF(MOD(COLUMN(W23),2)=1,$A23&amp;"-"&amp;W$3,$A23&amp;"-"&amp;V$3),CoSo1[],W$38,0),"")</f>
        <v>0</v>
      </c>
      <c r="X23" s="14">
        <f>IFERROR(VLOOKUP(IF(MOD(COLUMN(X23),2)=1,$A23&amp;"-"&amp;X$3,$A23&amp;"-"&amp;W$3),CoSo1[],X$38,0),"")</f>
        <v>0</v>
      </c>
      <c r="Y23" s="14">
        <f>IFERROR(VLOOKUP(IF(MOD(COLUMN(Y23),2)=1,$A23&amp;"-"&amp;Y$3,$A23&amp;"-"&amp;X$3),CoSo1[],Y$38,0),"")</f>
        <v>0</v>
      </c>
      <c r="Z23" s="14">
        <f>IFERROR(VLOOKUP(IF(MOD(COLUMN(Z23),2)=1,$A23&amp;"-"&amp;Z$3,$A23&amp;"-"&amp;Y$3),CoSo1[],Z$38,0),"")</f>
        <v>0</v>
      </c>
      <c r="AA23" s="14">
        <f>IFERROR(VLOOKUP(IF(MOD(COLUMN(AA23),2)=1,$A23&amp;"-"&amp;AA$3,$A23&amp;"-"&amp;Z$3),CoSo1[],AA$38,0),"")</f>
        <v>0</v>
      </c>
      <c r="AB23" s="14">
        <f>IFERROR(VLOOKUP(IF(MOD(COLUMN(AB23),2)=1,$A23&amp;"-"&amp;AB$3,$A23&amp;"-"&amp;AA$3),CoSo1[],AB$38,0),"")</f>
        <v>0</v>
      </c>
      <c r="AC23" s="11">
        <f t="shared" si="2"/>
        <v>166</v>
      </c>
      <c r="AD23" s="11">
        <f t="shared" si="2"/>
        <v>3</v>
      </c>
      <c r="AE23" s="14"/>
      <c r="AF23" s="14">
        <f>IFERROR(VLOOKUP(IF(MOD(COLUMN(AF23),2)=0,$A23&amp;"-"&amp;AF$3,$A23&amp;"-"&amp;AE$3),CoSo1[],AF$38,0),"")</f>
        <v>0</v>
      </c>
      <c r="AG23" s="14">
        <f>IFERROR(VLOOKUP(IF(MOD(COLUMN(AG23),2)=0,$A23&amp;"-"&amp;AG$3,$A23&amp;"-"&amp;AF$3),CoSo1[],AG$38,0),"")</f>
        <v>0</v>
      </c>
      <c r="AH23" s="14">
        <f>IFERROR(VLOOKUP(IF(MOD(COLUMN(AH23),2)=0,$A23&amp;"-"&amp;AH$3,$A23&amp;"-"&amp;AG$3),CoSo1[],AH$38,0),"")</f>
        <v>0</v>
      </c>
      <c r="AI23" s="14">
        <f>IFERROR(VLOOKUP(IF(MOD(COLUMN(AI23),2)=0,$A23&amp;"-"&amp;AI$3,$A23&amp;"-"&amp;AH$3),CoSo1[],AI$38,0),"")</f>
        <v>0</v>
      </c>
      <c r="AJ23" s="14">
        <f>IFERROR(VLOOKUP(IF(MOD(COLUMN(AJ23),2)=0,$A23&amp;"-"&amp;AJ$3,$A23&amp;"-"&amp;AI$3),CoSo1[],AJ$38,0),"")</f>
        <v>0</v>
      </c>
      <c r="AK23" s="14">
        <f>IFERROR(VLOOKUP(IF(MOD(COLUMN(AK23),2)=0,$A23&amp;"-"&amp;AK$3,$A23&amp;"-"&amp;AJ$3),CoSo1[],AK$38,0),"")</f>
        <v>0</v>
      </c>
      <c r="AL23" s="14">
        <f>IFERROR(VLOOKUP(IF(MOD(COLUMN(AL23),2)=0,$A23&amp;"-"&amp;AL$3,$A23&amp;"-"&amp;AK$3),CoSo1[],AL$38,0),"")</f>
        <v>0</v>
      </c>
      <c r="AM23" s="14">
        <f>IFERROR(VLOOKUP(IF(MOD(COLUMN(AM23),2)=0,$A23&amp;"-"&amp;AM$3,$A23&amp;"-"&amp;AL$3),CoSo1[],AM$38,0),"")</f>
        <v>0</v>
      </c>
      <c r="AN23" s="14">
        <f>IFERROR(VLOOKUP(IF(MOD(COLUMN(AN23),2)=0,$A23&amp;"-"&amp;AN$3,$A23&amp;"-"&amp;AM$3),CoSo1[],AN$38,0),"")</f>
        <v>0</v>
      </c>
      <c r="AO23" s="14">
        <f>IFERROR(VLOOKUP(IF(MOD(COLUMN(AO23),2)=0,$A23&amp;"-"&amp;AO$3,$A23&amp;"-"&amp;AN$3),CoSo1[],AO$38,0),"")</f>
        <v>0</v>
      </c>
      <c r="AP23" s="14">
        <f>IFERROR(VLOOKUP(IF(MOD(COLUMN(AP23),2)=0,$A23&amp;"-"&amp;AP$3,$A23&amp;"-"&amp;AO$3),CoSo1[],AP$38,0),"")</f>
        <v>0</v>
      </c>
      <c r="AQ23" s="14">
        <f>IFERROR(VLOOKUP(IF(MOD(COLUMN(AQ23),2)=0,$A23&amp;"-"&amp;AQ$3,$A23&amp;"-"&amp;AP$3),CoSo1[],AQ$38,0),"")</f>
        <v>0</v>
      </c>
      <c r="AR23" s="11">
        <f t="shared" si="4"/>
        <v>0</v>
      </c>
      <c r="AS23" s="11">
        <f t="shared" si="4"/>
        <v>0</v>
      </c>
      <c r="AT23" s="14"/>
      <c r="AU23" s="14">
        <f>IFERROR(VLOOKUP(IF(MOD(COLUMN(AU23),2)=1,$A23&amp;"-"&amp;AU$3,$A23&amp;"-"&amp;AT$3),CoSo3[],DoanhThuThang!AU$38,0),"")</f>
        <v>1114</v>
      </c>
      <c r="AV23" s="14">
        <f>IFERROR(VLOOKUP(IF(MOD(COLUMN(AV23),2)=1,$A23&amp;"-"&amp;AV$3,$A23&amp;"-"&amp;AU$3),CoSo3[],DoanhThuThang!AV$38,0),"")</f>
        <v>3</v>
      </c>
      <c r="AW23" s="14">
        <f>IFERROR(VLOOKUP(IF(MOD(COLUMN(AW23),2)=1,$A23&amp;"-"&amp;AW$3,$A23&amp;"-"&amp;AV$3),CoSo3[],DoanhThuThang!AW$38,0),"")</f>
        <v>458</v>
      </c>
      <c r="AX23" s="14">
        <f>IFERROR(VLOOKUP(IF(MOD(COLUMN(AX23),2)=1,$A23&amp;"-"&amp;AX$3,$A23&amp;"-"&amp;AW$3),CoSo3[],DoanhThuThang!AX$38,0),"")</f>
        <v>5</v>
      </c>
      <c r="AY23" s="11">
        <f t="shared" si="7"/>
        <v>1572</v>
      </c>
      <c r="AZ23" s="11">
        <f t="shared" si="8"/>
        <v>8</v>
      </c>
      <c r="BA23" s="14"/>
      <c r="BB23" s="14">
        <f>IFERROR(VLOOKUP(IF(MOD(COLUMN(BB23),2)=0,$A23&amp;"-"&amp;BB$3,$A23&amp;"-"&amp;BA$3),CoSo3[],DoanhThuThang!BB$38,0),"")</f>
        <v>0</v>
      </c>
      <c r="BC23" s="14">
        <f>IFERROR(VLOOKUP(IF(MOD(COLUMN(BC23),2)=0,$A23&amp;"-"&amp;BC$3,$A23&amp;"-"&amp;BB$3),CoSo3[],DoanhThuThang!BC$38,0),"")</f>
        <v>0</v>
      </c>
      <c r="BD23" s="14">
        <f>IFERROR(VLOOKUP(IF(MOD(COLUMN(BD23),2)=0,$A23&amp;"-"&amp;BD$3,$A23&amp;"-"&amp;BC$3),CoSo3[],DoanhThuThang!BD$38,0),"")</f>
        <v>0</v>
      </c>
      <c r="BE23" s="14">
        <f>IFERROR(VLOOKUP(IF(MOD(COLUMN(BE23),2)=0,$A23&amp;"-"&amp;BE$3,$A23&amp;"-"&amp;BD$3),CoSo3[],DoanhThuThang!BE$38,0),"")</f>
        <v>0</v>
      </c>
      <c r="BF23" s="11">
        <f t="shared" si="9"/>
        <v>0</v>
      </c>
      <c r="BG23" s="11">
        <f t="shared" si="10"/>
        <v>0</v>
      </c>
      <c r="BH23" s="14"/>
      <c r="BI23" s="14">
        <f>IFERROR(VLOOKUP(IF(MOD(COLUMN(BI23),2)=1,$A23&amp;"-"&amp;BI$3,$A23&amp;"-"&amp;BH$3),CoSo4[],DoanhThuThang!BI$38,0),"")</f>
        <v>209</v>
      </c>
      <c r="BJ23" s="14">
        <f>IFERROR(VLOOKUP(IF(MOD(COLUMN(BJ23),2)=1,$A23&amp;"-"&amp;BJ$3,$A23&amp;"-"&amp;BI$3),CoSo4[],DoanhThuThang!BJ$38,0),"")</f>
        <v>3</v>
      </c>
      <c r="BK23" s="14">
        <f>IFERROR(VLOOKUP(IF(MOD(COLUMN(BK23),2)=1,$A23&amp;"-"&amp;BK$3,$A23&amp;"-"&amp;BJ$3),CoSo4[],DoanhThuThang!BK$38,0),"")</f>
        <v>209</v>
      </c>
      <c r="BL23" s="14">
        <f>IFERROR(VLOOKUP(IF(MOD(COLUMN(BL23),2)=1,$A23&amp;"-"&amp;BL$3,$A23&amp;"-"&amp;BK$3),CoSo4[],DoanhThuThang!BL$38,0),"")</f>
        <v>3</v>
      </c>
      <c r="BM23" s="11">
        <f t="shared" si="11"/>
        <v>418</v>
      </c>
      <c r="BN23" s="11">
        <f t="shared" si="12"/>
        <v>6</v>
      </c>
      <c r="BO23" s="14"/>
      <c r="BP23" s="14">
        <f>IFERROR(VLOOKUP(IF(MOD(COLUMN(BP23),2)=0,$A23&amp;"-"&amp;BP$3,$A23&amp;"-"&amp;BO$3),CoSo4[],DoanhThuThang!BP$38,0),"")</f>
        <v>0</v>
      </c>
      <c r="BQ23" s="14">
        <f>IFERROR(VLOOKUP(IF(MOD(COLUMN(BQ23),2)=0,$A23&amp;"-"&amp;BQ$3,$A23&amp;"-"&amp;BP$3),CoSo4[],DoanhThuThang!BQ$38,0),"")</f>
        <v>0</v>
      </c>
      <c r="BR23" s="14">
        <f>IFERROR(VLOOKUP(IF(MOD(COLUMN(BR23),2)=0,$A23&amp;"-"&amp;BR$3,$A23&amp;"-"&amp;BQ$3),CoSo4[],DoanhThuThang!BR$38,0),"")</f>
        <v>0</v>
      </c>
      <c r="BS23" s="14">
        <f>IFERROR(VLOOKUP(IF(MOD(COLUMN(BS23),2)=0,$A23&amp;"-"&amp;BS$3,$A23&amp;"-"&amp;BR$3),CoSo4[],DoanhThuThang!BS$38,0),"")</f>
        <v>0</v>
      </c>
      <c r="BT23" s="11">
        <f t="shared" si="13"/>
        <v>0</v>
      </c>
      <c r="BU23" s="11">
        <f t="shared" si="14"/>
        <v>0</v>
      </c>
      <c r="BV23" s="103"/>
      <c r="BW23" s="14" t="str">
        <f>IFERROR(VLOOKUP($A23,BanBuon[],DoanhThuThang!BW$38,0),"")</f>
        <v/>
      </c>
      <c r="BX23" s="14" t="str">
        <f>IFERROR(VLOOKUP($A23,BanBuon[],DoanhThuThang!BX$38,0),"")</f>
        <v/>
      </c>
      <c r="BY23" s="14" t="str">
        <f>IFERROR(VLOOKUP($A23,BanBuon[],DoanhThuThang!BY$38,0),"")</f>
        <v/>
      </c>
      <c r="BZ23" s="14" t="str">
        <f>IFERROR(VLOOKUP($A23,BanBuon[],DoanhThuThang!BZ$38,0),"")</f>
        <v/>
      </c>
      <c r="CA23" s="106">
        <f t="shared" si="19"/>
        <v>0</v>
      </c>
      <c r="CB23" s="106">
        <f t="shared" si="17"/>
        <v>0</v>
      </c>
      <c r="CC23" s="14">
        <f>IFERROR(VLOOKUP(IF(MOD(COLUMN(B23),2)=0,$A23&amp;"-"&amp;B$3,$A23&amp;"-"&amp;A$3),CoSo1[],CC$38,0),"")</f>
        <v>490</v>
      </c>
      <c r="CD23" s="14">
        <f>IFERROR(VLOOKUP(IF(MOD(COLUMN(C23),2)=0,$A23&amp;"-"&amp;CD$3,$A23&amp;"-"&amp;CC$3),CoSo1[],CD$38,0),"")</f>
        <v>5</v>
      </c>
      <c r="CE23" s="14">
        <f>IFERROR(VLOOKUP(IF(MOD(COLUMN(D23),2)=0,$A23&amp;"-"&amp;D$3,$A23&amp;"-"&amp;C$3),CoSo1[],CE$38,0),"")</f>
        <v>626</v>
      </c>
      <c r="CF23" s="14">
        <f>IFERROR(VLOOKUP(IF(MOD(COLUMN(E23),2)=0,$A23&amp;"-"&amp;E$3,$A23&amp;"-"&amp;D$3),CoSo1[],CF$38,0),"")</f>
        <v>4</v>
      </c>
      <c r="CG23" s="106">
        <f t="shared" si="20"/>
        <v>1116</v>
      </c>
      <c r="CH23" s="106">
        <f t="shared" si="18"/>
        <v>9</v>
      </c>
    </row>
    <row r="24" spans="1:86" x14ac:dyDescent="0.25">
      <c r="A24" s="13">
        <v>19</v>
      </c>
      <c r="B24" s="14">
        <f>IFERROR(VLOOKUP(IF(MOD(COLUMN(B24),2)=0,$A24&amp;"-"&amp;B$3,$A24&amp;"-"&amp;A$3),CoSo1[],B$38,0),"")</f>
        <v>614</v>
      </c>
      <c r="C24" s="14">
        <f>IFERROR(VLOOKUP(IF(MOD(COLUMN(C24),2)=0,$A24&amp;"-"&amp;C$3,$A24&amp;"-"&amp;B$3),CoSo1[],C$38,0),"")</f>
        <v>6</v>
      </c>
      <c r="D24" s="14">
        <f>IFERROR(VLOOKUP(IF(MOD(COLUMN(D24),2)=0,$A24&amp;"-"&amp;D$3,$A24&amp;"-"&amp;C$3),CoSo1[],D$38,0),"")</f>
        <v>1576</v>
      </c>
      <c r="E24" s="14">
        <f>IFERROR(VLOOKUP(IF(MOD(COLUMN(E24),2)=0,$A24&amp;"-"&amp;E$3,$A24&amp;"-"&amp;D$3),CoSo1[],E$38,0),"")</f>
        <v>16</v>
      </c>
      <c r="F24" s="14">
        <f>IFERROR(VLOOKUP(IF(MOD(COLUMN(F24),2)=0,$A24&amp;"-"&amp;F$3,$A24&amp;"-"&amp;E$3),CoSo1[],F$38,0),"")</f>
        <v>0</v>
      </c>
      <c r="G24" s="14">
        <f>IFERROR(VLOOKUP(IF(MOD(COLUMN(G24),2)=0,$A24&amp;"-"&amp;G$3,$A24&amp;"-"&amp;F$3),CoSo1[],G$38,0),"")</f>
        <v>0</v>
      </c>
      <c r="H24" s="14">
        <f>IFERROR(VLOOKUP(IF(MOD(COLUMN(H24),2)=0,$A24&amp;"-"&amp;H$3,$A24&amp;"-"&amp;G$3),CoSo1[],H$38,0),"")</f>
        <v>136</v>
      </c>
      <c r="I24" s="14">
        <f>IFERROR(VLOOKUP(IF(MOD(COLUMN(I24),2)=0,$A24&amp;"-"&amp;I$3,$A24&amp;"-"&amp;H$3),CoSo1[],I$38,0),"")</f>
        <v>2</v>
      </c>
      <c r="J24" s="14">
        <f>IFERROR(VLOOKUP(IF(MOD(COLUMN(J24),2)=0,$A24&amp;"-"&amp;J$3,$A24&amp;"-"&amp;I$3),CoSo1[],J$38,0),"")</f>
        <v>0</v>
      </c>
      <c r="K24" s="14">
        <f>IFERROR(VLOOKUP(IF(MOD(COLUMN(K24),2)=0,$A24&amp;"-"&amp;K$3,$A24&amp;"-"&amp;J$3),CoSo1[],K$38,0),"")</f>
        <v>0</v>
      </c>
      <c r="L24" s="14">
        <f>IFERROR(VLOOKUP(IF(MOD(COLUMN(L24),2)=0,$A24&amp;"-"&amp;L$3,$A24&amp;"-"&amp;K$3),CoSo1[],L$38,0),"")</f>
        <v>110</v>
      </c>
      <c r="M24" s="14">
        <f>IFERROR(VLOOKUP(IF(MOD(COLUMN(M24),2)=0,$A24&amp;"-"&amp;M$3,$A24&amp;"-"&amp;L$3),CoSo1[],M$38,0),"")</f>
        <v>1</v>
      </c>
      <c r="N24" s="11">
        <f t="shared" si="15"/>
        <v>2436</v>
      </c>
      <c r="O24" s="11">
        <f t="shared" si="16"/>
        <v>25</v>
      </c>
      <c r="P24" s="14">
        <f>SUM(N11:N24)</f>
        <v>24159</v>
      </c>
      <c r="Q24" s="14">
        <f>IFERROR(VLOOKUP(IF(MOD(COLUMN(Q24),2)=1,$A24&amp;"-"&amp;Q$3,$A24&amp;"-"&amp;P$3),CoSo1[],Q$38,0),"")</f>
        <v>0</v>
      </c>
      <c r="R24" s="14">
        <f>IFERROR(VLOOKUP(IF(MOD(COLUMN(R24),2)=1,$A24&amp;"-"&amp;R$3,$A24&amp;"-"&amp;Q$3),CoSo1[],R$38,0),"")</f>
        <v>0</v>
      </c>
      <c r="S24" s="14">
        <f>IFERROR(VLOOKUP(IF(MOD(COLUMN(S24),2)=1,$A24&amp;"-"&amp;S$3,$A24&amp;"-"&amp;R$3),CoSo1[],S$38,0),"")</f>
        <v>0</v>
      </c>
      <c r="T24" s="14">
        <f>IFERROR(VLOOKUP(IF(MOD(COLUMN(T24),2)=1,$A24&amp;"-"&amp;T$3,$A24&amp;"-"&amp;S$3),CoSo1[],T$38,0),"")</f>
        <v>0</v>
      </c>
      <c r="U24" s="14">
        <f>IFERROR(VLOOKUP(IF(MOD(COLUMN(U24),2)=1,$A24&amp;"-"&amp;U$3,$A24&amp;"-"&amp;T$3),CoSo1[],U$38,0),"")</f>
        <v>0</v>
      </c>
      <c r="V24" s="14">
        <f>IFERROR(VLOOKUP(IF(MOD(COLUMN(V24),2)=1,$A24&amp;"-"&amp;V$3,$A24&amp;"-"&amp;U$3),CoSo1[],V$38,0),"")</f>
        <v>0</v>
      </c>
      <c r="W24" s="14">
        <f>IFERROR(VLOOKUP(IF(MOD(COLUMN(W24),2)=1,$A24&amp;"-"&amp;W$3,$A24&amp;"-"&amp;V$3),CoSo1[],W$38,0),"")</f>
        <v>0</v>
      </c>
      <c r="X24" s="14">
        <f>IFERROR(VLOOKUP(IF(MOD(COLUMN(X24),2)=1,$A24&amp;"-"&amp;X$3,$A24&amp;"-"&amp;W$3),CoSo1[],X$38,0),"")</f>
        <v>0</v>
      </c>
      <c r="Y24" s="14">
        <f>IFERROR(VLOOKUP(IF(MOD(COLUMN(Y24),2)=1,$A24&amp;"-"&amp;Y$3,$A24&amp;"-"&amp;X$3),CoSo1[],Y$38,0),"")</f>
        <v>0</v>
      </c>
      <c r="Z24" s="14">
        <f>IFERROR(VLOOKUP(IF(MOD(COLUMN(Z24),2)=1,$A24&amp;"-"&amp;Z$3,$A24&amp;"-"&amp;Y$3),CoSo1[],Z$38,0),"")</f>
        <v>0</v>
      </c>
      <c r="AA24" s="14">
        <f>IFERROR(VLOOKUP(IF(MOD(COLUMN(AA24),2)=1,$A24&amp;"-"&amp;AA$3,$A24&amp;"-"&amp;Z$3),CoSo1[],AA$38,0),"")</f>
        <v>0</v>
      </c>
      <c r="AB24" s="14">
        <f>IFERROR(VLOOKUP(IF(MOD(COLUMN(AB24),2)=1,$A24&amp;"-"&amp;AB$3,$A24&amp;"-"&amp;AA$3),CoSo1[],AB$38,0),"")</f>
        <v>0</v>
      </c>
      <c r="AC24" s="11">
        <f t="shared" si="2"/>
        <v>0</v>
      </c>
      <c r="AD24" s="11">
        <f t="shared" si="2"/>
        <v>0</v>
      </c>
      <c r="AE24" s="14"/>
      <c r="AF24" s="14">
        <f>IFERROR(VLOOKUP(IF(MOD(COLUMN(AF24),2)=0,$A24&amp;"-"&amp;AF$3,$A24&amp;"-"&amp;AE$3),CoSo1[],AF$38,0),"")</f>
        <v>0</v>
      </c>
      <c r="AG24" s="14">
        <f>IFERROR(VLOOKUP(IF(MOD(COLUMN(AG24),2)=0,$A24&amp;"-"&amp;AG$3,$A24&amp;"-"&amp;AF$3),CoSo1[],AG$38,0),"")</f>
        <v>0</v>
      </c>
      <c r="AH24" s="14">
        <f>IFERROR(VLOOKUP(IF(MOD(COLUMN(AH24),2)=0,$A24&amp;"-"&amp;AH$3,$A24&amp;"-"&amp;AG$3),CoSo1[],AH$38,0),"")</f>
        <v>0</v>
      </c>
      <c r="AI24" s="14">
        <f>IFERROR(VLOOKUP(IF(MOD(COLUMN(AI24),2)=0,$A24&amp;"-"&amp;AI$3,$A24&amp;"-"&amp;AH$3),CoSo1[],AI$38,0),"")</f>
        <v>0</v>
      </c>
      <c r="AJ24" s="14">
        <f>IFERROR(VLOOKUP(IF(MOD(COLUMN(AJ24),2)=0,$A24&amp;"-"&amp;AJ$3,$A24&amp;"-"&amp;AI$3),CoSo1[],AJ$38,0),"")</f>
        <v>0</v>
      </c>
      <c r="AK24" s="14">
        <f>IFERROR(VLOOKUP(IF(MOD(COLUMN(AK24),2)=0,$A24&amp;"-"&amp;AK$3,$A24&amp;"-"&amp;AJ$3),CoSo1[],AK$38,0),"")</f>
        <v>0</v>
      </c>
      <c r="AL24" s="14">
        <f>IFERROR(VLOOKUP(IF(MOD(COLUMN(AL24),2)=0,$A24&amp;"-"&amp;AL$3,$A24&amp;"-"&amp;AK$3),CoSo1[],AL$38,0),"")</f>
        <v>0</v>
      </c>
      <c r="AM24" s="14">
        <f>IFERROR(VLOOKUP(IF(MOD(COLUMN(AM24),2)=0,$A24&amp;"-"&amp;AM$3,$A24&amp;"-"&amp;AL$3),CoSo1[],AM$38,0),"")</f>
        <v>0</v>
      </c>
      <c r="AN24" s="14">
        <f>IFERROR(VLOOKUP(IF(MOD(COLUMN(AN24),2)=0,$A24&amp;"-"&amp;AN$3,$A24&amp;"-"&amp;AM$3),CoSo1[],AN$38,0),"")</f>
        <v>0</v>
      </c>
      <c r="AO24" s="14">
        <f>IFERROR(VLOOKUP(IF(MOD(COLUMN(AO24),2)=0,$A24&amp;"-"&amp;AO$3,$A24&amp;"-"&amp;AN$3),CoSo1[],AO$38,0),"")</f>
        <v>0</v>
      </c>
      <c r="AP24" s="14">
        <f>IFERROR(VLOOKUP(IF(MOD(COLUMN(AP24),2)=0,$A24&amp;"-"&amp;AP$3,$A24&amp;"-"&amp;AO$3),CoSo1[],AP$38,0),"")</f>
        <v>0</v>
      </c>
      <c r="AQ24" s="14">
        <f>IFERROR(VLOOKUP(IF(MOD(COLUMN(AQ24),2)=0,$A24&amp;"-"&amp;AQ$3,$A24&amp;"-"&amp;AP$3),CoSo1[],AQ$38,0),"")</f>
        <v>0</v>
      </c>
      <c r="AR24" s="11">
        <f t="shared" si="4"/>
        <v>0</v>
      </c>
      <c r="AS24" s="11">
        <f t="shared" si="4"/>
        <v>0</v>
      </c>
      <c r="AT24" s="14"/>
      <c r="AU24" s="14">
        <f>IFERROR(VLOOKUP(IF(MOD(COLUMN(AU24),2)=1,$A24&amp;"-"&amp;AU$3,$A24&amp;"-"&amp;AT$3),CoSo3[],DoanhThuThang!AU$38,0),"")</f>
        <v>251</v>
      </c>
      <c r="AV24" s="14">
        <f>IFERROR(VLOOKUP(IF(MOD(COLUMN(AV24),2)=1,$A24&amp;"-"&amp;AV$3,$A24&amp;"-"&amp;AU$3),CoSo3[],DoanhThuThang!AV$38,0),"")</f>
        <v>4</v>
      </c>
      <c r="AW24" s="14">
        <f>IFERROR(VLOOKUP(IF(MOD(COLUMN(AW24),2)=1,$A24&amp;"-"&amp;AW$3,$A24&amp;"-"&amp;AV$3),CoSo3[],DoanhThuThang!AW$38,0),"")</f>
        <v>702</v>
      </c>
      <c r="AX24" s="14">
        <f>IFERROR(VLOOKUP(IF(MOD(COLUMN(AX24),2)=1,$A24&amp;"-"&amp;AX$3,$A24&amp;"-"&amp;AW$3),CoSo3[],DoanhThuThang!AX$38,0),"")</f>
        <v>5</v>
      </c>
      <c r="AY24" s="11">
        <f t="shared" si="7"/>
        <v>953</v>
      </c>
      <c r="AZ24" s="11">
        <f t="shared" si="8"/>
        <v>9</v>
      </c>
      <c r="BA24" s="14"/>
      <c r="BB24" s="14">
        <f>IFERROR(VLOOKUP(IF(MOD(COLUMN(BB24),2)=0,$A24&amp;"-"&amp;BB$3,$A24&amp;"-"&amp;BA$3),CoSo3[],DoanhThuThang!BB$38,0),"")</f>
        <v>0</v>
      </c>
      <c r="BC24" s="14">
        <f>IFERROR(VLOOKUP(IF(MOD(COLUMN(BC24),2)=0,$A24&amp;"-"&amp;BC$3,$A24&amp;"-"&amp;BB$3),CoSo3[],DoanhThuThang!BC$38,0),"")</f>
        <v>0</v>
      </c>
      <c r="BD24" s="14">
        <f>IFERROR(VLOOKUP(IF(MOD(COLUMN(BD24),2)=0,$A24&amp;"-"&amp;BD$3,$A24&amp;"-"&amp;BC$3),CoSo3[],DoanhThuThang!BD$38,0),"")</f>
        <v>0</v>
      </c>
      <c r="BE24" s="14">
        <f>IFERROR(VLOOKUP(IF(MOD(COLUMN(BE24),2)=0,$A24&amp;"-"&amp;BE$3,$A24&amp;"-"&amp;BD$3),CoSo3[],DoanhThuThang!BE$38,0),"")</f>
        <v>0</v>
      </c>
      <c r="BF24" s="11">
        <f t="shared" si="9"/>
        <v>0</v>
      </c>
      <c r="BG24" s="11">
        <f t="shared" si="10"/>
        <v>0</v>
      </c>
      <c r="BH24" s="14"/>
      <c r="BI24" s="14">
        <f>IFERROR(VLOOKUP(IF(MOD(COLUMN(BI24),2)=1,$A24&amp;"-"&amp;BI$3,$A24&amp;"-"&amp;BH$3),CoSo4[],DoanhThuThang!BI$38,0),"")</f>
        <v>98</v>
      </c>
      <c r="BJ24" s="14">
        <f>IFERROR(VLOOKUP(IF(MOD(COLUMN(BJ24),2)=1,$A24&amp;"-"&amp;BJ$3,$A24&amp;"-"&amp;BI$3),CoSo4[],DoanhThuThang!BJ$38,0),"")</f>
        <v>3</v>
      </c>
      <c r="BK24" s="14" t="str">
        <f>IFERROR(VLOOKUP(IF(MOD(COLUMN(BK24),2)=1,$A24&amp;"-"&amp;BK$3,$A24&amp;"-"&amp;BJ$3),CoSo4[],DoanhThuThang!BK$38,0),"")</f>
        <v/>
      </c>
      <c r="BL24" s="14" t="str">
        <f>IFERROR(VLOOKUP(IF(MOD(COLUMN(BL24),2)=1,$A24&amp;"-"&amp;BL$3,$A24&amp;"-"&amp;BK$3),CoSo4[],DoanhThuThang!BL$38,0),"")</f>
        <v/>
      </c>
      <c r="BM24" s="11">
        <f t="shared" si="11"/>
        <v>98</v>
      </c>
      <c r="BN24" s="11">
        <f t="shared" si="12"/>
        <v>3</v>
      </c>
      <c r="BO24" s="14"/>
      <c r="BP24" s="14">
        <f>IFERROR(VLOOKUP(IF(MOD(COLUMN(BP24),2)=0,$A24&amp;"-"&amp;BP$3,$A24&amp;"-"&amp;BO$3),CoSo4[],DoanhThuThang!BP$38,0),"")</f>
        <v>0</v>
      </c>
      <c r="BQ24" s="14">
        <f>IFERROR(VLOOKUP(IF(MOD(COLUMN(BQ24),2)=0,$A24&amp;"-"&amp;BQ$3,$A24&amp;"-"&amp;BP$3),CoSo4[],DoanhThuThang!BQ$38,0),"")</f>
        <v>0</v>
      </c>
      <c r="BR24" s="14" t="str">
        <f>IFERROR(VLOOKUP(IF(MOD(COLUMN(BR24),2)=0,$A24&amp;"-"&amp;BR$3,$A24&amp;"-"&amp;BQ$3),CoSo4[],DoanhThuThang!BR$38,0),"")</f>
        <v/>
      </c>
      <c r="BS24" s="14" t="str">
        <f>IFERROR(VLOOKUP(IF(MOD(COLUMN(BS24),2)=0,$A24&amp;"-"&amp;BS$3,$A24&amp;"-"&amp;BR$3),CoSo4[],DoanhThuThang!BS$38,0),"")</f>
        <v/>
      </c>
      <c r="BT24" s="11">
        <f t="shared" si="13"/>
        <v>0</v>
      </c>
      <c r="BU24" s="11">
        <f t="shared" si="14"/>
        <v>0</v>
      </c>
      <c r="BV24" s="103"/>
      <c r="BW24" s="14" t="str">
        <f>IFERROR(VLOOKUP($A24,BanBuon[],DoanhThuThang!BW$38,0),"")</f>
        <v/>
      </c>
      <c r="BX24" s="14" t="str">
        <f>IFERROR(VLOOKUP($A24,BanBuon[],DoanhThuThang!BX$38,0),"")</f>
        <v/>
      </c>
      <c r="BY24" s="14" t="str">
        <f>IFERROR(VLOOKUP($A24,BanBuon[],DoanhThuThang!BY$38,0),"")</f>
        <v/>
      </c>
      <c r="BZ24" s="14" t="str">
        <f>IFERROR(VLOOKUP($A24,BanBuon[],DoanhThuThang!BZ$38,0),"")</f>
        <v/>
      </c>
      <c r="CA24" s="106">
        <f t="shared" si="19"/>
        <v>0</v>
      </c>
      <c r="CB24" s="106">
        <f t="shared" si="17"/>
        <v>0</v>
      </c>
      <c r="CC24" s="14">
        <f>IFERROR(VLOOKUP(IF(MOD(COLUMN(B24),2)=0,$A24&amp;"-"&amp;B$3,$A24&amp;"-"&amp;A$3),CoSo1[],CC$38,0),"")</f>
        <v>392</v>
      </c>
      <c r="CD24" s="14">
        <f>IFERROR(VLOOKUP(IF(MOD(COLUMN(C24),2)=0,$A24&amp;"-"&amp;CD$3,$A24&amp;"-"&amp;CC$3),CoSo1[],CD$38,0),"")</f>
        <v>1</v>
      </c>
      <c r="CE24" s="14">
        <f>IFERROR(VLOOKUP(IF(MOD(COLUMN(D24),2)=0,$A24&amp;"-"&amp;D$3,$A24&amp;"-"&amp;C$3),CoSo1[],CE$38,0),"")</f>
        <v>1288</v>
      </c>
      <c r="CF24" s="14">
        <f>IFERROR(VLOOKUP(IF(MOD(COLUMN(E24),2)=0,$A24&amp;"-"&amp;E$3,$A24&amp;"-"&amp;D$3),CoSo1[],CF$38,0),"")</f>
        <v>7</v>
      </c>
      <c r="CG24" s="106">
        <f t="shared" si="20"/>
        <v>1680</v>
      </c>
      <c r="CH24" s="106">
        <f t="shared" si="18"/>
        <v>8</v>
      </c>
    </row>
    <row r="25" spans="1:86" x14ac:dyDescent="0.25">
      <c r="A25" s="13">
        <v>20</v>
      </c>
      <c r="B25" s="14">
        <f>IFERROR(VLOOKUP(IF(MOD(COLUMN(B25),2)=0,$A25&amp;"-"&amp;B$3,$A25&amp;"-"&amp;A$3),CoSo1[],B$38,0),"")</f>
        <v>516</v>
      </c>
      <c r="C25" s="14">
        <f>IFERROR(VLOOKUP(IF(MOD(COLUMN(C25),2)=0,$A25&amp;"-"&amp;C$3,$A25&amp;"-"&amp;B$3),CoSo1[],C$38,0),"")</f>
        <v>6</v>
      </c>
      <c r="D25" s="14">
        <f>IFERROR(VLOOKUP(IF(MOD(COLUMN(D25),2)=0,$A25&amp;"-"&amp;D$3,$A25&amp;"-"&amp;C$3),CoSo1[],D$38,0),"")</f>
        <v>980</v>
      </c>
      <c r="E25" s="14">
        <f>IFERROR(VLOOKUP(IF(MOD(COLUMN(E25),2)=0,$A25&amp;"-"&amp;E$3,$A25&amp;"-"&amp;D$3),CoSo1[],E$38,0),"")</f>
        <v>16</v>
      </c>
      <c r="F25" s="14">
        <f>IFERROR(VLOOKUP(IF(MOD(COLUMN(F25),2)=0,$A25&amp;"-"&amp;F$3,$A25&amp;"-"&amp;E$3),CoSo1[],F$38,0),"")</f>
        <v>0</v>
      </c>
      <c r="G25" s="14">
        <f>IFERROR(VLOOKUP(IF(MOD(COLUMN(G25),2)=0,$A25&amp;"-"&amp;G$3,$A25&amp;"-"&amp;F$3),CoSo1[],G$38,0),"")</f>
        <v>0</v>
      </c>
      <c r="H25" s="14">
        <f>IFERROR(VLOOKUP(IF(MOD(COLUMN(H25),2)=0,$A25&amp;"-"&amp;H$3,$A25&amp;"-"&amp;G$3),CoSo1[],H$38,0),"")</f>
        <v>202</v>
      </c>
      <c r="I25" s="14">
        <f>IFERROR(VLOOKUP(IF(MOD(COLUMN(I25),2)=0,$A25&amp;"-"&amp;I$3,$A25&amp;"-"&amp;H$3),CoSo1[],I$38,0),"")</f>
        <v>3</v>
      </c>
      <c r="J25" s="14">
        <f>IFERROR(VLOOKUP(IF(MOD(COLUMN(J25),2)=0,$A25&amp;"-"&amp;J$3,$A25&amp;"-"&amp;I$3),CoSo1[],J$38,0),"")</f>
        <v>0</v>
      </c>
      <c r="K25" s="14">
        <f>IFERROR(VLOOKUP(IF(MOD(COLUMN(K25),2)=0,$A25&amp;"-"&amp;K$3,$A25&amp;"-"&amp;J$3),CoSo1[],K$38,0),"")</f>
        <v>0</v>
      </c>
      <c r="L25" s="14">
        <f>IFERROR(VLOOKUP(IF(MOD(COLUMN(L25),2)=0,$A25&amp;"-"&amp;L$3,$A25&amp;"-"&amp;K$3),CoSo1[],L$38,0),"")</f>
        <v>259</v>
      </c>
      <c r="M25" s="14">
        <f>IFERROR(VLOOKUP(IF(MOD(COLUMN(M25),2)=0,$A25&amp;"-"&amp;M$3,$A25&amp;"-"&amp;L$3),CoSo1[],M$38,0),"")</f>
        <v>2</v>
      </c>
      <c r="N25" s="11">
        <f t="shared" si="15"/>
        <v>1957</v>
      </c>
      <c r="O25" s="11">
        <f t="shared" si="16"/>
        <v>27</v>
      </c>
      <c r="P25" s="14"/>
      <c r="Q25" s="14">
        <f>IFERROR(VLOOKUP(IF(MOD(COLUMN(Q25),2)=1,$A25&amp;"-"&amp;Q$3,$A25&amp;"-"&amp;P$3),CoSo1[],Q$38,0),"")</f>
        <v>0</v>
      </c>
      <c r="R25" s="14">
        <f>IFERROR(VLOOKUP(IF(MOD(COLUMN(R25),2)=1,$A25&amp;"-"&amp;R$3,$A25&amp;"-"&amp;Q$3),CoSo1[],R$38,0),"")</f>
        <v>0</v>
      </c>
      <c r="S25" s="14">
        <f>IFERROR(VLOOKUP(IF(MOD(COLUMN(S25),2)=1,$A25&amp;"-"&amp;S$3,$A25&amp;"-"&amp;R$3),CoSo1[],S$38,0),"")</f>
        <v>40</v>
      </c>
      <c r="T25" s="14">
        <f>IFERROR(VLOOKUP(IF(MOD(COLUMN(T25),2)=1,$A25&amp;"-"&amp;T$3,$A25&amp;"-"&amp;S$3),CoSo1[],T$38,0),"")</f>
        <v>2</v>
      </c>
      <c r="U25" s="14">
        <f>IFERROR(VLOOKUP(IF(MOD(COLUMN(U25),2)=1,$A25&amp;"-"&amp;U$3,$A25&amp;"-"&amp;T$3),CoSo1[],U$38,0),"")</f>
        <v>0</v>
      </c>
      <c r="V25" s="14">
        <f>IFERROR(VLOOKUP(IF(MOD(COLUMN(V25),2)=1,$A25&amp;"-"&amp;V$3,$A25&amp;"-"&amp;U$3),CoSo1[],V$38,0),"")</f>
        <v>0</v>
      </c>
      <c r="W25" s="14">
        <f>IFERROR(VLOOKUP(IF(MOD(COLUMN(W25),2)=1,$A25&amp;"-"&amp;W$3,$A25&amp;"-"&amp;V$3),CoSo1[],W$38,0),"")</f>
        <v>0</v>
      </c>
      <c r="X25" s="14">
        <f>IFERROR(VLOOKUP(IF(MOD(COLUMN(X25),2)=1,$A25&amp;"-"&amp;X$3,$A25&amp;"-"&amp;W$3),CoSo1[],X$38,0),"")</f>
        <v>0</v>
      </c>
      <c r="Y25" s="14">
        <f>IFERROR(VLOOKUP(IF(MOD(COLUMN(Y25),2)=1,$A25&amp;"-"&amp;Y$3,$A25&amp;"-"&amp;X$3),CoSo1[],Y$38,0),"")</f>
        <v>0</v>
      </c>
      <c r="Z25" s="14">
        <f>IFERROR(VLOOKUP(IF(MOD(COLUMN(Z25),2)=1,$A25&amp;"-"&amp;Z$3,$A25&amp;"-"&amp;Y$3),CoSo1[],Z$38,0),"")</f>
        <v>0</v>
      </c>
      <c r="AA25" s="14">
        <f>IFERROR(VLOOKUP(IF(MOD(COLUMN(AA25),2)=1,$A25&amp;"-"&amp;AA$3,$A25&amp;"-"&amp;Z$3),CoSo1[],AA$38,0),"")</f>
        <v>0</v>
      </c>
      <c r="AB25" s="14">
        <f>IFERROR(VLOOKUP(IF(MOD(COLUMN(AB25),2)=1,$A25&amp;"-"&amp;AB$3,$A25&amp;"-"&amp;AA$3),CoSo1[],AB$38,0),"")</f>
        <v>0</v>
      </c>
      <c r="AC25" s="11">
        <f t="shared" si="2"/>
        <v>40</v>
      </c>
      <c r="AD25" s="11">
        <f t="shared" si="2"/>
        <v>2</v>
      </c>
      <c r="AE25" s="14"/>
      <c r="AF25" s="14">
        <f>IFERROR(VLOOKUP(IF(MOD(COLUMN(AF25),2)=0,$A25&amp;"-"&amp;AF$3,$A25&amp;"-"&amp;AE$3),CoSo1[],AF$38,0),"")</f>
        <v>0</v>
      </c>
      <c r="AG25" s="14">
        <f>IFERROR(VLOOKUP(IF(MOD(COLUMN(AG25),2)=0,$A25&amp;"-"&amp;AG$3,$A25&amp;"-"&amp;AF$3),CoSo1[],AG$38,0),"")</f>
        <v>0</v>
      </c>
      <c r="AH25" s="14">
        <f>IFERROR(VLOOKUP(IF(MOD(COLUMN(AH25),2)=0,$A25&amp;"-"&amp;AH$3,$A25&amp;"-"&amp;AG$3),CoSo1[],AH$38,0),"")</f>
        <v>160</v>
      </c>
      <c r="AI25" s="14">
        <f>IFERROR(VLOOKUP(IF(MOD(COLUMN(AI25),2)=0,$A25&amp;"-"&amp;AI$3,$A25&amp;"-"&amp;AH$3),CoSo1[],AI$38,0),"")</f>
        <v>2</v>
      </c>
      <c r="AJ25" s="14">
        <f>IFERROR(VLOOKUP(IF(MOD(COLUMN(AJ25),2)=0,$A25&amp;"-"&amp;AJ$3,$A25&amp;"-"&amp;AI$3),CoSo1[],AJ$38,0),"")</f>
        <v>0</v>
      </c>
      <c r="AK25" s="14">
        <f>IFERROR(VLOOKUP(IF(MOD(COLUMN(AK25),2)=0,$A25&amp;"-"&amp;AK$3,$A25&amp;"-"&amp;AJ$3),CoSo1[],AK$38,0),"")</f>
        <v>0</v>
      </c>
      <c r="AL25" s="14">
        <f>IFERROR(VLOOKUP(IF(MOD(COLUMN(AL25),2)=0,$A25&amp;"-"&amp;AL$3,$A25&amp;"-"&amp;AK$3),CoSo1[],AL$38,0),"")</f>
        <v>0</v>
      </c>
      <c r="AM25" s="14">
        <f>IFERROR(VLOOKUP(IF(MOD(COLUMN(AM25),2)=0,$A25&amp;"-"&amp;AM$3,$A25&amp;"-"&amp;AL$3),CoSo1[],AM$38,0),"")</f>
        <v>0</v>
      </c>
      <c r="AN25" s="14">
        <f>IFERROR(VLOOKUP(IF(MOD(COLUMN(AN25),2)=0,$A25&amp;"-"&amp;AN$3,$A25&amp;"-"&amp;AM$3),CoSo1[],AN$38,0),"")</f>
        <v>0</v>
      </c>
      <c r="AO25" s="14">
        <f>IFERROR(VLOOKUP(IF(MOD(COLUMN(AO25),2)=0,$A25&amp;"-"&amp;AO$3,$A25&amp;"-"&amp;AN$3),CoSo1[],AO$38,0),"")</f>
        <v>0</v>
      </c>
      <c r="AP25" s="14">
        <f>IFERROR(VLOOKUP(IF(MOD(COLUMN(AP25),2)=0,$A25&amp;"-"&amp;AP$3,$A25&amp;"-"&amp;AO$3),CoSo1[],AP$38,0),"")</f>
        <v>0</v>
      </c>
      <c r="AQ25" s="14">
        <f>IFERROR(VLOOKUP(IF(MOD(COLUMN(AQ25),2)=0,$A25&amp;"-"&amp;AQ$3,$A25&amp;"-"&amp;AP$3),CoSo1[],AQ$38,0),"")</f>
        <v>0</v>
      </c>
      <c r="AR25" s="11">
        <f t="shared" si="4"/>
        <v>160</v>
      </c>
      <c r="AS25" s="11">
        <f t="shared" si="4"/>
        <v>2</v>
      </c>
      <c r="AT25" s="14"/>
      <c r="AU25" s="14">
        <f>IFERROR(VLOOKUP(IF(MOD(COLUMN(AU25),2)=1,$A25&amp;"-"&amp;AU$3,$A25&amp;"-"&amp;AT$3),CoSo3[],DoanhThuThang!AU$38,0),"")</f>
        <v>19</v>
      </c>
      <c r="AV25" s="14">
        <f>IFERROR(VLOOKUP(IF(MOD(COLUMN(AV25),2)=1,$A25&amp;"-"&amp;AV$3,$A25&amp;"-"&amp;AU$3),CoSo3[],DoanhThuThang!AV$38,0),"")</f>
        <v>1</v>
      </c>
      <c r="AW25" s="14">
        <f>IFERROR(VLOOKUP(IF(MOD(COLUMN(AW25),2)=1,$A25&amp;"-"&amp;AW$3,$A25&amp;"-"&amp;AV$3),CoSo3[],DoanhThuThang!AW$38,0),"")</f>
        <v>475</v>
      </c>
      <c r="AX25" s="14">
        <f>IFERROR(VLOOKUP(IF(MOD(COLUMN(AX25),2)=1,$A25&amp;"-"&amp;AX$3,$A25&amp;"-"&amp;AW$3),CoSo3[],DoanhThuThang!AX$38,0),"")</f>
        <v>6</v>
      </c>
      <c r="AY25" s="11">
        <f t="shared" si="7"/>
        <v>494</v>
      </c>
      <c r="AZ25" s="11">
        <f t="shared" si="8"/>
        <v>7</v>
      </c>
      <c r="BA25" s="14"/>
      <c r="BB25" s="14">
        <f>IFERROR(VLOOKUP(IF(MOD(COLUMN(BB25),2)=0,$A25&amp;"-"&amp;BB$3,$A25&amp;"-"&amp;BA$3),CoSo3[],DoanhThuThang!BB$38,0),"")</f>
        <v>0</v>
      </c>
      <c r="BC25" s="14">
        <f>IFERROR(VLOOKUP(IF(MOD(COLUMN(BC25),2)=0,$A25&amp;"-"&amp;BC$3,$A25&amp;"-"&amp;BB$3),CoSo3[],DoanhThuThang!BC$38,0),"")</f>
        <v>0</v>
      </c>
      <c r="BD25" s="14">
        <f>IFERROR(VLOOKUP(IF(MOD(COLUMN(BD25),2)=0,$A25&amp;"-"&amp;BD$3,$A25&amp;"-"&amp;BC$3),CoSo3[],DoanhThuThang!BD$38,0),"")</f>
        <v>149</v>
      </c>
      <c r="BE25" s="14">
        <f>IFERROR(VLOOKUP(IF(MOD(COLUMN(BE25),2)=0,$A25&amp;"-"&amp;BE$3,$A25&amp;"-"&amp;BD$3),CoSo3[],DoanhThuThang!BE$38,0),"")</f>
        <v>1</v>
      </c>
      <c r="BF25" s="11">
        <f t="shared" si="9"/>
        <v>149</v>
      </c>
      <c r="BG25" s="11">
        <f t="shared" si="10"/>
        <v>1</v>
      </c>
      <c r="BH25" s="14"/>
      <c r="BI25" s="14" t="str">
        <f>IFERROR(VLOOKUP(IF(MOD(COLUMN(BI25),2)=1,$A25&amp;"-"&amp;BI$3,$A25&amp;"-"&amp;BH$3),CoSo4[],DoanhThuThang!BI$38,0),"")</f>
        <v/>
      </c>
      <c r="BJ25" s="14" t="str">
        <f>IFERROR(VLOOKUP(IF(MOD(COLUMN(BJ25),2)=1,$A25&amp;"-"&amp;BJ$3,$A25&amp;"-"&amp;BI$3),CoSo4[],DoanhThuThang!BJ$38,0),"")</f>
        <v/>
      </c>
      <c r="BK25" s="14" t="str">
        <f>IFERROR(VLOOKUP(IF(MOD(COLUMN(BK25),2)=1,$A25&amp;"-"&amp;BK$3,$A25&amp;"-"&amp;BJ$3),CoSo4[],DoanhThuThang!BK$38,0),"")</f>
        <v/>
      </c>
      <c r="BL25" s="14" t="str">
        <f>IFERROR(VLOOKUP(IF(MOD(COLUMN(BL25),2)=1,$A25&amp;"-"&amp;BL$3,$A25&amp;"-"&amp;BK$3),CoSo4[],DoanhThuThang!BL$38,0),"")</f>
        <v/>
      </c>
      <c r="BM25" s="11">
        <f t="shared" si="11"/>
        <v>0</v>
      </c>
      <c r="BN25" s="11">
        <f t="shared" si="12"/>
        <v>0</v>
      </c>
      <c r="BO25" s="14"/>
      <c r="BP25" s="14" t="str">
        <f>IFERROR(VLOOKUP(IF(MOD(COLUMN(BP25),2)=0,$A25&amp;"-"&amp;BP$3,$A25&amp;"-"&amp;BO$3),CoSo4[],DoanhThuThang!BP$38,0),"")</f>
        <v/>
      </c>
      <c r="BQ25" s="14" t="str">
        <f>IFERROR(VLOOKUP(IF(MOD(COLUMN(BQ25),2)=0,$A25&amp;"-"&amp;BQ$3,$A25&amp;"-"&amp;BP$3),CoSo4[],DoanhThuThang!BQ$38,0),"")</f>
        <v/>
      </c>
      <c r="BR25" s="14" t="str">
        <f>IFERROR(VLOOKUP(IF(MOD(COLUMN(BR25),2)=0,$A25&amp;"-"&amp;BR$3,$A25&amp;"-"&amp;BQ$3),CoSo4[],DoanhThuThang!BR$38,0),"")</f>
        <v/>
      </c>
      <c r="BS25" s="14" t="str">
        <f>IFERROR(VLOOKUP(IF(MOD(COLUMN(BS25),2)=0,$A25&amp;"-"&amp;BS$3,$A25&amp;"-"&amp;BR$3),CoSo4[],DoanhThuThang!BS$38,0),"")</f>
        <v/>
      </c>
      <c r="BT25" s="11">
        <f t="shared" si="13"/>
        <v>0</v>
      </c>
      <c r="BU25" s="11">
        <f t="shared" si="14"/>
        <v>0</v>
      </c>
      <c r="BV25" s="103"/>
      <c r="BW25" s="14" t="str">
        <f>IFERROR(VLOOKUP($A25,BanBuon[],DoanhThuThang!BW$38,0),"")</f>
        <v/>
      </c>
      <c r="BX25" s="14" t="str">
        <f>IFERROR(VLOOKUP($A25,BanBuon[],DoanhThuThang!BX$38,0),"")</f>
        <v/>
      </c>
      <c r="BY25" s="14" t="str">
        <f>IFERROR(VLOOKUP($A25,BanBuon[],DoanhThuThang!BY$38,0),"")</f>
        <v/>
      </c>
      <c r="BZ25" s="14" t="str">
        <f>IFERROR(VLOOKUP($A25,BanBuon[],DoanhThuThang!BZ$38,0),"")</f>
        <v/>
      </c>
      <c r="CA25" s="106">
        <f t="shared" si="19"/>
        <v>0</v>
      </c>
      <c r="CB25" s="106">
        <f t="shared" si="17"/>
        <v>0</v>
      </c>
      <c r="CC25" s="14">
        <f>IFERROR(VLOOKUP(IF(MOD(COLUMN(B25),2)=0,$A25&amp;"-"&amp;B$3,$A25&amp;"-"&amp;A$3),CoSo1[],CC$38,0),"")</f>
        <v>660</v>
      </c>
      <c r="CD25" s="14">
        <f>IFERROR(VLOOKUP(IF(MOD(COLUMN(C25),2)=0,$A25&amp;"-"&amp;CD$3,$A25&amp;"-"&amp;CC$3),CoSo1[],CD$38,0),"")</f>
        <v>5</v>
      </c>
      <c r="CE25" s="14">
        <f>IFERROR(VLOOKUP(IF(MOD(COLUMN(D25),2)=0,$A25&amp;"-"&amp;D$3,$A25&amp;"-"&amp;C$3),CoSo1[],CE$38,0),"")</f>
        <v>183</v>
      </c>
      <c r="CF25" s="14">
        <f>IFERROR(VLOOKUP(IF(MOD(COLUMN(E25),2)=0,$A25&amp;"-"&amp;E$3,$A25&amp;"-"&amp;D$3),CoSo1[],CF$38,0),"")</f>
        <v>1</v>
      </c>
      <c r="CG25" s="106">
        <f t="shared" si="20"/>
        <v>843</v>
      </c>
      <c r="CH25" s="106">
        <f t="shared" si="18"/>
        <v>6</v>
      </c>
    </row>
    <row r="26" spans="1:86" x14ac:dyDescent="0.25">
      <c r="A26" s="13">
        <v>21</v>
      </c>
      <c r="B26" s="14">
        <f>IFERROR(VLOOKUP(IF(MOD(COLUMN(B26),2)=0,$A26&amp;"-"&amp;B$3,$A26&amp;"-"&amp;A$3),CoSo1[],B$38,0),"")</f>
        <v>524</v>
      </c>
      <c r="C26" s="14">
        <f>IFERROR(VLOOKUP(IF(MOD(COLUMN(C26),2)=0,$A26&amp;"-"&amp;C$3,$A26&amp;"-"&amp;B$3),CoSo1[],C$38,0),"")</f>
        <v>6</v>
      </c>
      <c r="D26" s="14">
        <f>IFERROR(VLOOKUP(IF(MOD(COLUMN(D26),2)=0,$A26&amp;"-"&amp;D$3,$A26&amp;"-"&amp;C$3),CoSo1[],D$38,0),"")</f>
        <v>324</v>
      </c>
      <c r="E26" s="14">
        <f>IFERROR(VLOOKUP(IF(MOD(COLUMN(E26),2)=0,$A26&amp;"-"&amp;E$3,$A26&amp;"-"&amp;D$3),CoSo1[],E$38,0),"")</f>
        <v>6</v>
      </c>
      <c r="F26" s="14">
        <f>IFERROR(VLOOKUP(IF(MOD(COLUMN(F26),2)=0,$A26&amp;"-"&amp;F$3,$A26&amp;"-"&amp;E$3),CoSo1[],F$38,0),"")</f>
        <v>0</v>
      </c>
      <c r="G26" s="14">
        <f>IFERROR(VLOOKUP(IF(MOD(COLUMN(G26),2)=0,$A26&amp;"-"&amp;G$3,$A26&amp;"-"&amp;F$3),CoSo1[],G$38,0),"")</f>
        <v>0</v>
      </c>
      <c r="H26" s="14">
        <f>IFERROR(VLOOKUP(IF(MOD(COLUMN(H26),2)=0,$A26&amp;"-"&amp;H$3,$A26&amp;"-"&amp;G$3),CoSo1[],H$38,0),"")</f>
        <v>0</v>
      </c>
      <c r="I26" s="14">
        <f>IFERROR(VLOOKUP(IF(MOD(COLUMN(I26),2)=0,$A26&amp;"-"&amp;I$3,$A26&amp;"-"&amp;H$3),CoSo1[],I$38,0),"")</f>
        <v>0</v>
      </c>
      <c r="J26" s="14">
        <f>IFERROR(VLOOKUP(IF(MOD(COLUMN(J26),2)=0,$A26&amp;"-"&amp;J$3,$A26&amp;"-"&amp;I$3),CoSo1[],J$38,0),"")</f>
        <v>0</v>
      </c>
      <c r="K26" s="14">
        <f>IFERROR(VLOOKUP(IF(MOD(COLUMN(K26),2)=0,$A26&amp;"-"&amp;K$3,$A26&amp;"-"&amp;J$3),CoSo1[],K$38,0),"")</f>
        <v>0</v>
      </c>
      <c r="L26" s="14">
        <f>IFERROR(VLOOKUP(IF(MOD(COLUMN(L26),2)=0,$A26&amp;"-"&amp;L$3,$A26&amp;"-"&amp;K$3),CoSo1[],L$38,0),"")</f>
        <v>0</v>
      </c>
      <c r="M26" s="14">
        <f>IFERROR(VLOOKUP(IF(MOD(COLUMN(M26),2)=0,$A26&amp;"-"&amp;M$3,$A26&amp;"-"&amp;L$3),CoSo1[],M$38,0),"")</f>
        <v>0</v>
      </c>
      <c r="N26" s="11">
        <f t="shared" si="15"/>
        <v>848</v>
      </c>
      <c r="O26" s="11">
        <f t="shared" si="16"/>
        <v>12</v>
      </c>
      <c r="P26" s="14"/>
      <c r="Q26" s="14">
        <f>IFERROR(VLOOKUP(IF(MOD(COLUMN(Q26),2)=1,$A26&amp;"-"&amp;Q$3,$A26&amp;"-"&amp;P$3),CoSo1[],Q$38,0),"")</f>
        <v>0</v>
      </c>
      <c r="R26" s="14">
        <f>IFERROR(VLOOKUP(IF(MOD(COLUMN(R26),2)=1,$A26&amp;"-"&amp;R$3,$A26&amp;"-"&amp;Q$3),CoSo1[],R$38,0),"")</f>
        <v>0</v>
      </c>
      <c r="S26" s="14">
        <f>IFERROR(VLOOKUP(IF(MOD(COLUMN(S26),2)=1,$A26&amp;"-"&amp;S$3,$A26&amp;"-"&amp;R$3),CoSo1[],S$38,0),"")</f>
        <v>0</v>
      </c>
      <c r="T26" s="14">
        <f>IFERROR(VLOOKUP(IF(MOD(COLUMN(T26),2)=1,$A26&amp;"-"&amp;T$3,$A26&amp;"-"&amp;S$3),CoSo1[],T$38,0),"")</f>
        <v>0</v>
      </c>
      <c r="U26" s="14">
        <f>IFERROR(VLOOKUP(IF(MOD(COLUMN(U26),2)=1,$A26&amp;"-"&amp;U$3,$A26&amp;"-"&amp;T$3),CoSo1[],U$38,0),"")</f>
        <v>0</v>
      </c>
      <c r="V26" s="14">
        <f>IFERROR(VLOOKUP(IF(MOD(COLUMN(V26),2)=1,$A26&amp;"-"&amp;V$3,$A26&amp;"-"&amp;U$3),CoSo1[],V$38,0),"")</f>
        <v>0</v>
      </c>
      <c r="W26" s="14">
        <f>IFERROR(VLOOKUP(IF(MOD(COLUMN(W26),2)=1,$A26&amp;"-"&amp;W$3,$A26&amp;"-"&amp;V$3),CoSo1[],W$38,0),"")</f>
        <v>0</v>
      </c>
      <c r="X26" s="14">
        <f>IFERROR(VLOOKUP(IF(MOD(COLUMN(X26),2)=1,$A26&amp;"-"&amp;X$3,$A26&amp;"-"&amp;W$3),CoSo1[],X$38,0),"")</f>
        <v>0</v>
      </c>
      <c r="Y26" s="14">
        <f>IFERROR(VLOOKUP(IF(MOD(COLUMN(Y26),2)=1,$A26&amp;"-"&amp;Y$3,$A26&amp;"-"&amp;X$3),CoSo1[],Y$38,0),"")</f>
        <v>0</v>
      </c>
      <c r="Z26" s="14">
        <f>IFERROR(VLOOKUP(IF(MOD(COLUMN(Z26),2)=1,$A26&amp;"-"&amp;Z$3,$A26&amp;"-"&amp;Y$3),CoSo1[],Z$38,0),"")</f>
        <v>0</v>
      </c>
      <c r="AA26" s="14">
        <f>IFERROR(VLOOKUP(IF(MOD(COLUMN(AA26),2)=1,$A26&amp;"-"&amp;AA$3,$A26&amp;"-"&amp;Z$3),CoSo1[],AA$38,0),"")</f>
        <v>0</v>
      </c>
      <c r="AB26" s="14">
        <f>IFERROR(VLOOKUP(IF(MOD(COLUMN(AB26),2)=1,$A26&amp;"-"&amp;AB$3,$A26&amp;"-"&amp;AA$3),CoSo1[],AB$38,0),"")</f>
        <v>0</v>
      </c>
      <c r="AC26" s="11">
        <f t="shared" si="2"/>
        <v>0</v>
      </c>
      <c r="AD26" s="11">
        <f t="shared" si="2"/>
        <v>0</v>
      </c>
      <c r="AE26" s="14"/>
      <c r="AF26" s="14">
        <f>IFERROR(VLOOKUP(IF(MOD(COLUMN(AF26),2)=0,$A26&amp;"-"&amp;AF$3,$A26&amp;"-"&amp;AE$3),CoSo1[],AF$38,0),"")</f>
        <v>0</v>
      </c>
      <c r="AG26" s="14">
        <f>IFERROR(VLOOKUP(IF(MOD(COLUMN(AG26),2)=0,$A26&amp;"-"&amp;AG$3,$A26&amp;"-"&amp;AF$3),CoSo1[],AG$38,0),"")</f>
        <v>0</v>
      </c>
      <c r="AH26" s="14">
        <f>IFERROR(VLOOKUP(IF(MOD(COLUMN(AH26),2)=0,$A26&amp;"-"&amp;AH$3,$A26&amp;"-"&amp;AG$3),CoSo1[],AH$38,0),"")</f>
        <v>0</v>
      </c>
      <c r="AI26" s="14">
        <f>IFERROR(VLOOKUP(IF(MOD(COLUMN(AI26),2)=0,$A26&amp;"-"&amp;AI$3,$A26&amp;"-"&amp;AH$3),CoSo1[],AI$38,0),"")</f>
        <v>0</v>
      </c>
      <c r="AJ26" s="14">
        <f>IFERROR(VLOOKUP(IF(MOD(COLUMN(AJ26),2)=0,$A26&amp;"-"&amp;AJ$3,$A26&amp;"-"&amp;AI$3),CoSo1[],AJ$38,0),"")</f>
        <v>0</v>
      </c>
      <c r="AK26" s="14">
        <f>IFERROR(VLOOKUP(IF(MOD(COLUMN(AK26),2)=0,$A26&amp;"-"&amp;AK$3,$A26&amp;"-"&amp;AJ$3),CoSo1[],AK$38,0),"")</f>
        <v>0</v>
      </c>
      <c r="AL26" s="14">
        <f>IFERROR(VLOOKUP(IF(MOD(COLUMN(AL26),2)=0,$A26&amp;"-"&amp;AL$3,$A26&amp;"-"&amp;AK$3),CoSo1[],AL$38,0),"")</f>
        <v>0</v>
      </c>
      <c r="AM26" s="14">
        <f>IFERROR(VLOOKUP(IF(MOD(COLUMN(AM26),2)=0,$A26&amp;"-"&amp;AM$3,$A26&amp;"-"&amp;AL$3),CoSo1[],AM$38,0),"")</f>
        <v>0</v>
      </c>
      <c r="AN26" s="14">
        <f>IFERROR(VLOOKUP(IF(MOD(COLUMN(AN26),2)=0,$A26&amp;"-"&amp;AN$3,$A26&amp;"-"&amp;AM$3),CoSo1[],AN$38,0),"")</f>
        <v>0</v>
      </c>
      <c r="AO26" s="14">
        <f>IFERROR(VLOOKUP(IF(MOD(COLUMN(AO26),2)=0,$A26&amp;"-"&amp;AO$3,$A26&amp;"-"&amp;AN$3),CoSo1[],AO$38,0),"")</f>
        <v>0</v>
      </c>
      <c r="AP26" s="14">
        <f>IFERROR(VLOOKUP(IF(MOD(COLUMN(AP26),2)=0,$A26&amp;"-"&amp;AP$3,$A26&amp;"-"&amp;AO$3),CoSo1[],AP$38,0),"")</f>
        <v>0</v>
      </c>
      <c r="AQ26" s="14">
        <f>IFERROR(VLOOKUP(IF(MOD(COLUMN(AQ26),2)=0,$A26&amp;"-"&amp;AQ$3,$A26&amp;"-"&amp;AP$3),CoSo1[],AQ$38,0),"")</f>
        <v>0</v>
      </c>
      <c r="AR26" s="11">
        <f t="shared" si="4"/>
        <v>0</v>
      </c>
      <c r="AS26" s="11">
        <f t="shared" si="4"/>
        <v>0</v>
      </c>
      <c r="AT26" s="14"/>
      <c r="AU26" s="14">
        <f>IFERROR(VLOOKUP(IF(MOD(COLUMN(AU26),2)=1,$A26&amp;"-"&amp;AU$3,$A26&amp;"-"&amp;AT$3),CoSo3[],DoanhThuThang!AU$38,0),"")</f>
        <v>529</v>
      </c>
      <c r="AV26" s="14">
        <f>IFERROR(VLOOKUP(IF(MOD(COLUMN(AV26),2)=1,$A26&amp;"-"&amp;AV$3,$A26&amp;"-"&amp;AU$3),CoSo3[],DoanhThuThang!AV$38,0),"")</f>
        <v>3</v>
      </c>
      <c r="AW26" s="14">
        <f>IFERROR(VLOOKUP(IF(MOD(COLUMN(AW26),2)=1,$A26&amp;"-"&amp;AW$3,$A26&amp;"-"&amp;AV$3),CoSo3[],DoanhThuThang!AW$38,0),"")</f>
        <v>652</v>
      </c>
      <c r="AX26" s="14">
        <f>IFERROR(VLOOKUP(IF(MOD(COLUMN(AX26),2)=1,$A26&amp;"-"&amp;AX$3,$A26&amp;"-"&amp;AW$3),CoSo3[],DoanhThuThang!AX$38,0),"")</f>
        <v>4</v>
      </c>
      <c r="AY26" s="11">
        <f t="shared" si="7"/>
        <v>1181</v>
      </c>
      <c r="AZ26" s="11">
        <f t="shared" si="8"/>
        <v>7</v>
      </c>
      <c r="BA26" s="14"/>
      <c r="BB26" s="14">
        <f>IFERROR(VLOOKUP(IF(MOD(COLUMN(BB26),2)=0,$A26&amp;"-"&amp;BB$3,$A26&amp;"-"&amp;BA$3),CoSo3[],DoanhThuThang!BB$38,0),"")</f>
        <v>0</v>
      </c>
      <c r="BC26" s="14">
        <f>IFERROR(VLOOKUP(IF(MOD(COLUMN(BC26),2)=0,$A26&amp;"-"&amp;BC$3,$A26&amp;"-"&amp;BB$3),CoSo3[],DoanhThuThang!BC$38,0),"")</f>
        <v>0</v>
      </c>
      <c r="BD26" s="14">
        <f>IFERROR(VLOOKUP(IF(MOD(COLUMN(BD26),2)=0,$A26&amp;"-"&amp;BD$3,$A26&amp;"-"&amp;BC$3),CoSo3[],DoanhThuThang!BD$38,0),"")</f>
        <v>60000</v>
      </c>
      <c r="BE26" s="14">
        <f>IFERROR(VLOOKUP(IF(MOD(COLUMN(BE26),2)=0,$A26&amp;"-"&amp;BE$3,$A26&amp;"-"&amp;BD$3),CoSo3[],DoanhThuThang!BE$38,0),"")</f>
        <v>1</v>
      </c>
      <c r="BF26" s="11">
        <f t="shared" si="9"/>
        <v>60000</v>
      </c>
      <c r="BG26" s="11">
        <f t="shared" si="10"/>
        <v>1</v>
      </c>
      <c r="BH26" s="14"/>
      <c r="BI26" s="14" t="str">
        <f>IFERROR(VLOOKUP(IF(MOD(COLUMN(BI26),2)=1,$A26&amp;"-"&amp;BI$3,$A26&amp;"-"&amp;BH$3),CoSo4[],DoanhThuThang!BI$38,0),"")</f>
        <v/>
      </c>
      <c r="BJ26" s="14" t="str">
        <f>IFERROR(VLOOKUP(IF(MOD(COLUMN(BJ26),2)=1,$A26&amp;"-"&amp;BJ$3,$A26&amp;"-"&amp;BI$3),CoSo4[],DoanhThuThang!BJ$38,0),"")</f>
        <v/>
      </c>
      <c r="BK26" s="14" t="str">
        <f>IFERROR(VLOOKUP(IF(MOD(COLUMN(BK26),2)=1,$A26&amp;"-"&amp;BK$3,$A26&amp;"-"&amp;BJ$3),CoSo4[],DoanhThuThang!BK$38,0),"")</f>
        <v/>
      </c>
      <c r="BL26" s="14" t="str">
        <f>IFERROR(VLOOKUP(IF(MOD(COLUMN(BL26),2)=1,$A26&amp;"-"&amp;BL$3,$A26&amp;"-"&amp;BK$3),CoSo4[],DoanhThuThang!BL$38,0),"")</f>
        <v/>
      </c>
      <c r="BM26" s="11">
        <f t="shared" si="11"/>
        <v>0</v>
      </c>
      <c r="BN26" s="11">
        <f t="shared" si="12"/>
        <v>0</v>
      </c>
      <c r="BO26" s="14"/>
      <c r="BP26" s="14" t="str">
        <f>IFERROR(VLOOKUP(IF(MOD(COLUMN(BP26),2)=0,$A26&amp;"-"&amp;BP$3,$A26&amp;"-"&amp;BO$3),CoSo4[],DoanhThuThang!BP$38,0),"")</f>
        <v/>
      </c>
      <c r="BQ26" s="14" t="str">
        <f>IFERROR(VLOOKUP(IF(MOD(COLUMN(BQ26),2)=0,$A26&amp;"-"&amp;BQ$3,$A26&amp;"-"&amp;BP$3),CoSo4[],DoanhThuThang!BQ$38,0),"")</f>
        <v/>
      </c>
      <c r="BR26" s="14" t="str">
        <f>IFERROR(VLOOKUP(IF(MOD(COLUMN(BR26),2)=0,$A26&amp;"-"&amp;BR$3,$A26&amp;"-"&amp;BQ$3),CoSo4[],DoanhThuThang!BR$38,0),"")</f>
        <v/>
      </c>
      <c r="BS26" s="14" t="str">
        <f>IFERROR(VLOOKUP(IF(MOD(COLUMN(BS26),2)=0,$A26&amp;"-"&amp;BS$3,$A26&amp;"-"&amp;BR$3),CoSo4[],DoanhThuThang!BS$38,0),"")</f>
        <v/>
      </c>
      <c r="BT26" s="11">
        <f t="shared" si="13"/>
        <v>0</v>
      </c>
      <c r="BU26" s="11">
        <f t="shared" si="14"/>
        <v>0</v>
      </c>
      <c r="BV26" s="103"/>
      <c r="BW26" s="14" t="str">
        <f>IFERROR(VLOOKUP($A26,BanBuon[],DoanhThuThang!BW$38,0),"")</f>
        <v/>
      </c>
      <c r="BX26" s="14" t="str">
        <f>IFERROR(VLOOKUP($A26,BanBuon[],DoanhThuThang!BX$38,0),"")</f>
        <v/>
      </c>
      <c r="BY26" s="14" t="str">
        <f>IFERROR(VLOOKUP($A26,BanBuon[],DoanhThuThang!BY$38,0),"")</f>
        <v/>
      </c>
      <c r="BZ26" s="14" t="str">
        <f>IFERROR(VLOOKUP($A26,BanBuon[],DoanhThuThang!BZ$38,0),"")</f>
        <v/>
      </c>
      <c r="CA26" s="106">
        <f t="shared" si="19"/>
        <v>0</v>
      </c>
      <c r="CB26" s="106">
        <f t="shared" si="17"/>
        <v>0</v>
      </c>
      <c r="CC26" s="14">
        <f>IFERROR(VLOOKUP(IF(MOD(COLUMN(B26),2)=0,$A26&amp;"-"&amp;B$3,$A26&amp;"-"&amp;A$3),CoSo1[],CC$38,0),"")</f>
        <v>345</v>
      </c>
      <c r="CD26" s="14">
        <f>IFERROR(VLOOKUP(IF(MOD(COLUMN(C26),2)=0,$A26&amp;"-"&amp;CD$3,$A26&amp;"-"&amp;CC$3),CoSo1[],CD$38,0),"")</f>
        <v>1</v>
      </c>
      <c r="CE26" s="14">
        <f>IFERROR(VLOOKUP(IF(MOD(COLUMN(D26),2)=0,$A26&amp;"-"&amp;D$3,$A26&amp;"-"&amp;C$3),CoSo1[],CE$38,0),"")</f>
        <v>768</v>
      </c>
      <c r="CF26" s="14">
        <f>IFERROR(VLOOKUP(IF(MOD(COLUMN(E26),2)=0,$A26&amp;"-"&amp;E$3,$A26&amp;"-"&amp;D$3),CoSo1[],CF$38,0),"")</f>
        <v>3</v>
      </c>
      <c r="CG26" s="106">
        <f t="shared" si="20"/>
        <v>1113</v>
      </c>
      <c r="CH26" s="106">
        <f t="shared" si="18"/>
        <v>4</v>
      </c>
    </row>
    <row r="27" spans="1:86" x14ac:dyDescent="0.25">
      <c r="A27" s="13">
        <v>22</v>
      </c>
      <c r="B27" s="14">
        <f>IFERROR(VLOOKUP(IF(MOD(COLUMN(B27),2)=0,$A27&amp;"-"&amp;B$3,$A27&amp;"-"&amp;A$3),CoSo1[],B$38,0),"")</f>
        <v>395</v>
      </c>
      <c r="C27" s="14">
        <f>IFERROR(VLOOKUP(IF(MOD(COLUMN(C27),2)=0,$A27&amp;"-"&amp;C$3,$A27&amp;"-"&amp;B$3),CoSo1[],C$38,0),"")</f>
        <v>5</v>
      </c>
      <c r="D27" s="14">
        <f>IFERROR(VLOOKUP(IF(MOD(COLUMN(D27),2)=0,$A27&amp;"-"&amp;D$3,$A27&amp;"-"&amp;C$3),CoSo1[],D$38,0),"")</f>
        <v>862</v>
      </c>
      <c r="E27" s="14">
        <f>IFERROR(VLOOKUP(IF(MOD(COLUMN(E27),2)=0,$A27&amp;"-"&amp;E$3,$A27&amp;"-"&amp;D$3),CoSo1[],E$38,0),"")</f>
        <v>7</v>
      </c>
      <c r="F27" s="14">
        <f>IFERROR(VLOOKUP(IF(MOD(COLUMN(F27),2)=0,$A27&amp;"-"&amp;F$3,$A27&amp;"-"&amp;E$3),CoSo1[],F$38,0),"")</f>
        <v>0</v>
      </c>
      <c r="G27" s="14">
        <f>IFERROR(VLOOKUP(IF(MOD(COLUMN(G27),2)=0,$A27&amp;"-"&amp;G$3,$A27&amp;"-"&amp;F$3),CoSo1[],G$38,0),"")</f>
        <v>0</v>
      </c>
      <c r="H27" s="14">
        <f>IFERROR(VLOOKUP(IF(MOD(COLUMN(H27),2)=0,$A27&amp;"-"&amp;H$3,$A27&amp;"-"&amp;G$3),CoSo1[],H$38,0),"")</f>
        <v>0</v>
      </c>
      <c r="I27" s="14">
        <f>IFERROR(VLOOKUP(IF(MOD(COLUMN(I27),2)=0,$A27&amp;"-"&amp;I$3,$A27&amp;"-"&amp;H$3),CoSo1[],I$38,0),"")</f>
        <v>0</v>
      </c>
      <c r="J27" s="14">
        <f>IFERROR(VLOOKUP(IF(MOD(COLUMN(J27),2)=0,$A27&amp;"-"&amp;J$3,$A27&amp;"-"&amp;I$3),CoSo1[],J$38,0),"")</f>
        <v>0</v>
      </c>
      <c r="K27" s="14">
        <f>IFERROR(VLOOKUP(IF(MOD(COLUMN(K27),2)=0,$A27&amp;"-"&amp;K$3,$A27&amp;"-"&amp;J$3),CoSo1[],K$38,0),"")</f>
        <v>0</v>
      </c>
      <c r="L27" s="14">
        <f>IFERROR(VLOOKUP(IF(MOD(COLUMN(L27),2)=0,$A27&amp;"-"&amp;L$3,$A27&amp;"-"&amp;K$3),CoSo1[],L$38,0),"")</f>
        <v>0</v>
      </c>
      <c r="M27" s="14">
        <f>IFERROR(VLOOKUP(IF(MOD(COLUMN(M27),2)=0,$A27&amp;"-"&amp;M$3,$A27&amp;"-"&amp;L$3),CoSo1[],M$38,0),"")</f>
        <v>0</v>
      </c>
      <c r="N27" s="11">
        <f t="shared" si="15"/>
        <v>1257</v>
      </c>
      <c r="O27" s="11">
        <f t="shared" si="16"/>
        <v>12</v>
      </c>
      <c r="P27" s="14"/>
      <c r="Q27" s="14">
        <f>IFERROR(VLOOKUP(IF(MOD(COLUMN(Q27),2)=1,$A27&amp;"-"&amp;Q$3,$A27&amp;"-"&amp;P$3),CoSo1[],Q$38,0),"")</f>
        <v>0</v>
      </c>
      <c r="R27" s="14">
        <f>IFERROR(VLOOKUP(IF(MOD(COLUMN(R27),2)=1,$A27&amp;"-"&amp;R$3,$A27&amp;"-"&amp;Q$3),CoSo1[],R$38,0),"")</f>
        <v>0</v>
      </c>
      <c r="S27" s="14">
        <f>IFERROR(VLOOKUP(IF(MOD(COLUMN(S27),2)=1,$A27&amp;"-"&amp;S$3,$A27&amp;"-"&amp;R$3),CoSo1[],S$38,0),"")</f>
        <v>80</v>
      </c>
      <c r="T27" s="14">
        <f>IFERROR(VLOOKUP(IF(MOD(COLUMN(T27),2)=1,$A27&amp;"-"&amp;T$3,$A27&amp;"-"&amp;S$3),CoSo1[],T$38,0),"")</f>
        <v>1</v>
      </c>
      <c r="U27" s="14">
        <f>IFERROR(VLOOKUP(IF(MOD(COLUMN(U27),2)=1,$A27&amp;"-"&amp;U$3,$A27&amp;"-"&amp;T$3),CoSo1[],U$38,0),"")</f>
        <v>0</v>
      </c>
      <c r="V27" s="14">
        <f>IFERROR(VLOOKUP(IF(MOD(COLUMN(V27),2)=1,$A27&amp;"-"&amp;V$3,$A27&amp;"-"&amp;U$3),CoSo1[],V$38,0),"")</f>
        <v>0</v>
      </c>
      <c r="W27" s="14">
        <f>IFERROR(VLOOKUP(IF(MOD(COLUMN(W27),2)=1,$A27&amp;"-"&amp;W$3,$A27&amp;"-"&amp;V$3),CoSo1[],W$38,0),"")</f>
        <v>0</v>
      </c>
      <c r="X27" s="14">
        <f>IFERROR(VLOOKUP(IF(MOD(COLUMN(X27),2)=1,$A27&amp;"-"&amp;X$3,$A27&amp;"-"&amp;W$3),CoSo1[],X$38,0),"")</f>
        <v>0</v>
      </c>
      <c r="Y27" s="14">
        <f>IFERROR(VLOOKUP(IF(MOD(COLUMN(Y27),2)=1,$A27&amp;"-"&amp;Y$3,$A27&amp;"-"&amp;X$3),CoSo1[],Y$38,0),"")</f>
        <v>0</v>
      </c>
      <c r="Z27" s="14">
        <f>IFERROR(VLOOKUP(IF(MOD(COLUMN(Z27),2)=1,$A27&amp;"-"&amp;Z$3,$A27&amp;"-"&amp;Y$3),CoSo1[],Z$38,0),"")</f>
        <v>0</v>
      </c>
      <c r="AA27" s="14">
        <f>IFERROR(VLOOKUP(IF(MOD(COLUMN(AA27),2)=1,$A27&amp;"-"&amp;AA$3,$A27&amp;"-"&amp;Z$3),CoSo1[],AA$38,0),"")</f>
        <v>0</v>
      </c>
      <c r="AB27" s="14">
        <f>IFERROR(VLOOKUP(IF(MOD(COLUMN(AB27),2)=1,$A27&amp;"-"&amp;AB$3,$A27&amp;"-"&amp;AA$3),CoSo1[],AB$38,0),"")</f>
        <v>0</v>
      </c>
      <c r="AC27" s="11">
        <f t="shared" si="2"/>
        <v>80</v>
      </c>
      <c r="AD27" s="11">
        <f t="shared" si="2"/>
        <v>1</v>
      </c>
      <c r="AE27" s="14">
        <f>SUM(AC21:AC27)</f>
        <v>512</v>
      </c>
      <c r="AF27" s="14">
        <f>IFERROR(VLOOKUP(IF(MOD(COLUMN(AF27),2)=0,$A27&amp;"-"&amp;AF$3,$A27&amp;"-"&amp;AE$3),CoSo1[],AF$38,0),"")</f>
        <v>0</v>
      </c>
      <c r="AG27" s="14">
        <f>IFERROR(VLOOKUP(IF(MOD(COLUMN(AG27),2)=0,$A27&amp;"-"&amp;AG$3,$A27&amp;"-"&amp;AF$3),CoSo1[],AG$38,0),"")</f>
        <v>0</v>
      </c>
      <c r="AH27" s="14">
        <f>IFERROR(VLOOKUP(IF(MOD(COLUMN(AH27),2)=0,$A27&amp;"-"&amp;AH$3,$A27&amp;"-"&amp;AG$3),CoSo1[],AH$38,0),"")</f>
        <v>75</v>
      </c>
      <c r="AI27" s="14">
        <f>IFERROR(VLOOKUP(IF(MOD(COLUMN(AI27),2)=0,$A27&amp;"-"&amp;AI$3,$A27&amp;"-"&amp;AH$3),CoSo1[],AI$38,0),"")</f>
        <v>2</v>
      </c>
      <c r="AJ27" s="14">
        <f>IFERROR(VLOOKUP(IF(MOD(COLUMN(AJ27),2)=0,$A27&amp;"-"&amp;AJ$3,$A27&amp;"-"&amp;AI$3),CoSo1[],AJ$38,0),"")</f>
        <v>0</v>
      </c>
      <c r="AK27" s="14">
        <f>IFERROR(VLOOKUP(IF(MOD(COLUMN(AK27),2)=0,$A27&amp;"-"&amp;AK$3,$A27&amp;"-"&amp;AJ$3),CoSo1[],AK$38,0),"")</f>
        <v>0</v>
      </c>
      <c r="AL27" s="14">
        <f>IFERROR(VLOOKUP(IF(MOD(COLUMN(AL27),2)=0,$A27&amp;"-"&amp;AL$3,$A27&amp;"-"&amp;AK$3),CoSo1[],AL$38,0),"")</f>
        <v>0</v>
      </c>
      <c r="AM27" s="14">
        <f>IFERROR(VLOOKUP(IF(MOD(COLUMN(AM27),2)=0,$A27&amp;"-"&amp;AM$3,$A27&amp;"-"&amp;AL$3),CoSo1[],AM$38,0),"")</f>
        <v>0</v>
      </c>
      <c r="AN27" s="14">
        <f>IFERROR(VLOOKUP(IF(MOD(COLUMN(AN27),2)=0,$A27&amp;"-"&amp;AN$3,$A27&amp;"-"&amp;AM$3),CoSo1[],AN$38,0),"")</f>
        <v>0</v>
      </c>
      <c r="AO27" s="14">
        <f>IFERROR(VLOOKUP(IF(MOD(COLUMN(AO27),2)=0,$A27&amp;"-"&amp;AO$3,$A27&amp;"-"&amp;AN$3),CoSo1[],AO$38,0),"")</f>
        <v>0</v>
      </c>
      <c r="AP27" s="14">
        <f>IFERROR(VLOOKUP(IF(MOD(COLUMN(AP27),2)=0,$A27&amp;"-"&amp;AP$3,$A27&amp;"-"&amp;AO$3),CoSo1[],AP$38,0),"")</f>
        <v>0</v>
      </c>
      <c r="AQ27" s="14">
        <f>IFERROR(VLOOKUP(IF(MOD(COLUMN(AQ27),2)=0,$A27&amp;"-"&amp;AQ$3,$A27&amp;"-"&amp;AP$3),CoSo1[],AQ$38,0),"")</f>
        <v>0</v>
      </c>
      <c r="AR27" s="11">
        <f t="shared" si="4"/>
        <v>75</v>
      </c>
      <c r="AS27" s="11">
        <f t="shared" si="4"/>
        <v>2</v>
      </c>
      <c r="AT27" s="14"/>
      <c r="AU27" s="14">
        <f>IFERROR(VLOOKUP(IF(MOD(COLUMN(AU27),2)=1,$A27&amp;"-"&amp;AU$3,$A27&amp;"-"&amp;AT$3),CoSo3[],DoanhThuThang!AU$38,0),"")</f>
        <v>18</v>
      </c>
      <c r="AV27" s="14">
        <f>IFERROR(VLOOKUP(IF(MOD(COLUMN(AV27),2)=1,$A27&amp;"-"&amp;AV$3,$A27&amp;"-"&amp;AU$3),CoSo3[],DoanhThuThang!AV$38,0),"")</f>
        <v>1</v>
      </c>
      <c r="AW27" s="14">
        <f>IFERROR(VLOOKUP(IF(MOD(COLUMN(AW27),2)=1,$A27&amp;"-"&amp;AW$3,$A27&amp;"-"&amp;AV$3),CoSo3[],DoanhThuThang!AW$38,0),"")</f>
        <v>1692</v>
      </c>
      <c r="AX27" s="14">
        <f>IFERROR(VLOOKUP(IF(MOD(COLUMN(AX27),2)=1,$A27&amp;"-"&amp;AX$3,$A27&amp;"-"&amp;AW$3),CoSo3[],DoanhThuThang!AX$38,0),"")</f>
        <v>10</v>
      </c>
      <c r="AY27" s="11">
        <f t="shared" si="7"/>
        <v>1710</v>
      </c>
      <c r="AZ27" s="11">
        <f t="shared" si="8"/>
        <v>11</v>
      </c>
      <c r="BA27" s="14"/>
      <c r="BB27" s="14">
        <f>IFERROR(VLOOKUP(IF(MOD(COLUMN(BB27),2)=0,$A27&amp;"-"&amp;BB$3,$A27&amp;"-"&amp;BA$3),CoSo3[],DoanhThuThang!BB$38,0),"")</f>
        <v>0</v>
      </c>
      <c r="BC27" s="14">
        <f>IFERROR(VLOOKUP(IF(MOD(COLUMN(BC27),2)=0,$A27&amp;"-"&amp;BC$3,$A27&amp;"-"&amp;BB$3),CoSo3[],DoanhThuThang!BC$38,0),"")</f>
        <v>0</v>
      </c>
      <c r="BD27" s="14">
        <f>IFERROR(VLOOKUP(IF(MOD(COLUMN(BD27),2)=0,$A27&amp;"-"&amp;BD$3,$A27&amp;"-"&amp;BC$3),CoSo3[],DoanhThuThang!BD$38,0),"")</f>
        <v>0</v>
      </c>
      <c r="BE27" s="14">
        <f>IFERROR(VLOOKUP(IF(MOD(COLUMN(BE27),2)=0,$A27&amp;"-"&amp;BE$3,$A27&amp;"-"&amp;BD$3),CoSo3[],DoanhThuThang!BE$38,0),"")</f>
        <v>0</v>
      </c>
      <c r="BF27" s="11">
        <f t="shared" si="9"/>
        <v>0</v>
      </c>
      <c r="BG27" s="11">
        <f t="shared" si="10"/>
        <v>0</v>
      </c>
      <c r="BH27" s="14"/>
      <c r="BI27" s="14" t="str">
        <f>IFERROR(VLOOKUP(IF(MOD(COLUMN(BI27),2)=1,$A27&amp;"-"&amp;BI$3,$A27&amp;"-"&amp;BH$3),CoSo4[],DoanhThuThang!BI$38,0),"")</f>
        <v/>
      </c>
      <c r="BJ27" s="14" t="str">
        <f>IFERROR(VLOOKUP(IF(MOD(COLUMN(BJ27),2)=1,$A27&amp;"-"&amp;BJ$3,$A27&amp;"-"&amp;BI$3),CoSo4[],DoanhThuThang!BJ$38,0),"")</f>
        <v/>
      </c>
      <c r="BK27" s="14" t="str">
        <f>IFERROR(VLOOKUP(IF(MOD(COLUMN(BK27),2)=1,$A27&amp;"-"&amp;BK$3,$A27&amp;"-"&amp;BJ$3),CoSo4[],DoanhThuThang!BK$38,0),"")</f>
        <v/>
      </c>
      <c r="BL27" s="14" t="str">
        <f>IFERROR(VLOOKUP(IF(MOD(COLUMN(BL27),2)=1,$A27&amp;"-"&amp;BL$3,$A27&amp;"-"&amp;BK$3),CoSo4[],DoanhThuThang!BL$38,0),"")</f>
        <v/>
      </c>
      <c r="BM27" s="11">
        <f t="shared" si="11"/>
        <v>0</v>
      </c>
      <c r="BN27" s="11">
        <f t="shared" si="12"/>
        <v>0</v>
      </c>
      <c r="BO27" s="14"/>
      <c r="BP27" s="14" t="str">
        <f>IFERROR(VLOOKUP(IF(MOD(COLUMN(BP27),2)=0,$A27&amp;"-"&amp;BP$3,$A27&amp;"-"&amp;BO$3),CoSo4[],DoanhThuThang!BP$38,0),"")</f>
        <v/>
      </c>
      <c r="BQ27" s="14" t="str">
        <f>IFERROR(VLOOKUP(IF(MOD(COLUMN(BQ27),2)=0,$A27&amp;"-"&amp;BQ$3,$A27&amp;"-"&amp;BP$3),CoSo4[],DoanhThuThang!BQ$38,0),"")</f>
        <v/>
      </c>
      <c r="BR27" s="14" t="str">
        <f>IFERROR(VLOOKUP(IF(MOD(COLUMN(BR27),2)=0,$A27&amp;"-"&amp;BR$3,$A27&amp;"-"&amp;BQ$3),CoSo4[],DoanhThuThang!BR$38,0),"")</f>
        <v/>
      </c>
      <c r="BS27" s="14" t="str">
        <f>IFERROR(VLOOKUP(IF(MOD(COLUMN(BS27),2)=0,$A27&amp;"-"&amp;BS$3,$A27&amp;"-"&amp;BR$3),CoSo4[],DoanhThuThang!BS$38,0),"")</f>
        <v/>
      </c>
      <c r="BT27" s="11">
        <f t="shared" si="13"/>
        <v>0</v>
      </c>
      <c r="BU27" s="11">
        <f t="shared" si="14"/>
        <v>0</v>
      </c>
      <c r="BV27" s="103"/>
      <c r="BW27" s="14" t="str">
        <f>IFERROR(VLOOKUP($A27,BanBuon[],DoanhThuThang!BW$38,0),"")</f>
        <v/>
      </c>
      <c r="BX27" s="14" t="str">
        <f>IFERROR(VLOOKUP($A27,BanBuon[],DoanhThuThang!BX$38,0),"")</f>
        <v/>
      </c>
      <c r="BY27" s="14" t="str">
        <f>IFERROR(VLOOKUP($A27,BanBuon[],DoanhThuThang!BY$38,0),"")</f>
        <v/>
      </c>
      <c r="BZ27" s="14" t="str">
        <f>IFERROR(VLOOKUP($A27,BanBuon[],DoanhThuThang!BZ$38,0),"")</f>
        <v/>
      </c>
      <c r="CA27" s="106">
        <f t="shared" si="19"/>
        <v>0</v>
      </c>
      <c r="CB27" s="106">
        <f t="shared" si="17"/>
        <v>0</v>
      </c>
      <c r="CC27" s="14">
        <f>IFERROR(VLOOKUP(IF(MOD(COLUMN(B27),2)=0,$A27&amp;"-"&amp;B$3,$A27&amp;"-"&amp;A$3),CoSo1[],CC$38,0),"")</f>
        <v>759</v>
      </c>
      <c r="CD27" s="14">
        <f>IFERROR(VLOOKUP(IF(MOD(COLUMN(C27),2)=0,$A27&amp;"-"&amp;CD$3,$A27&amp;"-"&amp;CC$3),CoSo1[],CD$38,0),"")</f>
        <v>1</v>
      </c>
      <c r="CE27" s="14">
        <f>IFERROR(VLOOKUP(IF(MOD(COLUMN(D27),2)=0,$A27&amp;"-"&amp;D$3,$A27&amp;"-"&amp;C$3),CoSo1[],CE$38,0),"")</f>
        <v>408</v>
      </c>
      <c r="CF27" s="14">
        <f>IFERROR(VLOOKUP(IF(MOD(COLUMN(E27),2)=0,$A27&amp;"-"&amp;E$3,$A27&amp;"-"&amp;D$3),CoSo1[],CF$38,0),"")</f>
        <v>3</v>
      </c>
      <c r="CG27" s="106">
        <f t="shared" si="20"/>
        <v>1167</v>
      </c>
      <c r="CH27" s="106">
        <f t="shared" si="18"/>
        <v>4</v>
      </c>
    </row>
    <row r="28" spans="1:86" x14ac:dyDescent="0.25">
      <c r="A28" s="13">
        <v>23</v>
      </c>
      <c r="B28" s="14">
        <f>IFERROR(VLOOKUP(IF(MOD(COLUMN(B28),2)=0,$A28&amp;"-"&amp;B$3,$A28&amp;"-"&amp;A$3),CoSo1[],B$38,0),"")</f>
        <v>457</v>
      </c>
      <c r="C28" s="14">
        <f>IFERROR(VLOOKUP(IF(MOD(COLUMN(C28),2)=0,$A28&amp;"-"&amp;C$3,$A28&amp;"-"&amp;B$3),CoSo1[],C$38,0),"")</f>
        <v>6</v>
      </c>
      <c r="D28" s="14">
        <f>IFERROR(VLOOKUP(IF(MOD(COLUMN(D28),2)=0,$A28&amp;"-"&amp;D$3,$A28&amp;"-"&amp;C$3),CoSo1[],D$38,0),"")</f>
        <v>1834</v>
      </c>
      <c r="E28" s="14">
        <f>IFERROR(VLOOKUP(IF(MOD(COLUMN(E28),2)=0,$A28&amp;"-"&amp;E$3,$A28&amp;"-"&amp;D$3),CoSo1[],E$38,0),"")</f>
        <v>14</v>
      </c>
      <c r="F28" s="14">
        <f>IFERROR(VLOOKUP(IF(MOD(COLUMN(F28),2)=0,$A28&amp;"-"&amp;F$3,$A28&amp;"-"&amp;E$3),CoSo1[],F$38,0),"")</f>
        <v>0</v>
      </c>
      <c r="G28" s="14">
        <f>IFERROR(VLOOKUP(IF(MOD(COLUMN(G28),2)=0,$A28&amp;"-"&amp;G$3,$A28&amp;"-"&amp;F$3),CoSo1[],G$38,0),"")</f>
        <v>0</v>
      </c>
      <c r="H28" s="14">
        <f>IFERROR(VLOOKUP(IF(MOD(COLUMN(H28),2)=0,$A28&amp;"-"&amp;H$3,$A28&amp;"-"&amp;G$3),CoSo1[],H$38,0),"")</f>
        <v>0</v>
      </c>
      <c r="I28" s="14">
        <f>IFERROR(VLOOKUP(IF(MOD(COLUMN(I28),2)=0,$A28&amp;"-"&amp;I$3,$A28&amp;"-"&amp;H$3),CoSo1[],I$38,0),"")</f>
        <v>0</v>
      </c>
      <c r="J28" s="14">
        <f>IFERROR(VLOOKUP(IF(MOD(COLUMN(J28),2)=0,$A28&amp;"-"&amp;J$3,$A28&amp;"-"&amp;I$3),CoSo1[],J$38,0),"")</f>
        <v>0</v>
      </c>
      <c r="K28" s="14">
        <f>IFERROR(VLOOKUP(IF(MOD(COLUMN(K28),2)=0,$A28&amp;"-"&amp;K$3,$A28&amp;"-"&amp;J$3),CoSo1[],K$38,0),"")</f>
        <v>0</v>
      </c>
      <c r="L28" s="14">
        <f>IFERROR(VLOOKUP(IF(MOD(COLUMN(L28),2)=0,$A28&amp;"-"&amp;L$3,$A28&amp;"-"&amp;K$3),CoSo1[],L$38,0),"")</f>
        <v>208</v>
      </c>
      <c r="M28" s="14">
        <f>IFERROR(VLOOKUP(IF(MOD(COLUMN(M28),2)=0,$A28&amp;"-"&amp;M$3,$A28&amp;"-"&amp;L$3),CoSo1[],M$38,0),"")</f>
        <v>1</v>
      </c>
      <c r="N28" s="11">
        <f t="shared" si="15"/>
        <v>2499</v>
      </c>
      <c r="O28" s="11">
        <f t="shared" si="16"/>
        <v>21</v>
      </c>
      <c r="P28" s="14"/>
      <c r="Q28" s="14">
        <f>IFERROR(VLOOKUP(IF(MOD(COLUMN(Q28),2)=1,$A28&amp;"-"&amp;Q$3,$A28&amp;"-"&amp;P$3),CoSo1[],Q$38,0),"")</f>
        <v>60</v>
      </c>
      <c r="R28" s="14">
        <f>IFERROR(VLOOKUP(IF(MOD(COLUMN(R28),2)=1,$A28&amp;"-"&amp;R$3,$A28&amp;"-"&amp;Q$3),CoSo1[],R$38,0),"")</f>
        <v>1</v>
      </c>
      <c r="S28" s="14">
        <f>IFERROR(VLOOKUP(IF(MOD(COLUMN(S28),2)=1,$A28&amp;"-"&amp;S$3,$A28&amp;"-"&amp;R$3),CoSo1[],S$38,0),"")</f>
        <v>0</v>
      </c>
      <c r="T28" s="14">
        <f>IFERROR(VLOOKUP(IF(MOD(COLUMN(T28),2)=1,$A28&amp;"-"&amp;T$3,$A28&amp;"-"&amp;S$3),CoSo1[],T$38,0),"")</f>
        <v>0</v>
      </c>
      <c r="U28" s="14">
        <f>IFERROR(VLOOKUP(IF(MOD(COLUMN(U28),2)=1,$A28&amp;"-"&amp;U$3,$A28&amp;"-"&amp;T$3),CoSo1[],U$38,0),"")</f>
        <v>0</v>
      </c>
      <c r="V28" s="14">
        <f>IFERROR(VLOOKUP(IF(MOD(COLUMN(V28),2)=1,$A28&amp;"-"&amp;V$3,$A28&amp;"-"&amp;U$3),CoSo1[],V$38,0),"")</f>
        <v>0</v>
      </c>
      <c r="W28" s="14">
        <f>IFERROR(VLOOKUP(IF(MOD(COLUMN(W28),2)=1,$A28&amp;"-"&amp;W$3,$A28&amp;"-"&amp;V$3),CoSo1[],W$38,0),"")</f>
        <v>0</v>
      </c>
      <c r="X28" s="14">
        <f>IFERROR(VLOOKUP(IF(MOD(COLUMN(X28),2)=1,$A28&amp;"-"&amp;X$3,$A28&amp;"-"&amp;W$3),CoSo1[],X$38,0),"")</f>
        <v>0</v>
      </c>
      <c r="Y28" s="14">
        <f>IFERROR(VLOOKUP(IF(MOD(COLUMN(Y28),2)=1,$A28&amp;"-"&amp;Y$3,$A28&amp;"-"&amp;X$3),CoSo1[],Y$38,0),"")</f>
        <v>0</v>
      </c>
      <c r="Z28" s="14">
        <f>IFERROR(VLOOKUP(IF(MOD(COLUMN(Z28),2)=1,$A28&amp;"-"&amp;Z$3,$A28&amp;"-"&amp;Y$3),CoSo1[],Z$38,0),"")</f>
        <v>0</v>
      </c>
      <c r="AA28" s="14">
        <f>IFERROR(VLOOKUP(IF(MOD(COLUMN(AA28),2)=1,$A28&amp;"-"&amp;AA$3,$A28&amp;"-"&amp;Z$3),CoSo1[],AA$38,0),"")</f>
        <v>0</v>
      </c>
      <c r="AB28" s="14">
        <f>IFERROR(VLOOKUP(IF(MOD(COLUMN(AB28),2)=1,$A28&amp;"-"&amp;AB$3,$A28&amp;"-"&amp;AA$3),CoSo1[],AB$38,0),"")</f>
        <v>0</v>
      </c>
      <c r="AC28" s="11">
        <f t="shared" si="2"/>
        <v>60</v>
      </c>
      <c r="AD28" s="11">
        <f t="shared" si="2"/>
        <v>1</v>
      </c>
      <c r="AE28" s="14"/>
      <c r="AF28" s="14">
        <f>IFERROR(VLOOKUP(IF(MOD(COLUMN(AF28),2)=0,$A28&amp;"-"&amp;AF$3,$A28&amp;"-"&amp;AE$3),CoSo1[],AF$38,0),"")</f>
        <v>0</v>
      </c>
      <c r="AG28" s="14">
        <f>IFERROR(VLOOKUP(IF(MOD(COLUMN(AG28),2)=0,$A28&amp;"-"&amp;AG$3,$A28&amp;"-"&amp;AF$3),CoSo1[],AG$38,0),"")</f>
        <v>0</v>
      </c>
      <c r="AH28" s="14">
        <f>IFERROR(VLOOKUP(IF(MOD(COLUMN(AH28),2)=0,$A28&amp;"-"&amp;AH$3,$A28&amp;"-"&amp;AG$3),CoSo1[],AH$38,0),"")</f>
        <v>0</v>
      </c>
      <c r="AI28" s="14">
        <f>IFERROR(VLOOKUP(IF(MOD(COLUMN(AI28),2)=0,$A28&amp;"-"&amp;AI$3,$A28&amp;"-"&amp;AH$3),CoSo1[],AI$38,0),"")</f>
        <v>0</v>
      </c>
      <c r="AJ28" s="14">
        <f>IFERROR(VLOOKUP(IF(MOD(COLUMN(AJ28),2)=0,$A28&amp;"-"&amp;AJ$3,$A28&amp;"-"&amp;AI$3),CoSo1[],AJ$38,0),"")</f>
        <v>0</v>
      </c>
      <c r="AK28" s="14">
        <f>IFERROR(VLOOKUP(IF(MOD(COLUMN(AK28),2)=0,$A28&amp;"-"&amp;AK$3,$A28&amp;"-"&amp;AJ$3),CoSo1[],AK$38,0),"")</f>
        <v>0</v>
      </c>
      <c r="AL28" s="14">
        <f>IFERROR(VLOOKUP(IF(MOD(COLUMN(AL28),2)=0,$A28&amp;"-"&amp;AL$3,$A28&amp;"-"&amp;AK$3),CoSo1[],AL$38,0),"")</f>
        <v>310</v>
      </c>
      <c r="AM28" s="14">
        <f>IFERROR(VLOOKUP(IF(MOD(COLUMN(AM28),2)=0,$A28&amp;"-"&amp;AM$3,$A28&amp;"-"&amp;AL$3),CoSo1[],AM$38,0),"")</f>
        <v>1</v>
      </c>
      <c r="AN28" s="14">
        <f>IFERROR(VLOOKUP(IF(MOD(COLUMN(AN28),2)=0,$A28&amp;"-"&amp;AN$3,$A28&amp;"-"&amp;AM$3),CoSo1[],AN$38,0),"")</f>
        <v>0</v>
      </c>
      <c r="AO28" s="14">
        <f>IFERROR(VLOOKUP(IF(MOD(COLUMN(AO28),2)=0,$A28&amp;"-"&amp;AO$3,$A28&amp;"-"&amp;AN$3),CoSo1[],AO$38,0),"")</f>
        <v>0</v>
      </c>
      <c r="AP28" s="14">
        <f>IFERROR(VLOOKUP(IF(MOD(COLUMN(AP28),2)=0,$A28&amp;"-"&amp;AP$3,$A28&amp;"-"&amp;AO$3),CoSo1[],AP$38,0),"")</f>
        <v>0</v>
      </c>
      <c r="AQ28" s="14">
        <f>IFERROR(VLOOKUP(IF(MOD(COLUMN(AQ28),2)=0,$A28&amp;"-"&amp;AQ$3,$A28&amp;"-"&amp;AP$3),CoSo1[],AQ$38,0),"")</f>
        <v>0</v>
      </c>
      <c r="AR28" s="11">
        <f t="shared" si="4"/>
        <v>310</v>
      </c>
      <c r="AS28" s="11">
        <f t="shared" si="4"/>
        <v>1</v>
      </c>
      <c r="AT28" s="14"/>
      <c r="AU28" s="14">
        <f>IFERROR(VLOOKUP(IF(MOD(COLUMN(AU28),2)=1,$A28&amp;"-"&amp;AU$3,$A28&amp;"-"&amp;AT$3),CoSo3[],DoanhThuThang!AU$38,0),"")</f>
        <v>422</v>
      </c>
      <c r="AV28" s="14">
        <f>IFERROR(VLOOKUP(IF(MOD(COLUMN(AV28),2)=1,$A28&amp;"-"&amp;AV$3,$A28&amp;"-"&amp;AU$3),CoSo3[],DoanhThuThang!AV$38,0),"")</f>
        <v>8</v>
      </c>
      <c r="AW28" s="14">
        <f>IFERROR(VLOOKUP(IF(MOD(COLUMN(AW28),2)=1,$A28&amp;"-"&amp;AW$3,$A28&amp;"-"&amp;AV$3),CoSo3[],DoanhThuThang!AW$38,0),"")</f>
        <v>646</v>
      </c>
      <c r="AX28" s="14">
        <f>IFERROR(VLOOKUP(IF(MOD(COLUMN(AX28),2)=1,$A28&amp;"-"&amp;AX$3,$A28&amp;"-"&amp;AW$3),CoSo3[],DoanhThuThang!AX$38,0),"")</f>
        <v>8</v>
      </c>
      <c r="AY28" s="11">
        <f t="shared" si="7"/>
        <v>1068</v>
      </c>
      <c r="AZ28" s="11">
        <f t="shared" si="8"/>
        <v>16</v>
      </c>
      <c r="BA28" s="14"/>
      <c r="BB28" s="14">
        <f>IFERROR(VLOOKUP(IF(MOD(COLUMN(BB28),2)=0,$A28&amp;"-"&amp;BB$3,$A28&amp;"-"&amp;BA$3),CoSo3[],DoanhThuThang!BB$38,0),"")</f>
        <v>0</v>
      </c>
      <c r="BC28" s="14">
        <f>IFERROR(VLOOKUP(IF(MOD(COLUMN(BC28),2)=0,$A28&amp;"-"&amp;BC$3,$A28&amp;"-"&amp;BB$3),CoSo3[],DoanhThuThang!BC$38,0),"")</f>
        <v>0</v>
      </c>
      <c r="BD28" s="14">
        <f>IFERROR(VLOOKUP(IF(MOD(COLUMN(BD28),2)=0,$A28&amp;"-"&amp;BD$3,$A28&amp;"-"&amp;BC$3),CoSo3[],DoanhThuThang!BD$38,0),"")</f>
        <v>0</v>
      </c>
      <c r="BE28" s="14">
        <f>IFERROR(VLOOKUP(IF(MOD(COLUMN(BE28),2)=0,$A28&amp;"-"&amp;BE$3,$A28&amp;"-"&amp;BD$3),CoSo3[],DoanhThuThang!BE$38,0),"")</f>
        <v>0</v>
      </c>
      <c r="BF28" s="11">
        <f t="shared" si="9"/>
        <v>0</v>
      </c>
      <c r="BG28" s="11">
        <f t="shared" si="10"/>
        <v>0</v>
      </c>
      <c r="BH28" s="14"/>
      <c r="BI28" s="14" t="str">
        <f>IFERROR(VLOOKUP(IF(MOD(COLUMN(BI28),2)=1,$A28&amp;"-"&amp;BI$3,$A28&amp;"-"&amp;BH$3),CoSo4[],DoanhThuThang!BI$38,0),"")</f>
        <v/>
      </c>
      <c r="BJ28" s="14" t="str">
        <f>IFERROR(VLOOKUP(IF(MOD(COLUMN(BJ28),2)=1,$A28&amp;"-"&amp;BJ$3,$A28&amp;"-"&amp;BI$3),CoSo4[],DoanhThuThang!BJ$38,0),"")</f>
        <v/>
      </c>
      <c r="BK28" s="14" t="str">
        <f>IFERROR(VLOOKUP(IF(MOD(COLUMN(BK28),2)=1,$A28&amp;"-"&amp;BK$3,$A28&amp;"-"&amp;BJ$3),CoSo4[],DoanhThuThang!BK$38,0),"")</f>
        <v/>
      </c>
      <c r="BL28" s="14" t="str">
        <f>IFERROR(VLOOKUP(IF(MOD(COLUMN(BL28),2)=1,$A28&amp;"-"&amp;BL$3,$A28&amp;"-"&amp;BK$3),CoSo4[],DoanhThuThang!BL$38,0),"")</f>
        <v/>
      </c>
      <c r="BM28" s="11">
        <f t="shared" si="11"/>
        <v>0</v>
      </c>
      <c r="BN28" s="11">
        <f t="shared" si="12"/>
        <v>0</v>
      </c>
      <c r="BO28" s="14"/>
      <c r="BP28" s="14" t="str">
        <f>IFERROR(VLOOKUP(IF(MOD(COLUMN(BP28),2)=0,$A28&amp;"-"&amp;BP$3,$A28&amp;"-"&amp;BO$3),CoSo4[],DoanhThuThang!BP$38,0),"")</f>
        <v/>
      </c>
      <c r="BQ28" s="14" t="str">
        <f>IFERROR(VLOOKUP(IF(MOD(COLUMN(BQ28),2)=0,$A28&amp;"-"&amp;BQ$3,$A28&amp;"-"&amp;BP$3),CoSo4[],DoanhThuThang!BQ$38,0),"")</f>
        <v/>
      </c>
      <c r="BR28" s="14" t="str">
        <f>IFERROR(VLOOKUP(IF(MOD(COLUMN(BR28),2)=0,$A28&amp;"-"&amp;BR$3,$A28&amp;"-"&amp;BQ$3),CoSo4[],DoanhThuThang!BR$38,0),"")</f>
        <v/>
      </c>
      <c r="BS28" s="14" t="str">
        <f>IFERROR(VLOOKUP(IF(MOD(COLUMN(BS28),2)=0,$A28&amp;"-"&amp;BS$3,$A28&amp;"-"&amp;BR$3),CoSo4[],DoanhThuThang!BS$38,0),"")</f>
        <v/>
      </c>
      <c r="BT28" s="11">
        <f t="shared" si="13"/>
        <v>0</v>
      </c>
      <c r="BU28" s="11">
        <f t="shared" si="14"/>
        <v>0</v>
      </c>
      <c r="BV28" s="103"/>
      <c r="BW28" s="14" t="str">
        <f>IFERROR(VLOOKUP($A28,BanBuon[],DoanhThuThang!BW$38,0),"")</f>
        <v/>
      </c>
      <c r="BX28" s="14" t="str">
        <f>IFERROR(VLOOKUP($A28,BanBuon[],DoanhThuThang!BX$38,0),"")</f>
        <v/>
      </c>
      <c r="BY28" s="14" t="str">
        <f>IFERROR(VLOOKUP($A28,BanBuon[],DoanhThuThang!BY$38,0),"")</f>
        <v/>
      </c>
      <c r="BZ28" s="14" t="str">
        <f>IFERROR(VLOOKUP($A28,BanBuon[],DoanhThuThang!BZ$38,0),"")</f>
        <v/>
      </c>
      <c r="CA28" s="106">
        <f t="shared" si="19"/>
        <v>0</v>
      </c>
      <c r="CB28" s="106">
        <f t="shared" si="17"/>
        <v>0</v>
      </c>
      <c r="CC28" s="14">
        <f>IFERROR(VLOOKUP(IF(MOD(COLUMN(B28),2)=0,$A28&amp;"-"&amp;B$3,$A28&amp;"-"&amp;A$3),CoSo1[],CC$38,0),"")</f>
        <v>0</v>
      </c>
      <c r="CD28" s="14">
        <f>IFERROR(VLOOKUP(IF(MOD(COLUMN(C28),2)=0,$A28&amp;"-"&amp;CD$3,$A28&amp;"-"&amp;CC$3),CoSo1[],CD$38,0),"")</f>
        <v>0</v>
      </c>
      <c r="CE28" s="14">
        <f>IFERROR(VLOOKUP(IF(MOD(COLUMN(D28),2)=0,$A28&amp;"-"&amp;D$3,$A28&amp;"-"&amp;C$3),CoSo1[],CE$38,0),"")</f>
        <v>460</v>
      </c>
      <c r="CF28" s="14">
        <f>IFERROR(VLOOKUP(IF(MOD(COLUMN(E28),2)=0,$A28&amp;"-"&amp;E$3,$A28&amp;"-"&amp;D$3),CoSo1[],CF$38,0),"")</f>
        <v>3</v>
      </c>
      <c r="CG28" s="106">
        <f t="shared" si="20"/>
        <v>460</v>
      </c>
      <c r="CH28" s="106">
        <f t="shared" si="18"/>
        <v>3</v>
      </c>
    </row>
    <row r="29" spans="1:86" x14ac:dyDescent="0.25">
      <c r="A29" s="13">
        <v>24</v>
      </c>
      <c r="B29" s="14">
        <f>IFERROR(VLOOKUP(IF(MOD(COLUMN(B29),2)=0,$A29&amp;"-"&amp;B$3,$A29&amp;"-"&amp;A$3),CoSo1[],B$38,0),"")</f>
        <v>770</v>
      </c>
      <c r="C29" s="14">
        <f>IFERROR(VLOOKUP(IF(MOD(COLUMN(C29),2)=0,$A29&amp;"-"&amp;C$3,$A29&amp;"-"&amp;B$3),CoSo1[],C$38,0),"")</f>
        <v>9</v>
      </c>
      <c r="D29" s="14">
        <f>IFERROR(VLOOKUP(IF(MOD(COLUMN(D29),2)=0,$A29&amp;"-"&amp;D$3,$A29&amp;"-"&amp;C$3),CoSo1[],D$38,0),"")</f>
        <v>1524</v>
      </c>
      <c r="E29" s="14">
        <f>IFERROR(VLOOKUP(IF(MOD(COLUMN(E29),2)=0,$A29&amp;"-"&amp;E$3,$A29&amp;"-"&amp;D$3),CoSo1[],E$38,0),"")</f>
        <v>15</v>
      </c>
      <c r="F29" s="14">
        <f>IFERROR(VLOOKUP(IF(MOD(COLUMN(F29),2)=0,$A29&amp;"-"&amp;F$3,$A29&amp;"-"&amp;E$3),CoSo1[],F$38,0),"")</f>
        <v>0</v>
      </c>
      <c r="G29" s="14">
        <f>IFERROR(VLOOKUP(IF(MOD(COLUMN(G29),2)=0,$A29&amp;"-"&amp;G$3,$A29&amp;"-"&amp;F$3),CoSo1[],G$38,0),"")</f>
        <v>0</v>
      </c>
      <c r="H29" s="14">
        <f>IFERROR(VLOOKUP(IF(MOD(COLUMN(H29),2)=0,$A29&amp;"-"&amp;H$3,$A29&amp;"-"&amp;G$3),CoSo1[],H$38,0),"")</f>
        <v>470</v>
      </c>
      <c r="I29" s="14">
        <f>IFERROR(VLOOKUP(IF(MOD(COLUMN(I29),2)=0,$A29&amp;"-"&amp;I$3,$A29&amp;"-"&amp;H$3),CoSo1[],I$38,0),"")</f>
        <v>4</v>
      </c>
      <c r="J29" s="14">
        <f>IFERROR(VLOOKUP(IF(MOD(COLUMN(J29),2)=0,$A29&amp;"-"&amp;J$3,$A29&amp;"-"&amp;I$3),CoSo1[],J$38,0),"")</f>
        <v>0</v>
      </c>
      <c r="K29" s="14">
        <f>IFERROR(VLOOKUP(IF(MOD(COLUMN(K29),2)=0,$A29&amp;"-"&amp;K$3,$A29&amp;"-"&amp;J$3),CoSo1[],K$38,0),"")</f>
        <v>0</v>
      </c>
      <c r="L29" s="14">
        <f>IFERROR(VLOOKUP(IF(MOD(COLUMN(L29),2)=0,$A29&amp;"-"&amp;L$3,$A29&amp;"-"&amp;K$3),CoSo1[],L$38,0),"")</f>
        <v>0</v>
      </c>
      <c r="M29" s="14">
        <f>IFERROR(VLOOKUP(IF(MOD(COLUMN(M29),2)=0,$A29&amp;"-"&amp;M$3,$A29&amp;"-"&amp;L$3),CoSo1[],M$38,0),"")</f>
        <v>0</v>
      </c>
      <c r="N29" s="11">
        <f t="shared" si="15"/>
        <v>2764</v>
      </c>
      <c r="O29" s="11">
        <f t="shared" si="16"/>
        <v>28</v>
      </c>
      <c r="P29" s="14"/>
      <c r="Q29" s="14">
        <f>IFERROR(VLOOKUP(IF(MOD(COLUMN(Q29),2)=1,$A29&amp;"-"&amp;Q$3,$A29&amp;"-"&amp;P$3),CoSo1[],Q$38,0),"")</f>
        <v>0</v>
      </c>
      <c r="R29" s="14">
        <f>IFERROR(VLOOKUP(IF(MOD(COLUMN(R29),2)=1,$A29&amp;"-"&amp;R$3,$A29&amp;"-"&amp;Q$3),CoSo1[],R$38,0),"")</f>
        <v>0</v>
      </c>
      <c r="S29" s="14">
        <f>IFERROR(VLOOKUP(IF(MOD(COLUMN(S29),2)=1,$A29&amp;"-"&amp;S$3,$A29&amp;"-"&amp;R$3),CoSo1[],S$38,0),"")</f>
        <v>0</v>
      </c>
      <c r="T29" s="14">
        <f>IFERROR(VLOOKUP(IF(MOD(COLUMN(T29),2)=1,$A29&amp;"-"&amp;T$3,$A29&amp;"-"&amp;S$3),CoSo1[],T$38,0),"")</f>
        <v>0</v>
      </c>
      <c r="U29" s="14">
        <f>IFERROR(VLOOKUP(IF(MOD(COLUMN(U29),2)=1,$A29&amp;"-"&amp;U$3,$A29&amp;"-"&amp;T$3),CoSo1[],U$38,0),"")</f>
        <v>0</v>
      </c>
      <c r="V29" s="14">
        <f>IFERROR(VLOOKUP(IF(MOD(COLUMN(V29),2)=1,$A29&amp;"-"&amp;V$3,$A29&amp;"-"&amp;U$3),CoSo1[],V$38,0),"")</f>
        <v>0</v>
      </c>
      <c r="W29" s="14">
        <f>IFERROR(VLOOKUP(IF(MOD(COLUMN(W29),2)=1,$A29&amp;"-"&amp;W$3,$A29&amp;"-"&amp;V$3),CoSo1[],W$38,0),"")</f>
        <v>0</v>
      </c>
      <c r="X29" s="14">
        <f>IFERROR(VLOOKUP(IF(MOD(COLUMN(X29),2)=1,$A29&amp;"-"&amp;X$3,$A29&amp;"-"&amp;W$3),CoSo1[],X$38,0),"")</f>
        <v>0</v>
      </c>
      <c r="Y29" s="14">
        <f>IFERROR(VLOOKUP(IF(MOD(COLUMN(Y29),2)=1,$A29&amp;"-"&amp;Y$3,$A29&amp;"-"&amp;X$3),CoSo1[],Y$38,0),"")</f>
        <v>0</v>
      </c>
      <c r="Z29" s="14">
        <f>IFERROR(VLOOKUP(IF(MOD(COLUMN(Z29),2)=1,$A29&amp;"-"&amp;Z$3,$A29&amp;"-"&amp;Y$3),CoSo1[],Z$38,0),"")</f>
        <v>0</v>
      </c>
      <c r="AA29" s="14">
        <f>IFERROR(VLOOKUP(IF(MOD(COLUMN(AA29),2)=1,$A29&amp;"-"&amp;AA$3,$A29&amp;"-"&amp;Z$3),CoSo1[],AA$38,0),"")</f>
        <v>0</v>
      </c>
      <c r="AB29" s="14">
        <f>IFERROR(VLOOKUP(IF(MOD(COLUMN(AB29),2)=1,$A29&amp;"-"&amp;AB$3,$A29&amp;"-"&amp;AA$3),CoSo1[],AB$38,0),"")</f>
        <v>0</v>
      </c>
      <c r="AC29" s="11">
        <f t="shared" si="2"/>
        <v>0</v>
      </c>
      <c r="AD29" s="11">
        <f t="shared" si="2"/>
        <v>0</v>
      </c>
      <c r="AE29" s="14"/>
      <c r="AF29" s="14">
        <f>IFERROR(VLOOKUP(IF(MOD(COLUMN(AF29),2)=0,$A29&amp;"-"&amp;AF$3,$A29&amp;"-"&amp;AE$3),CoSo1[],AF$38,0),"")</f>
        <v>0</v>
      </c>
      <c r="AG29" s="14">
        <f>IFERROR(VLOOKUP(IF(MOD(COLUMN(AG29),2)=0,$A29&amp;"-"&amp;AG$3,$A29&amp;"-"&amp;AF$3),CoSo1[],AG$38,0),"")</f>
        <v>0</v>
      </c>
      <c r="AH29" s="14">
        <f>IFERROR(VLOOKUP(IF(MOD(COLUMN(AH29),2)=0,$A29&amp;"-"&amp;AH$3,$A29&amp;"-"&amp;AG$3),CoSo1[],AH$38,0),"")</f>
        <v>0</v>
      </c>
      <c r="AI29" s="14">
        <f>IFERROR(VLOOKUP(IF(MOD(COLUMN(AI29),2)=0,$A29&amp;"-"&amp;AI$3,$A29&amp;"-"&amp;AH$3),CoSo1[],AI$38,0),"")</f>
        <v>0</v>
      </c>
      <c r="AJ29" s="14">
        <f>IFERROR(VLOOKUP(IF(MOD(COLUMN(AJ29),2)=0,$A29&amp;"-"&amp;AJ$3,$A29&amp;"-"&amp;AI$3),CoSo1[],AJ$38,0),"")</f>
        <v>0</v>
      </c>
      <c r="AK29" s="14">
        <f>IFERROR(VLOOKUP(IF(MOD(COLUMN(AK29),2)=0,$A29&amp;"-"&amp;AK$3,$A29&amp;"-"&amp;AJ$3),CoSo1[],AK$38,0),"")</f>
        <v>0</v>
      </c>
      <c r="AL29" s="14">
        <f>IFERROR(VLOOKUP(IF(MOD(COLUMN(AL29),2)=0,$A29&amp;"-"&amp;AL$3,$A29&amp;"-"&amp;AK$3),CoSo1[],AL$38,0),"")</f>
        <v>0</v>
      </c>
      <c r="AM29" s="14">
        <f>IFERROR(VLOOKUP(IF(MOD(COLUMN(AM29),2)=0,$A29&amp;"-"&amp;AM$3,$A29&amp;"-"&amp;AL$3),CoSo1[],AM$38,0),"")</f>
        <v>0</v>
      </c>
      <c r="AN29" s="14">
        <f>IFERROR(VLOOKUP(IF(MOD(COLUMN(AN29),2)=0,$A29&amp;"-"&amp;AN$3,$A29&amp;"-"&amp;AM$3),CoSo1[],AN$38,0),"")</f>
        <v>0</v>
      </c>
      <c r="AO29" s="14">
        <f>IFERROR(VLOOKUP(IF(MOD(COLUMN(AO29),2)=0,$A29&amp;"-"&amp;AO$3,$A29&amp;"-"&amp;AN$3),CoSo1[],AO$38,0),"")</f>
        <v>0</v>
      </c>
      <c r="AP29" s="14">
        <f>IFERROR(VLOOKUP(IF(MOD(COLUMN(AP29),2)=0,$A29&amp;"-"&amp;AP$3,$A29&amp;"-"&amp;AO$3),CoSo1[],AP$38,0),"")</f>
        <v>0</v>
      </c>
      <c r="AQ29" s="14">
        <f>IFERROR(VLOOKUP(IF(MOD(COLUMN(AQ29),2)=0,$A29&amp;"-"&amp;AQ$3,$A29&amp;"-"&amp;AP$3),CoSo1[],AQ$38,0),"")</f>
        <v>0</v>
      </c>
      <c r="AR29" s="11">
        <f t="shared" si="4"/>
        <v>0</v>
      </c>
      <c r="AS29" s="11">
        <f t="shared" si="4"/>
        <v>0</v>
      </c>
      <c r="AT29" s="14"/>
      <c r="AU29" s="14">
        <f>IFERROR(VLOOKUP(IF(MOD(COLUMN(AU29),2)=1,$A29&amp;"-"&amp;AU$3,$A29&amp;"-"&amp;AT$3),CoSo3[],DoanhThuThang!AU$38,0),"")</f>
        <v>70</v>
      </c>
      <c r="AV29" s="14">
        <f>IFERROR(VLOOKUP(IF(MOD(COLUMN(AV29),2)=1,$A29&amp;"-"&amp;AV$3,$A29&amp;"-"&amp;AU$3),CoSo3[],DoanhThuThang!AV$38,0),"")</f>
        <v>3</v>
      </c>
      <c r="AW29" s="14">
        <f>IFERROR(VLOOKUP(IF(MOD(COLUMN(AW29),2)=1,$A29&amp;"-"&amp;AW$3,$A29&amp;"-"&amp;AV$3),CoSo3[],DoanhThuThang!AW$38,0),"")</f>
        <v>702</v>
      </c>
      <c r="AX29" s="14">
        <f>IFERROR(VLOOKUP(IF(MOD(COLUMN(AX29),2)=1,$A29&amp;"-"&amp;AX$3,$A29&amp;"-"&amp;AW$3),CoSo3[],DoanhThuThang!AX$38,0),"")</f>
        <v>9</v>
      </c>
      <c r="AY29" s="11">
        <f t="shared" si="7"/>
        <v>772</v>
      </c>
      <c r="AZ29" s="11">
        <f t="shared" si="8"/>
        <v>12</v>
      </c>
      <c r="BA29" s="14"/>
      <c r="BB29" s="14">
        <f>IFERROR(VLOOKUP(IF(MOD(COLUMN(BB29),2)=0,$A29&amp;"-"&amp;BB$3,$A29&amp;"-"&amp;BA$3),CoSo3[],DoanhThuThang!BB$38,0),"")</f>
        <v>0</v>
      </c>
      <c r="BC29" s="14">
        <f>IFERROR(VLOOKUP(IF(MOD(COLUMN(BC29),2)=0,$A29&amp;"-"&amp;BC$3,$A29&amp;"-"&amp;BB$3),CoSo3[],DoanhThuThang!BC$38,0),"")</f>
        <v>0</v>
      </c>
      <c r="BD29" s="14">
        <f>IFERROR(VLOOKUP(IF(MOD(COLUMN(BD29),2)=0,$A29&amp;"-"&amp;BD$3,$A29&amp;"-"&amp;BC$3),CoSo3[],DoanhThuThang!BD$38,0),"")</f>
        <v>0</v>
      </c>
      <c r="BE29" s="14">
        <f>IFERROR(VLOOKUP(IF(MOD(COLUMN(BE29),2)=0,$A29&amp;"-"&amp;BE$3,$A29&amp;"-"&amp;BD$3),CoSo3[],DoanhThuThang!BE$38,0),"")</f>
        <v>0</v>
      </c>
      <c r="BF29" s="11">
        <f t="shared" si="9"/>
        <v>0</v>
      </c>
      <c r="BG29" s="11">
        <f t="shared" si="10"/>
        <v>0</v>
      </c>
      <c r="BH29" s="14"/>
      <c r="BI29" s="14" t="str">
        <f>IFERROR(VLOOKUP(IF(MOD(COLUMN(BI29),2)=1,$A29&amp;"-"&amp;BI$3,$A29&amp;"-"&amp;BH$3),CoSo4[],DoanhThuThang!BI$38,0),"")</f>
        <v/>
      </c>
      <c r="BJ29" s="14" t="str">
        <f>IFERROR(VLOOKUP(IF(MOD(COLUMN(BJ29),2)=1,$A29&amp;"-"&amp;BJ$3,$A29&amp;"-"&amp;BI$3),CoSo4[],DoanhThuThang!BJ$38,0),"")</f>
        <v/>
      </c>
      <c r="BK29" s="14" t="str">
        <f>IFERROR(VLOOKUP(IF(MOD(COLUMN(BK29),2)=1,$A29&amp;"-"&amp;BK$3,$A29&amp;"-"&amp;BJ$3),CoSo4[],DoanhThuThang!BK$38,0),"")</f>
        <v/>
      </c>
      <c r="BL29" s="14" t="str">
        <f>IFERROR(VLOOKUP(IF(MOD(COLUMN(BL29),2)=1,$A29&amp;"-"&amp;BL$3,$A29&amp;"-"&amp;BK$3),CoSo4[],DoanhThuThang!BL$38,0),"")</f>
        <v/>
      </c>
      <c r="BM29" s="11">
        <f t="shared" si="11"/>
        <v>0</v>
      </c>
      <c r="BN29" s="11">
        <f t="shared" si="12"/>
        <v>0</v>
      </c>
      <c r="BO29" s="14"/>
      <c r="BP29" s="14" t="str">
        <f>IFERROR(VLOOKUP(IF(MOD(COLUMN(BP29),2)=0,$A29&amp;"-"&amp;BP$3,$A29&amp;"-"&amp;BO$3),CoSo4[],DoanhThuThang!BP$38,0),"")</f>
        <v/>
      </c>
      <c r="BQ29" s="14" t="str">
        <f>IFERROR(VLOOKUP(IF(MOD(COLUMN(BQ29),2)=0,$A29&amp;"-"&amp;BQ$3,$A29&amp;"-"&amp;BP$3),CoSo4[],DoanhThuThang!BQ$38,0),"")</f>
        <v/>
      </c>
      <c r="BR29" s="14" t="str">
        <f>IFERROR(VLOOKUP(IF(MOD(COLUMN(BR29),2)=0,$A29&amp;"-"&amp;BR$3,$A29&amp;"-"&amp;BQ$3),CoSo4[],DoanhThuThang!BR$38,0),"")</f>
        <v/>
      </c>
      <c r="BS29" s="14" t="str">
        <f>IFERROR(VLOOKUP(IF(MOD(COLUMN(BS29),2)=0,$A29&amp;"-"&amp;BS$3,$A29&amp;"-"&amp;BR$3),CoSo4[],DoanhThuThang!BS$38,0),"")</f>
        <v/>
      </c>
      <c r="BT29" s="11">
        <f t="shared" si="13"/>
        <v>0</v>
      </c>
      <c r="BU29" s="11">
        <f t="shared" si="14"/>
        <v>0</v>
      </c>
      <c r="BV29" s="103"/>
      <c r="BW29" s="14" t="str">
        <f>IFERROR(VLOOKUP($A29,BanBuon[],DoanhThuThang!BW$38,0),"")</f>
        <v/>
      </c>
      <c r="BX29" s="14" t="str">
        <f>IFERROR(VLOOKUP($A29,BanBuon[],DoanhThuThang!BX$38,0),"")</f>
        <v/>
      </c>
      <c r="BY29" s="14" t="str">
        <f>IFERROR(VLOOKUP($A29,BanBuon[],DoanhThuThang!BY$38,0),"")</f>
        <v/>
      </c>
      <c r="BZ29" s="14" t="str">
        <f>IFERROR(VLOOKUP($A29,BanBuon[],DoanhThuThang!BZ$38,0),"")</f>
        <v/>
      </c>
      <c r="CA29" s="106">
        <f t="shared" si="19"/>
        <v>0</v>
      </c>
      <c r="CB29" s="106">
        <f t="shared" si="17"/>
        <v>0</v>
      </c>
      <c r="CC29" s="14">
        <f>IFERROR(VLOOKUP(IF(MOD(COLUMN(B29),2)=0,$A29&amp;"-"&amp;B$3,$A29&amp;"-"&amp;A$3),CoSo1[],CC$38,0),"")</f>
        <v>396</v>
      </c>
      <c r="CD29" s="14">
        <f>IFERROR(VLOOKUP(IF(MOD(COLUMN(C29),2)=0,$A29&amp;"-"&amp;CD$3,$A29&amp;"-"&amp;CC$3),CoSo1[],CD$38,0),"")</f>
        <v>1</v>
      </c>
      <c r="CE29" s="14">
        <f>IFERROR(VLOOKUP(IF(MOD(COLUMN(D29),2)=0,$A29&amp;"-"&amp;D$3,$A29&amp;"-"&amp;C$3),CoSo1[],CE$38,0),"")</f>
        <v>918</v>
      </c>
      <c r="CF29" s="14">
        <f>IFERROR(VLOOKUP(IF(MOD(COLUMN(E29),2)=0,$A29&amp;"-"&amp;E$3,$A29&amp;"-"&amp;D$3),CoSo1[],CF$38,0),"")</f>
        <v>7</v>
      </c>
      <c r="CG29" s="106">
        <f t="shared" si="20"/>
        <v>1314</v>
      </c>
      <c r="CH29" s="106">
        <f t="shared" si="18"/>
        <v>8</v>
      </c>
    </row>
    <row r="30" spans="1:86" x14ac:dyDescent="0.25">
      <c r="A30" s="13">
        <v>25</v>
      </c>
      <c r="B30" s="14">
        <f>IFERROR(VLOOKUP(IF(MOD(COLUMN(B30),2)=0,$A30&amp;"-"&amp;B$3,$A30&amp;"-"&amp;A$3),CoSo1[],B$38,0),"")</f>
        <v>831</v>
      </c>
      <c r="C30" s="14">
        <f>IFERROR(VLOOKUP(IF(MOD(COLUMN(C30),2)=0,$A30&amp;"-"&amp;C$3,$A30&amp;"-"&amp;B$3),CoSo1[],C$38,0),"")</f>
        <v>10</v>
      </c>
      <c r="D30" s="14">
        <f>IFERROR(VLOOKUP(IF(MOD(COLUMN(D30),2)=0,$A30&amp;"-"&amp;D$3,$A30&amp;"-"&amp;C$3),CoSo1[],D$38,0),"")</f>
        <v>1011</v>
      </c>
      <c r="E30" s="14">
        <f>IFERROR(VLOOKUP(IF(MOD(COLUMN(E30),2)=0,$A30&amp;"-"&amp;E$3,$A30&amp;"-"&amp;D$3),CoSo1[],E$38,0),"")</f>
        <v>17</v>
      </c>
      <c r="F30" s="14">
        <f>IFERROR(VLOOKUP(IF(MOD(COLUMN(F30),2)=0,$A30&amp;"-"&amp;F$3,$A30&amp;"-"&amp;E$3),CoSo1[],F$38,0),"")</f>
        <v>0</v>
      </c>
      <c r="G30" s="14">
        <f>IFERROR(VLOOKUP(IF(MOD(COLUMN(G30),2)=0,$A30&amp;"-"&amp;G$3,$A30&amp;"-"&amp;F$3),CoSo1[],G$38,0),"")</f>
        <v>0</v>
      </c>
      <c r="H30" s="14">
        <f>IFERROR(VLOOKUP(IF(MOD(COLUMN(H30),2)=0,$A30&amp;"-"&amp;H$3,$A30&amp;"-"&amp;G$3),CoSo1[],H$38,0),"")</f>
        <v>73</v>
      </c>
      <c r="I30" s="14">
        <f>IFERROR(VLOOKUP(IF(MOD(COLUMN(I30),2)=0,$A30&amp;"-"&amp;I$3,$A30&amp;"-"&amp;H$3),CoSo1[],I$38,0),"")</f>
        <v>1</v>
      </c>
      <c r="J30" s="14">
        <f>IFERROR(VLOOKUP(IF(MOD(COLUMN(J30),2)=0,$A30&amp;"-"&amp;J$3,$A30&amp;"-"&amp;I$3),CoSo1[],J$38,0),"")</f>
        <v>0</v>
      </c>
      <c r="K30" s="14">
        <f>IFERROR(VLOOKUP(IF(MOD(COLUMN(K30),2)=0,$A30&amp;"-"&amp;K$3,$A30&amp;"-"&amp;J$3),CoSo1[],K$38,0),"")</f>
        <v>0</v>
      </c>
      <c r="L30" s="14">
        <f>IFERROR(VLOOKUP(IF(MOD(COLUMN(L30),2)=0,$A30&amp;"-"&amp;L$3,$A30&amp;"-"&amp;K$3),CoSo1[],L$38,0),"")</f>
        <v>0</v>
      </c>
      <c r="M30" s="14">
        <f>IFERROR(VLOOKUP(IF(MOD(COLUMN(M30),2)=0,$A30&amp;"-"&amp;M$3,$A30&amp;"-"&amp;L$3),CoSo1[],M$38,0),"")</f>
        <v>0</v>
      </c>
      <c r="N30" s="11">
        <f t="shared" si="15"/>
        <v>1915</v>
      </c>
      <c r="O30" s="11">
        <f t="shared" si="16"/>
        <v>28</v>
      </c>
      <c r="P30" s="14"/>
      <c r="Q30" s="14">
        <f>IFERROR(VLOOKUP(IF(MOD(COLUMN(Q30),2)=1,$A30&amp;"-"&amp;Q$3,$A30&amp;"-"&amp;P$3),CoSo1[],Q$38,0),"")</f>
        <v>0</v>
      </c>
      <c r="R30" s="14">
        <f>IFERROR(VLOOKUP(IF(MOD(COLUMN(R30),2)=1,$A30&amp;"-"&amp;R$3,$A30&amp;"-"&amp;Q$3),CoSo1[],R$38,0),"")</f>
        <v>0</v>
      </c>
      <c r="S30" s="14">
        <f>IFERROR(VLOOKUP(IF(MOD(COLUMN(S30),2)=1,$A30&amp;"-"&amp;S$3,$A30&amp;"-"&amp;R$3),CoSo1[],S$38,0),"")</f>
        <v>182</v>
      </c>
      <c r="T30" s="14">
        <f>IFERROR(VLOOKUP(IF(MOD(COLUMN(T30),2)=1,$A30&amp;"-"&amp;T$3,$A30&amp;"-"&amp;S$3),CoSo1[],T$38,0),"")</f>
        <v>2</v>
      </c>
      <c r="U30" s="14">
        <f>IFERROR(VLOOKUP(IF(MOD(COLUMN(U30),2)=1,$A30&amp;"-"&amp;U$3,$A30&amp;"-"&amp;T$3),CoSo1[],U$38,0),"")</f>
        <v>0</v>
      </c>
      <c r="V30" s="14">
        <f>IFERROR(VLOOKUP(IF(MOD(COLUMN(V30),2)=1,$A30&amp;"-"&amp;V$3,$A30&amp;"-"&amp;U$3),CoSo1[],V$38,0),"")</f>
        <v>0</v>
      </c>
      <c r="W30" s="14">
        <f>IFERROR(VLOOKUP(IF(MOD(COLUMN(W30),2)=1,$A30&amp;"-"&amp;W$3,$A30&amp;"-"&amp;V$3),CoSo1[],W$38,0),"")</f>
        <v>0</v>
      </c>
      <c r="X30" s="14">
        <f>IFERROR(VLOOKUP(IF(MOD(COLUMN(X30),2)=1,$A30&amp;"-"&amp;X$3,$A30&amp;"-"&amp;W$3),CoSo1[],X$38,0),"")</f>
        <v>0</v>
      </c>
      <c r="Y30" s="14">
        <f>IFERROR(VLOOKUP(IF(MOD(COLUMN(Y30),2)=1,$A30&amp;"-"&amp;Y$3,$A30&amp;"-"&amp;X$3),CoSo1[],Y$38,0),"")</f>
        <v>0</v>
      </c>
      <c r="Z30" s="14">
        <f>IFERROR(VLOOKUP(IF(MOD(COLUMN(Z30),2)=1,$A30&amp;"-"&amp;Z$3,$A30&amp;"-"&amp;Y$3),CoSo1[],Z$38,0),"")</f>
        <v>0</v>
      </c>
      <c r="AA30" s="14">
        <f>IFERROR(VLOOKUP(IF(MOD(COLUMN(AA30),2)=1,$A30&amp;"-"&amp;AA$3,$A30&amp;"-"&amp;Z$3),CoSo1[],AA$38,0),"")</f>
        <v>0</v>
      </c>
      <c r="AB30" s="14">
        <f>IFERROR(VLOOKUP(IF(MOD(COLUMN(AB30),2)=1,$A30&amp;"-"&amp;AB$3,$A30&amp;"-"&amp;AA$3),CoSo1[],AB$38,0),"")</f>
        <v>0</v>
      </c>
      <c r="AC30" s="11">
        <f t="shared" si="2"/>
        <v>182</v>
      </c>
      <c r="AD30" s="11">
        <f t="shared" si="2"/>
        <v>2</v>
      </c>
      <c r="AE30" s="14"/>
      <c r="AF30" s="14">
        <f>IFERROR(VLOOKUP(IF(MOD(COLUMN(AF30),2)=0,$A30&amp;"-"&amp;AF$3,$A30&amp;"-"&amp;AE$3),CoSo1[],AF$38,0),"")</f>
        <v>0</v>
      </c>
      <c r="AG30" s="14">
        <f>IFERROR(VLOOKUP(IF(MOD(COLUMN(AG30),2)=0,$A30&amp;"-"&amp;AG$3,$A30&amp;"-"&amp;AF$3),CoSo1[],AG$38,0),"")</f>
        <v>0</v>
      </c>
      <c r="AH30" s="14">
        <f>IFERROR(VLOOKUP(IF(MOD(COLUMN(AH30),2)=0,$A30&amp;"-"&amp;AH$3,$A30&amp;"-"&amp;AG$3),CoSo1[],AH$38,0),"")</f>
        <v>45</v>
      </c>
      <c r="AI30" s="14">
        <f>IFERROR(VLOOKUP(IF(MOD(COLUMN(AI30),2)=0,$A30&amp;"-"&amp;AI$3,$A30&amp;"-"&amp;AH$3),CoSo1[],AI$38,0),"")</f>
        <v>1</v>
      </c>
      <c r="AJ30" s="14">
        <f>IFERROR(VLOOKUP(IF(MOD(COLUMN(AJ30),2)=0,$A30&amp;"-"&amp;AJ$3,$A30&amp;"-"&amp;AI$3),CoSo1[],AJ$38,0),"")</f>
        <v>0</v>
      </c>
      <c r="AK30" s="14">
        <f>IFERROR(VLOOKUP(IF(MOD(COLUMN(AK30),2)=0,$A30&amp;"-"&amp;AK$3,$A30&amp;"-"&amp;AJ$3),CoSo1[],AK$38,0),"")</f>
        <v>0</v>
      </c>
      <c r="AL30" s="14">
        <f>IFERROR(VLOOKUP(IF(MOD(COLUMN(AL30),2)=0,$A30&amp;"-"&amp;AL$3,$A30&amp;"-"&amp;AK$3),CoSo1[],AL$38,0),"")</f>
        <v>0</v>
      </c>
      <c r="AM30" s="14">
        <f>IFERROR(VLOOKUP(IF(MOD(COLUMN(AM30),2)=0,$A30&amp;"-"&amp;AM$3,$A30&amp;"-"&amp;AL$3),CoSo1[],AM$38,0),"")</f>
        <v>0</v>
      </c>
      <c r="AN30" s="14">
        <f>IFERROR(VLOOKUP(IF(MOD(COLUMN(AN30),2)=0,$A30&amp;"-"&amp;AN$3,$A30&amp;"-"&amp;AM$3),CoSo1[],AN$38,0),"")</f>
        <v>0</v>
      </c>
      <c r="AO30" s="14">
        <f>IFERROR(VLOOKUP(IF(MOD(COLUMN(AO30),2)=0,$A30&amp;"-"&amp;AO$3,$A30&amp;"-"&amp;AN$3),CoSo1[],AO$38,0),"")</f>
        <v>0</v>
      </c>
      <c r="AP30" s="14">
        <f>IFERROR(VLOOKUP(IF(MOD(COLUMN(AP30),2)=0,$A30&amp;"-"&amp;AP$3,$A30&amp;"-"&amp;AO$3),CoSo1[],AP$38,0),"")</f>
        <v>0</v>
      </c>
      <c r="AQ30" s="14">
        <f>IFERROR(VLOOKUP(IF(MOD(COLUMN(AQ30),2)=0,$A30&amp;"-"&amp;AQ$3,$A30&amp;"-"&amp;AP$3),CoSo1[],AQ$38,0),"")</f>
        <v>0</v>
      </c>
      <c r="AR30" s="11">
        <f t="shared" si="4"/>
        <v>45</v>
      </c>
      <c r="AS30" s="11">
        <f t="shared" si="4"/>
        <v>1</v>
      </c>
      <c r="AT30" s="14"/>
      <c r="AU30" s="14">
        <f>IFERROR(VLOOKUP(IF(MOD(COLUMN(AU30),2)=1,$A30&amp;"-"&amp;AU$3,$A30&amp;"-"&amp;AT$3),CoSo3[],DoanhThuThang!AU$38,0),"")</f>
        <v>137</v>
      </c>
      <c r="AV30" s="14">
        <f>IFERROR(VLOOKUP(IF(MOD(COLUMN(AV30),2)=1,$A30&amp;"-"&amp;AV$3,$A30&amp;"-"&amp;AU$3),CoSo3[],DoanhThuThang!AV$38,0),"")</f>
        <v>3</v>
      </c>
      <c r="AW30" s="14">
        <f>IFERROR(VLOOKUP(IF(MOD(COLUMN(AW30),2)=1,$A30&amp;"-"&amp;AW$3,$A30&amp;"-"&amp;AV$3),CoSo3[],DoanhThuThang!AW$38,0),"")</f>
        <v>450</v>
      </c>
      <c r="AX30" s="14">
        <f>IFERROR(VLOOKUP(IF(MOD(COLUMN(AX30),2)=1,$A30&amp;"-"&amp;AX$3,$A30&amp;"-"&amp;AW$3),CoSo3[],DoanhThuThang!AX$38,0),"")</f>
        <v>4</v>
      </c>
      <c r="AY30" s="11">
        <f t="shared" si="7"/>
        <v>587</v>
      </c>
      <c r="AZ30" s="11">
        <f t="shared" si="8"/>
        <v>7</v>
      </c>
      <c r="BA30" s="14"/>
      <c r="BB30" s="14">
        <f>IFERROR(VLOOKUP(IF(MOD(COLUMN(BB30),2)=0,$A30&amp;"-"&amp;BB$3,$A30&amp;"-"&amp;BA$3),CoSo3[],DoanhThuThang!BB$38,0),"")</f>
        <v>0</v>
      </c>
      <c r="BC30" s="14">
        <f>IFERROR(VLOOKUP(IF(MOD(COLUMN(BC30),2)=0,$A30&amp;"-"&amp;BC$3,$A30&amp;"-"&amp;BB$3),CoSo3[],DoanhThuThang!BC$38,0),"")</f>
        <v>0</v>
      </c>
      <c r="BD30" s="14">
        <f>IFERROR(VLOOKUP(IF(MOD(COLUMN(BD30),2)=0,$A30&amp;"-"&amp;BD$3,$A30&amp;"-"&amp;BC$3),CoSo3[],DoanhThuThang!BD$38,0),"")</f>
        <v>0</v>
      </c>
      <c r="BE30" s="14">
        <f>IFERROR(VLOOKUP(IF(MOD(COLUMN(BE30),2)=0,$A30&amp;"-"&amp;BE$3,$A30&amp;"-"&amp;BD$3),CoSo3[],DoanhThuThang!BE$38,0),"")</f>
        <v>0</v>
      </c>
      <c r="BF30" s="11">
        <f t="shared" si="9"/>
        <v>0</v>
      </c>
      <c r="BG30" s="11">
        <f t="shared" si="10"/>
        <v>0</v>
      </c>
      <c r="BH30" s="14"/>
      <c r="BI30" s="14" t="str">
        <f>IFERROR(VLOOKUP(IF(MOD(COLUMN(BI30),2)=1,$A30&amp;"-"&amp;BI$3,$A30&amp;"-"&amp;BH$3),CoSo4[],DoanhThuThang!BI$38,0),"")</f>
        <v/>
      </c>
      <c r="BJ30" s="14" t="str">
        <f>IFERROR(VLOOKUP(IF(MOD(COLUMN(BJ30),2)=1,$A30&amp;"-"&amp;BJ$3,$A30&amp;"-"&amp;BI$3),CoSo4[],DoanhThuThang!BJ$38,0),"")</f>
        <v/>
      </c>
      <c r="BK30" s="14" t="str">
        <f>IFERROR(VLOOKUP(IF(MOD(COLUMN(BK30),2)=1,$A30&amp;"-"&amp;BK$3,$A30&amp;"-"&amp;BJ$3),CoSo4[],DoanhThuThang!BK$38,0),"")</f>
        <v/>
      </c>
      <c r="BL30" s="14" t="str">
        <f>IFERROR(VLOOKUP(IF(MOD(COLUMN(BL30),2)=1,$A30&amp;"-"&amp;BL$3,$A30&amp;"-"&amp;BK$3),CoSo4[],DoanhThuThang!BL$38,0),"")</f>
        <v/>
      </c>
      <c r="BM30" s="11">
        <f t="shared" si="11"/>
        <v>0</v>
      </c>
      <c r="BN30" s="11">
        <f t="shared" si="12"/>
        <v>0</v>
      </c>
      <c r="BO30" s="14"/>
      <c r="BP30" s="14" t="str">
        <f>IFERROR(VLOOKUP(IF(MOD(COLUMN(BP30),2)=0,$A30&amp;"-"&amp;BP$3,$A30&amp;"-"&amp;BO$3),CoSo4[],DoanhThuThang!BP$38,0),"")</f>
        <v/>
      </c>
      <c r="BQ30" s="14" t="str">
        <f>IFERROR(VLOOKUP(IF(MOD(COLUMN(BQ30),2)=0,$A30&amp;"-"&amp;BQ$3,$A30&amp;"-"&amp;BP$3),CoSo4[],DoanhThuThang!BQ$38,0),"")</f>
        <v/>
      </c>
      <c r="BR30" s="14" t="str">
        <f>IFERROR(VLOOKUP(IF(MOD(COLUMN(BR30),2)=0,$A30&amp;"-"&amp;BR$3,$A30&amp;"-"&amp;BQ$3),CoSo4[],DoanhThuThang!BR$38,0),"")</f>
        <v/>
      </c>
      <c r="BS30" s="14" t="str">
        <f>IFERROR(VLOOKUP(IF(MOD(COLUMN(BS30),2)=0,$A30&amp;"-"&amp;BS$3,$A30&amp;"-"&amp;BR$3),CoSo4[],DoanhThuThang!BS$38,0),"")</f>
        <v/>
      </c>
      <c r="BT30" s="11">
        <f t="shared" si="13"/>
        <v>0</v>
      </c>
      <c r="BU30" s="11">
        <f t="shared" si="14"/>
        <v>0</v>
      </c>
      <c r="BV30" s="103"/>
      <c r="BW30" s="14" t="str">
        <f>IFERROR(VLOOKUP($A30,BanBuon[],DoanhThuThang!BW$38,0),"")</f>
        <v/>
      </c>
      <c r="BX30" s="14" t="str">
        <f>IFERROR(VLOOKUP($A30,BanBuon[],DoanhThuThang!BX$38,0),"")</f>
        <v/>
      </c>
      <c r="BY30" s="14" t="str">
        <f>IFERROR(VLOOKUP($A30,BanBuon[],DoanhThuThang!BY$38,0),"")</f>
        <v/>
      </c>
      <c r="BZ30" s="14" t="str">
        <f>IFERROR(VLOOKUP($A30,BanBuon[],DoanhThuThang!BZ$38,0),"")</f>
        <v/>
      </c>
      <c r="CA30" s="106">
        <f t="shared" si="19"/>
        <v>0</v>
      </c>
      <c r="CB30" s="106">
        <f t="shared" si="17"/>
        <v>0</v>
      </c>
      <c r="CC30" s="14">
        <f>IFERROR(VLOOKUP(IF(MOD(COLUMN(B30),2)=0,$A30&amp;"-"&amp;B$3,$A30&amp;"-"&amp;A$3),CoSo1[],CC$38,0),"")</f>
        <v>195</v>
      </c>
      <c r="CD30" s="14">
        <f>IFERROR(VLOOKUP(IF(MOD(COLUMN(C30),2)=0,$A30&amp;"-"&amp;CD$3,$A30&amp;"-"&amp;CC$3),CoSo1[],CD$38,0),"")</f>
        <v>1</v>
      </c>
      <c r="CE30" s="14">
        <f>IFERROR(VLOOKUP(IF(MOD(COLUMN(D30),2)=0,$A30&amp;"-"&amp;D$3,$A30&amp;"-"&amp;C$3),CoSo1[],CE$38,0),"")</f>
        <v>787</v>
      </c>
      <c r="CF30" s="14">
        <f>IFERROR(VLOOKUP(IF(MOD(COLUMN(E30),2)=0,$A30&amp;"-"&amp;E$3,$A30&amp;"-"&amp;D$3),CoSo1[],CF$38,0),"")</f>
        <v>6</v>
      </c>
      <c r="CG30" s="106">
        <f t="shared" si="20"/>
        <v>982</v>
      </c>
      <c r="CH30" s="106">
        <f t="shared" si="18"/>
        <v>7</v>
      </c>
    </row>
    <row r="31" spans="1:86" x14ac:dyDescent="0.25">
      <c r="A31" s="13">
        <v>26</v>
      </c>
      <c r="B31" s="14">
        <f>IFERROR(VLOOKUP(IF(MOD(COLUMN(B31),2)=0,$A31&amp;"-"&amp;B$3,$A31&amp;"-"&amp;A$3),CoSo1[],B$38,0),"")</f>
        <v>310</v>
      </c>
      <c r="C31" s="14">
        <f>IFERROR(VLOOKUP(IF(MOD(COLUMN(C31),2)=0,$A31&amp;"-"&amp;C$3,$A31&amp;"-"&amp;B$3),CoSo1[],C$38,0),"")</f>
        <v>2</v>
      </c>
      <c r="D31" s="14">
        <f>IFERROR(VLOOKUP(IF(MOD(COLUMN(D31),2)=0,$A31&amp;"-"&amp;D$3,$A31&amp;"-"&amp;C$3),CoSo1[],D$38,0),"")</f>
        <v>1078</v>
      </c>
      <c r="E31" s="14">
        <f>IFERROR(VLOOKUP(IF(MOD(COLUMN(E31),2)=0,$A31&amp;"-"&amp;E$3,$A31&amp;"-"&amp;D$3),CoSo1[],E$38,0),"")</f>
        <v>16</v>
      </c>
      <c r="F31" s="14">
        <f>IFERROR(VLOOKUP(IF(MOD(COLUMN(F31),2)=0,$A31&amp;"-"&amp;F$3,$A31&amp;"-"&amp;E$3),CoSo1[],F$38,0),"")</f>
        <v>0</v>
      </c>
      <c r="G31" s="14">
        <f>IFERROR(VLOOKUP(IF(MOD(COLUMN(G31),2)=0,$A31&amp;"-"&amp;G$3,$A31&amp;"-"&amp;F$3),CoSo1[],G$38,0),"")</f>
        <v>0</v>
      </c>
      <c r="H31" s="14">
        <f>IFERROR(VLOOKUP(IF(MOD(COLUMN(H31),2)=0,$A31&amp;"-"&amp;H$3,$A31&amp;"-"&amp;G$3),CoSo1[],H$38,0),"")</f>
        <v>24</v>
      </c>
      <c r="I31" s="14">
        <f>IFERROR(VLOOKUP(IF(MOD(COLUMN(I31),2)=0,$A31&amp;"-"&amp;I$3,$A31&amp;"-"&amp;H$3),CoSo1[],I$38,0),"")</f>
        <v>1</v>
      </c>
      <c r="J31" s="14">
        <f>IFERROR(VLOOKUP(IF(MOD(COLUMN(J31),2)=0,$A31&amp;"-"&amp;J$3,$A31&amp;"-"&amp;I$3),CoSo1[],J$38,0),"")</f>
        <v>0</v>
      </c>
      <c r="K31" s="14">
        <f>IFERROR(VLOOKUP(IF(MOD(COLUMN(K31),2)=0,$A31&amp;"-"&amp;K$3,$A31&amp;"-"&amp;J$3),CoSo1[],K$38,0),"")</f>
        <v>0</v>
      </c>
      <c r="L31" s="14">
        <f>IFERROR(VLOOKUP(IF(MOD(COLUMN(L31),2)=0,$A31&amp;"-"&amp;L$3,$A31&amp;"-"&amp;K$3),CoSo1[],L$38,0),"")</f>
        <v>0</v>
      </c>
      <c r="M31" s="14">
        <f>IFERROR(VLOOKUP(IF(MOD(COLUMN(M31),2)=0,$A31&amp;"-"&amp;M$3,$A31&amp;"-"&amp;L$3),CoSo1[],M$38,0),"")</f>
        <v>0</v>
      </c>
      <c r="N31" s="11">
        <f t="shared" si="15"/>
        <v>1412</v>
      </c>
      <c r="O31" s="11">
        <f t="shared" si="16"/>
        <v>19</v>
      </c>
      <c r="P31" s="14"/>
      <c r="Q31" s="14">
        <f>IFERROR(VLOOKUP(IF(MOD(COLUMN(Q31),2)=1,$A31&amp;"-"&amp;Q$3,$A31&amp;"-"&amp;P$3),CoSo1[],Q$38,0),"")</f>
        <v>0</v>
      </c>
      <c r="R31" s="14">
        <f>IFERROR(VLOOKUP(IF(MOD(COLUMN(R31),2)=1,$A31&amp;"-"&amp;R$3,$A31&amp;"-"&amp;Q$3),CoSo1[],R$38,0),"")</f>
        <v>0</v>
      </c>
      <c r="S31" s="14">
        <f>IFERROR(VLOOKUP(IF(MOD(COLUMN(S31),2)=1,$A31&amp;"-"&amp;S$3,$A31&amp;"-"&amp;R$3),CoSo1[],S$38,0),"")</f>
        <v>38</v>
      </c>
      <c r="T31" s="14">
        <f>IFERROR(VLOOKUP(IF(MOD(COLUMN(T31),2)=1,$A31&amp;"-"&amp;T$3,$A31&amp;"-"&amp;S$3),CoSo1[],T$38,0),"")</f>
        <v>1</v>
      </c>
      <c r="U31" s="14">
        <f>IFERROR(VLOOKUP(IF(MOD(COLUMN(U31),2)=1,$A31&amp;"-"&amp;U$3,$A31&amp;"-"&amp;T$3),CoSo1[],U$38,0),"")</f>
        <v>0</v>
      </c>
      <c r="V31" s="14">
        <f>IFERROR(VLOOKUP(IF(MOD(COLUMN(V31),2)=1,$A31&amp;"-"&amp;V$3,$A31&amp;"-"&amp;U$3),CoSo1[],V$38,0),"")</f>
        <v>0</v>
      </c>
      <c r="W31" s="14">
        <f>IFERROR(VLOOKUP(IF(MOD(COLUMN(W31),2)=1,$A31&amp;"-"&amp;W$3,$A31&amp;"-"&amp;V$3),CoSo1[],W$38,0),"")</f>
        <v>0</v>
      </c>
      <c r="X31" s="14">
        <f>IFERROR(VLOOKUP(IF(MOD(COLUMN(X31),2)=1,$A31&amp;"-"&amp;X$3,$A31&amp;"-"&amp;W$3),CoSo1[],X$38,0),"")</f>
        <v>0</v>
      </c>
      <c r="Y31" s="14">
        <f>IFERROR(VLOOKUP(IF(MOD(COLUMN(Y31),2)=1,$A31&amp;"-"&amp;Y$3,$A31&amp;"-"&amp;X$3),CoSo1[],Y$38,0),"")</f>
        <v>0</v>
      </c>
      <c r="Z31" s="14">
        <f>IFERROR(VLOOKUP(IF(MOD(COLUMN(Z31),2)=1,$A31&amp;"-"&amp;Z$3,$A31&amp;"-"&amp;Y$3),CoSo1[],Z$38,0),"")</f>
        <v>0</v>
      </c>
      <c r="AA31" s="14">
        <f>IFERROR(VLOOKUP(IF(MOD(COLUMN(AA31),2)=1,$A31&amp;"-"&amp;AA$3,$A31&amp;"-"&amp;Z$3),CoSo1[],AA$38,0),"")</f>
        <v>0</v>
      </c>
      <c r="AB31" s="14">
        <f>IFERROR(VLOOKUP(IF(MOD(COLUMN(AB31),2)=1,$A31&amp;"-"&amp;AB$3,$A31&amp;"-"&amp;AA$3),CoSo1[],AB$38,0),"")</f>
        <v>0</v>
      </c>
      <c r="AC31" s="11">
        <f t="shared" si="2"/>
        <v>38</v>
      </c>
      <c r="AD31" s="11">
        <f t="shared" si="2"/>
        <v>1</v>
      </c>
      <c r="AE31" s="14"/>
      <c r="AF31" s="14">
        <f>IFERROR(VLOOKUP(IF(MOD(COLUMN(AF31),2)=0,$A31&amp;"-"&amp;AF$3,$A31&amp;"-"&amp;AE$3),CoSo1[],AF$38,0),"")</f>
        <v>0</v>
      </c>
      <c r="AG31" s="14">
        <f>IFERROR(VLOOKUP(IF(MOD(COLUMN(AG31),2)=0,$A31&amp;"-"&amp;AG$3,$A31&amp;"-"&amp;AF$3),CoSo1[],AG$38,0),"")</f>
        <v>0</v>
      </c>
      <c r="AH31" s="14">
        <f>IFERROR(VLOOKUP(IF(MOD(COLUMN(AH31),2)=0,$A31&amp;"-"&amp;AH$3,$A31&amp;"-"&amp;AG$3),CoSo1[],AH$38,0),"")</f>
        <v>90</v>
      </c>
      <c r="AI31" s="14">
        <f>IFERROR(VLOOKUP(IF(MOD(COLUMN(AI31),2)=0,$A31&amp;"-"&amp;AI$3,$A31&amp;"-"&amp;AH$3),CoSo1[],AI$38,0),"")</f>
        <v>1</v>
      </c>
      <c r="AJ31" s="14">
        <f>IFERROR(VLOOKUP(IF(MOD(COLUMN(AJ31),2)=0,$A31&amp;"-"&amp;AJ$3,$A31&amp;"-"&amp;AI$3),CoSo1[],AJ$38,0),"")</f>
        <v>0</v>
      </c>
      <c r="AK31" s="14">
        <f>IFERROR(VLOOKUP(IF(MOD(COLUMN(AK31),2)=0,$A31&amp;"-"&amp;AK$3,$A31&amp;"-"&amp;AJ$3),CoSo1[],AK$38,0),"")</f>
        <v>0</v>
      </c>
      <c r="AL31" s="14">
        <f>IFERROR(VLOOKUP(IF(MOD(COLUMN(AL31),2)=0,$A31&amp;"-"&amp;AL$3,$A31&amp;"-"&amp;AK$3),CoSo1[],AL$38,0),"")</f>
        <v>0</v>
      </c>
      <c r="AM31" s="14">
        <f>IFERROR(VLOOKUP(IF(MOD(COLUMN(AM31),2)=0,$A31&amp;"-"&amp;AM$3,$A31&amp;"-"&amp;AL$3),CoSo1[],AM$38,0),"")</f>
        <v>0</v>
      </c>
      <c r="AN31" s="14">
        <f>IFERROR(VLOOKUP(IF(MOD(COLUMN(AN31),2)=0,$A31&amp;"-"&amp;AN$3,$A31&amp;"-"&amp;AM$3),CoSo1[],AN$38,0),"")</f>
        <v>0</v>
      </c>
      <c r="AO31" s="14">
        <f>IFERROR(VLOOKUP(IF(MOD(COLUMN(AO31),2)=0,$A31&amp;"-"&amp;AO$3,$A31&amp;"-"&amp;AN$3),CoSo1[],AO$38,0),"")</f>
        <v>0</v>
      </c>
      <c r="AP31" s="14">
        <f>IFERROR(VLOOKUP(IF(MOD(COLUMN(AP31),2)=0,$A31&amp;"-"&amp;AP$3,$A31&amp;"-"&amp;AO$3),CoSo1[],AP$38,0),"")</f>
        <v>0</v>
      </c>
      <c r="AQ31" s="14">
        <f>IFERROR(VLOOKUP(IF(MOD(COLUMN(AQ31),2)=0,$A31&amp;"-"&amp;AQ$3,$A31&amp;"-"&amp;AP$3),CoSo1[],AQ$38,0),"")</f>
        <v>0</v>
      </c>
      <c r="AR31" s="11">
        <f t="shared" si="4"/>
        <v>90</v>
      </c>
      <c r="AS31" s="11">
        <f t="shared" si="4"/>
        <v>1</v>
      </c>
      <c r="AT31" s="14"/>
      <c r="AU31" s="14">
        <f>IFERROR(VLOOKUP(IF(MOD(COLUMN(AU31),2)=1,$A31&amp;"-"&amp;AU$3,$A31&amp;"-"&amp;AT$3),CoSo3[],DoanhThuThang!AU$38,0),"")</f>
        <v>0</v>
      </c>
      <c r="AV31" s="14">
        <f>IFERROR(VLOOKUP(IF(MOD(COLUMN(AV31),2)=1,$A31&amp;"-"&amp;AV$3,$A31&amp;"-"&amp;AU$3),CoSo3[],DoanhThuThang!AV$38,0),"")</f>
        <v>0</v>
      </c>
      <c r="AW31" s="14">
        <f>IFERROR(VLOOKUP(IF(MOD(COLUMN(AW31),2)=1,$A31&amp;"-"&amp;AW$3,$A31&amp;"-"&amp;AV$3),CoSo3[],DoanhThuThang!AW$38,0),"")</f>
        <v>584</v>
      </c>
      <c r="AX31" s="14">
        <f>IFERROR(VLOOKUP(IF(MOD(COLUMN(AX31),2)=1,$A31&amp;"-"&amp;AX$3,$A31&amp;"-"&amp;AW$3),CoSo3[],DoanhThuThang!AX$38,0),"")</f>
        <v>6</v>
      </c>
      <c r="AY31" s="11">
        <f t="shared" si="7"/>
        <v>584</v>
      </c>
      <c r="AZ31" s="11">
        <f t="shared" si="8"/>
        <v>6</v>
      </c>
      <c r="BA31" s="14"/>
      <c r="BB31" s="14">
        <f>IFERROR(VLOOKUP(IF(MOD(COLUMN(BB31),2)=0,$A31&amp;"-"&amp;BB$3,$A31&amp;"-"&amp;BA$3),CoSo3[],DoanhThuThang!BB$38,0),"")</f>
        <v>0</v>
      </c>
      <c r="BC31" s="14">
        <f>IFERROR(VLOOKUP(IF(MOD(COLUMN(BC31),2)=0,$A31&amp;"-"&amp;BC$3,$A31&amp;"-"&amp;BB$3),CoSo3[],DoanhThuThang!BC$38,0),"")</f>
        <v>0</v>
      </c>
      <c r="BD31" s="14">
        <f>IFERROR(VLOOKUP(IF(MOD(COLUMN(BD31),2)=0,$A31&amp;"-"&amp;BD$3,$A31&amp;"-"&amp;BC$3),CoSo3[],DoanhThuThang!BD$38,0),"")</f>
        <v>0</v>
      </c>
      <c r="BE31" s="14">
        <f>IFERROR(VLOOKUP(IF(MOD(COLUMN(BE31),2)=0,$A31&amp;"-"&amp;BE$3,$A31&amp;"-"&amp;BD$3),CoSo3[],DoanhThuThang!BE$38,0),"")</f>
        <v>0</v>
      </c>
      <c r="BF31" s="11">
        <f t="shared" si="9"/>
        <v>0</v>
      </c>
      <c r="BG31" s="11">
        <f t="shared" si="10"/>
        <v>0</v>
      </c>
      <c r="BH31" s="14"/>
      <c r="BI31" s="14" t="str">
        <f>IFERROR(VLOOKUP(IF(MOD(COLUMN(BI31),2)=1,$A31&amp;"-"&amp;BI$3,$A31&amp;"-"&amp;BH$3),CoSo4[],DoanhThuThang!BI$38,0),"")</f>
        <v/>
      </c>
      <c r="BJ31" s="14" t="str">
        <f>IFERROR(VLOOKUP(IF(MOD(COLUMN(BJ31),2)=1,$A31&amp;"-"&amp;BJ$3,$A31&amp;"-"&amp;BI$3),CoSo4[],DoanhThuThang!BJ$38,0),"")</f>
        <v/>
      </c>
      <c r="BK31" s="14" t="str">
        <f>IFERROR(VLOOKUP(IF(MOD(COLUMN(BK31),2)=1,$A31&amp;"-"&amp;BK$3,$A31&amp;"-"&amp;BJ$3),CoSo4[],DoanhThuThang!BK$38,0),"")</f>
        <v/>
      </c>
      <c r="BL31" s="14" t="str">
        <f>IFERROR(VLOOKUP(IF(MOD(COLUMN(BL31),2)=1,$A31&amp;"-"&amp;BL$3,$A31&amp;"-"&amp;BK$3),CoSo4[],DoanhThuThang!BL$38,0),"")</f>
        <v/>
      </c>
      <c r="BM31" s="11">
        <f t="shared" si="11"/>
        <v>0</v>
      </c>
      <c r="BN31" s="11">
        <f t="shared" si="12"/>
        <v>0</v>
      </c>
      <c r="BO31" s="14"/>
      <c r="BP31" s="14" t="str">
        <f>IFERROR(VLOOKUP(IF(MOD(COLUMN(BP31),2)=0,$A31&amp;"-"&amp;BP$3,$A31&amp;"-"&amp;BO$3),CoSo4[],DoanhThuThang!BP$38,0),"")</f>
        <v/>
      </c>
      <c r="BQ31" s="14" t="str">
        <f>IFERROR(VLOOKUP(IF(MOD(COLUMN(BQ31),2)=0,$A31&amp;"-"&amp;BQ$3,$A31&amp;"-"&amp;BP$3),CoSo4[],DoanhThuThang!BQ$38,0),"")</f>
        <v/>
      </c>
      <c r="BR31" s="14" t="str">
        <f>IFERROR(VLOOKUP(IF(MOD(COLUMN(BR31),2)=0,$A31&amp;"-"&amp;BR$3,$A31&amp;"-"&amp;BQ$3),CoSo4[],DoanhThuThang!BR$38,0),"")</f>
        <v/>
      </c>
      <c r="BS31" s="14" t="str">
        <f>IFERROR(VLOOKUP(IF(MOD(COLUMN(BS31),2)=0,$A31&amp;"-"&amp;BS$3,$A31&amp;"-"&amp;BR$3),CoSo4[],DoanhThuThang!BS$38,0),"")</f>
        <v/>
      </c>
      <c r="BT31" s="11">
        <f t="shared" si="13"/>
        <v>0</v>
      </c>
      <c r="BU31" s="11">
        <f t="shared" si="14"/>
        <v>0</v>
      </c>
      <c r="BV31" s="103"/>
      <c r="BW31" s="14" t="str">
        <f>IFERROR(VLOOKUP($A31,BanBuon[],DoanhThuThang!BW$38,0),"")</f>
        <v/>
      </c>
      <c r="BX31" s="14" t="str">
        <f>IFERROR(VLOOKUP($A31,BanBuon[],DoanhThuThang!BX$38,0),"")</f>
        <v/>
      </c>
      <c r="BY31" s="14" t="str">
        <f>IFERROR(VLOOKUP($A31,BanBuon[],DoanhThuThang!BY$38,0),"")</f>
        <v/>
      </c>
      <c r="BZ31" s="14" t="str">
        <f>IFERROR(VLOOKUP($A31,BanBuon[],DoanhThuThang!BZ$38,0),"")</f>
        <v/>
      </c>
      <c r="CA31" s="106">
        <f t="shared" si="19"/>
        <v>0</v>
      </c>
      <c r="CB31" s="106">
        <f t="shared" si="17"/>
        <v>0</v>
      </c>
      <c r="CC31" s="14">
        <f>IFERROR(VLOOKUP(IF(MOD(COLUMN(B31),2)=0,$A31&amp;"-"&amp;B$3,$A31&amp;"-"&amp;A$3),CoSo1[],CC$38,0),"")</f>
        <v>281</v>
      </c>
      <c r="CD31" s="14">
        <f>IFERROR(VLOOKUP(IF(MOD(COLUMN(C31),2)=0,$A31&amp;"-"&amp;CD$3,$A31&amp;"-"&amp;CC$3),CoSo1[],CD$38,0),"")</f>
        <v>1</v>
      </c>
      <c r="CE31" s="14">
        <f>IFERROR(VLOOKUP(IF(MOD(COLUMN(D31),2)=0,$A31&amp;"-"&amp;D$3,$A31&amp;"-"&amp;C$3),CoSo1[],CE$38,0),"")</f>
        <v>524</v>
      </c>
      <c r="CF31" s="14">
        <f>IFERROR(VLOOKUP(IF(MOD(COLUMN(E31),2)=0,$A31&amp;"-"&amp;E$3,$A31&amp;"-"&amp;D$3),CoSo1[],CF$38,0),"")</f>
        <v>4</v>
      </c>
      <c r="CG31" s="106">
        <f t="shared" si="20"/>
        <v>805</v>
      </c>
      <c r="CH31" s="106">
        <f t="shared" si="18"/>
        <v>5</v>
      </c>
    </row>
    <row r="32" spans="1:86" x14ac:dyDescent="0.25">
      <c r="A32" s="13">
        <v>27</v>
      </c>
      <c r="B32" s="14">
        <f>IFERROR(VLOOKUP(IF(MOD(COLUMN(B32),2)=0,$A32&amp;"-"&amp;B$3,$A32&amp;"-"&amp;A$3),CoSo1[],B$38,0),"")</f>
        <v>621</v>
      </c>
      <c r="C32" s="14">
        <f>IFERROR(VLOOKUP(IF(MOD(COLUMN(C32),2)=0,$A32&amp;"-"&amp;C$3,$A32&amp;"-"&amp;B$3),CoSo1[],C$38,0),"")</f>
        <v>9</v>
      </c>
      <c r="D32" s="14">
        <f>IFERROR(VLOOKUP(IF(MOD(COLUMN(D32),2)=0,$A32&amp;"-"&amp;D$3,$A32&amp;"-"&amp;C$3),CoSo1[],D$38,0),"")</f>
        <v>319</v>
      </c>
      <c r="E32" s="14">
        <f>IFERROR(VLOOKUP(IF(MOD(COLUMN(E32),2)=0,$A32&amp;"-"&amp;E$3,$A32&amp;"-"&amp;D$3),CoSo1[],E$38,0),"")</f>
        <v>8</v>
      </c>
      <c r="F32" s="14">
        <f>IFERROR(VLOOKUP(IF(MOD(COLUMN(F32),2)=0,$A32&amp;"-"&amp;F$3,$A32&amp;"-"&amp;E$3),CoSo1[],F$38,0),"")</f>
        <v>0</v>
      </c>
      <c r="G32" s="14">
        <f>IFERROR(VLOOKUP(IF(MOD(COLUMN(G32),2)=0,$A32&amp;"-"&amp;G$3,$A32&amp;"-"&amp;F$3),CoSo1[],G$38,0),"")</f>
        <v>0</v>
      </c>
      <c r="H32" s="14">
        <f>IFERROR(VLOOKUP(IF(MOD(COLUMN(H32),2)=0,$A32&amp;"-"&amp;H$3,$A32&amp;"-"&amp;G$3),CoSo1[],H$38,0),"")</f>
        <v>172</v>
      </c>
      <c r="I32" s="14">
        <f>IFERROR(VLOOKUP(IF(MOD(COLUMN(I32),2)=0,$A32&amp;"-"&amp;I$3,$A32&amp;"-"&amp;H$3),CoSo1[],I$38,0),"")</f>
        <v>1</v>
      </c>
      <c r="J32" s="14">
        <f>IFERROR(VLOOKUP(IF(MOD(COLUMN(J32),2)=0,$A32&amp;"-"&amp;J$3,$A32&amp;"-"&amp;I$3),CoSo1[],J$38,0),"")</f>
        <v>0</v>
      </c>
      <c r="K32" s="14">
        <f>IFERROR(VLOOKUP(IF(MOD(COLUMN(K32),2)=0,$A32&amp;"-"&amp;K$3,$A32&amp;"-"&amp;J$3),CoSo1[],K$38,0),"")</f>
        <v>0</v>
      </c>
      <c r="L32" s="14">
        <f>IFERROR(VLOOKUP(IF(MOD(COLUMN(L32),2)=0,$A32&amp;"-"&amp;L$3,$A32&amp;"-"&amp;K$3),CoSo1[],L$38,0),"")</f>
        <v>0</v>
      </c>
      <c r="M32" s="14">
        <f>IFERROR(VLOOKUP(IF(MOD(COLUMN(M32),2)=0,$A32&amp;"-"&amp;M$3,$A32&amp;"-"&amp;L$3),CoSo1[],M$38,0),"")</f>
        <v>0</v>
      </c>
      <c r="N32" s="11">
        <f t="shared" si="15"/>
        <v>1112</v>
      </c>
      <c r="O32" s="11">
        <f t="shared" si="16"/>
        <v>18</v>
      </c>
      <c r="P32" s="14"/>
      <c r="Q32" s="14">
        <f>IFERROR(VLOOKUP(IF(MOD(COLUMN(Q32),2)=1,$A32&amp;"-"&amp;Q$3,$A32&amp;"-"&amp;P$3),CoSo1[],Q$38,0),"")</f>
        <v>0</v>
      </c>
      <c r="R32" s="14">
        <f>IFERROR(VLOOKUP(IF(MOD(COLUMN(R32),2)=1,$A32&amp;"-"&amp;R$3,$A32&amp;"-"&amp;Q$3),CoSo1[],R$38,0),"")</f>
        <v>0</v>
      </c>
      <c r="S32" s="14">
        <f>IFERROR(VLOOKUP(IF(MOD(COLUMN(S32),2)=1,$A32&amp;"-"&amp;S$3,$A32&amp;"-"&amp;R$3),CoSo1[],S$38,0),"")</f>
        <v>0</v>
      </c>
      <c r="T32" s="14">
        <f>IFERROR(VLOOKUP(IF(MOD(COLUMN(T32),2)=1,$A32&amp;"-"&amp;T$3,$A32&amp;"-"&amp;S$3),CoSo1[],T$38,0),"")</f>
        <v>0</v>
      </c>
      <c r="U32" s="14">
        <f>IFERROR(VLOOKUP(IF(MOD(COLUMN(U32),2)=1,$A32&amp;"-"&amp;U$3,$A32&amp;"-"&amp;T$3),CoSo1[],U$38,0),"")</f>
        <v>0</v>
      </c>
      <c r="V32" s="14">
        <f>IFERROR(VLOOKUP(IF(MOD(COLUMN(V32),2)=1,$A32&amp;"-"&amp;V$3,$A32&amp;"-"&amp;U$3),CoSo1[],V$38,0),"")</f>
        <v>0</v>
      </c>
      <c r="W32" s="14">
        <f>IFERROR(VLOOKUP(IF(MOD(COLUMN(W32),2)=1,$A32&amp;"-"&amp;W$3,$A32&amp;"-"&amp;V$3),CoSo1[],W$38,0),"")</f>
        <v>0</v>
      </c>
      <c r="X32" s="14">
        <f>IFERROR(VLOOKUP(IF(MOD(COLUMN(X32),2)=1,$A32&amp;"-"&amp;X$3,$A32&amp;"-"&amp;W$3),CoSo1[],X$38,0),"")</f>
        <v>0</v>
      </c>
      <c r="Y32" s="14">
        <f>IFERROR(VLOOKUP(IF(MOD(COLUMN(Y32),2)=1,$A32&amp;"-"&amp;Y$3,$A32&amp;"-"&amp;X$3),CoSo1[],Y$38,0),"")</f>
        <v>0</v>
      </c>
      <c r="Z32" s="14">
        <f>IFERROR(VLOOKUP(IF(MOD(COLUMN(Z32),2)=1,$A32&amp;"-"&amp;Z$3,$A32&amp;"-"&amp;Y$3),CoSo1[],Z$38,0),"")</f>
        <v>0</v>
      </c>
      <c r="AA32" s="14">
        <f>IFERROR(VLOOKUP(IF(MOD(COLUMN(AA32),2)=1,$A32&amp;"-"&amp;AA$3,$A32&amp;"-"&amp;Z$3),CoSo1[],AA$38,0),"")</f>
        <v>0</v>
      </c>
      <c r="AB32" s="14">
        <f>IFERROR(VLOOKUP(IF(MOD(COLUMN(AB32),2)=1,$A32&amp;"-"&amp;AB$3,$A32&amp;"-"&amp;AA$3),CoSo1[],AB$38,0),"")</f>
        <v>0</v>
      </c>
      <c r="AC32" s="11">
        <f t="shared" si="2"/>
        <v>0</v>
      </c>
      <c r="AD32" s="11">
        <f t="shared" si="2"/>
        <v>0</v>
      </c>
      <c r="AE32" s="14"/>
      <c r="AF32" s="14">
        <f>IFERROR(VLOOKUP(IF(MOD(COLUMN(AF32),2)=0,$A32&amp;"-"&amp;AF$3,$A32&amp;"-"&amp;AE$3),CoSo1[],AF$38,0),"")</f>
        <v>0</v>
      </c>
      <c r="AG32" s="14">
        <f>IFERROR(VLOOKUP(IF(MOD(COLUMN(AG32),2)=0,$A32&amp;"-"&amp;AG$3,$A32&amp;"-"&amp;AF$3),CoSo1[],AG$38,0),"")</f>
        <v>0</v>
      </c>
      <c r="AH32" s="14">
        <f>IFERROR(VLOOKUP(IF(MOD(COLUMN(AH32),2)=0,$A32&amp;"-"&amp;AH$3,$A32&amp;"-"&amp;AG$3),CoSo1[],AH$38,0),"")</f>
        <v>0</v>
      </c>
      <c r="AI32" s="14">
        <f>IFERROR(VLOOKUP(IF(MOD(COLUMN(AI32),2)=0,$A32&amp;"-"&amp;AI$3,$A32&amp;"-"&amp;AH$3),CoSo1[],AI$38,0),"")</f>
        <v>0</v>
      </c>
      <c r="AJ32" s="14">
        <f>IFERROR(VLOOKUP(IF(MOD(COLUMN(AJ32),2)=0,$A32&amp;"-"&amp;AJ$3,$A32&amp;"-"&amp;AI$3),CoSo1[],AJ$38,0),"")</f>
        <v>0</v>
      </c>
      <c r="AK32" s="14">
        <f>IFERROR(VLOOKUP(IF(MOD(COLUMN(AK32),2)=0,$A32&amp;"-"&amp;AK$3,$A32&amp;"-"&amp;AJ$3),CoSo1[],AK$38,0),"")</f>
        <v>0</v>
      </c>
      <c r="AL32" s="14">
        <f>IFERROR(VLOOKUP(IF(MOD(COLUMN(AL32),2)=0,$A32&amp;"-"&amp;AL$3,$A32&amp;"-"&amp;AK$3),CoSo1[],AL$38,0),"")</f>
        <v>0</v>
      </c>
      <c r="AM32" s="14">
        <f>IFERROR(VLOOKUP(IF(MOD(COLUMN(AM32),2)=0,$A32&amp;"-"&amp;AM$3,$A32&amp;"-"&amp;AL$3),CoSo1[],AM$38,0),"")</f>
        <v>0</v>
      </c>
      <c r="AN32" s="14">
        <f>IFERROR(VLOOKUP(IF(MOD(COLUMN(AN32),2)=0,$A32&amp;"-"&amp;AN$3,$A32&amp;"-"&amp;AM$3),CoSo1[],AN$38,0),"")</f>
        <v>0</v>
      </c>
      <c r="AO32" s="14">
        <f>IFERROR(VLOOKUP(IF(MOD(COLUMN(AO32),2)=0,$A32&amp;"-"&amp;AO$3,$A32&amp;"-"&amp;AN$3),CoSo1[],AO$38,0),"")</f>
        <v>0</v>
      </c>
      <c r="AP32" s="14">
        <f>IFERROR(VLOOKUP(IF(MOD(COLUMN(AP32),2)=0,$A32&amp;"-"&amp;AP$3,$A32&amp;"-"&amp;AO$3),CoSo1[],AP$38,0),"")</f>
        <v>0</v>
      </c>
      <c r="AQ32" s="14">
        <f>IFERROR(VLOOKUP(IF(MOD(COLUMN(AQ32),2)=0,$A32&amp;"-"&amp;AQ$3,$A32&amp;"-"&amp;AP$3),CoSo1[],AQ$38,0),"")</f>
        <v>0</v>
      </c>
      <c r="AR32" s="11">
        <f t="shared" si="4"/>
        <v>0</v>
      </c>
      <c r="AS32" s="11">
        <f t="shared" si="4"/>
        <v>0</v>
      </c>
      <c r="AT32" s="14"/>
      <c r="AU32" s="14">
        <f>IFERROR(VLOOKUP(IF(MOD(COLUMN(AU32),2)=1,$A32&amp;"-"&amp;AU$3,$A32&amp;"-"&amp;AT$3),CoSo3[],DoanhThuThang!AU$38,0),"")</f>
        <v>102</v>
      </c>
      <c r="AV32" s="14">
        <f>IFERROR(VLOOKUP(IF(MOD(COLUMN(AV32),2)=1,$A32&amp;"-"&amp;AV$3,$A32&amp;"-"&amp;AU$3),CoSo3[],DoanhThuThang!AV$38,0),"")</f>
        <v>3</v>
      </c>
      <c r="AW32" s="14">
        <f>IFERROR(VLOOKUP(IF(MOD(COLUMN(AW32),2)=1,$A32&amp;"-"&amp;AW$3,$A32&amp;"-"&amp;AV$3),CoSo3[],DoanhThuThang!AW$38,0),"")</f>
        <v>175</v>
      </c>
      <c r="AX32" s="14">
        <f>IFERROR(VLOOKUP(IF(MOD(COLUMN(AX32),2)=1,$A32&amp;"-"&amp;AX$3,$A32&amp;"-"&amp;AW$3),CoSo3[],DoanhThuThang!AX$38,0),"")</f>
        <v>3</v>
      </c>
      <c r="AY32" s="11">
        <f t="shared" si="7"/>
        <v>277</v>
      </c>
      <c r="AZ32" s="11">
        <f t="shared" si="8"/>
        <v>6</v>
      </c>
      <c r="BA32" s="14"/>
      <c r="BB32" s="14">
        <f>IFERROR(VLOOKUP(IF(MOD(COLUMN(BB32),2)=0,$A32&amp;"-"&amp;BB$3,$A32&amp;"-"&amp;BA$3),CoSo3[],DoanhThuThang!BB$38,0),"")</f>
        <v>0</v>
      </c>
      <c r="BC32" s="14">
        <f>IFERROR(VLOOKUP(IF(MOD(COLUMN(BC32),2)=0,$A32&amp;"-"&amp;BC$3,$A32&amp;"-"&amp;BB$3),CoSo3[],DoanhThuThang!BC$38,0),"")</f>
        <v>0</v>
      </c>
      <c r="BD32" s="14">
        <f>IFERROR(VLOOKUP(IF(MOD(COLUMN(BD32),2)=0,$A32&amp;"-"&amp;BD$3,$A32&amp;"-"&amp;BC$3),CoSo3[],DoanhThuThang!BD$38,0),"")</f>
        <v>0</v>
      </c>
      <c r="BE32" s="14">
        <f>IFERROR(VLOOKUP(IF(MOD(COLUMN(BE32),2)=0,$A32&amp;"-"&amp;BE$3,$A32&amp;"-"&amp;BD$3),CoSo3[],DoanhThuThang!BE$38,0),"")</f>
        <v>0</v>
      </c>
      <c r="BF32" s="11">
        <f t="shared" si="9"/>
        <v>0</v>
      </c>
      <c r="BG32" s="11">
        <f t="shared" si="10"/>
        <v>0</v>
      </c>
      <c r="BH32" s="14"/>
      <c r="BI32" s="14" t="str">
        <f>IFERROR(VLOOKUP(IF(MOD(COLUMN(BI32),2)=1,$A32&amp;"-"&amp;BI$3,$A32&amp;"-"&amp;BH$3),CoSo4[],DoanhThuThang!BI$38,0),"")</f>
        <v/>
      </c>
      <c r="BJ32" s="14" t="str">
        <f>IFERROR(VLOOKUP(IF(MOD(COLUMN(BJ32),2)=1,$A32&amp;"-"&amp;BJ$3,$A32&amp;"-"&amp;BI$3),CoSo4[],DoanhThuThang!BJ$38,0),"")</f>
        <v/>
      </c>
      <c r="BK32" s="14" t="str">
        <f>IFERROR(VLOOKUP(IF(MOD(COLUMN(BK32),2)=1,$A32&amp;"-"&amp;BK$3,$A32&amp;"-"&amp;BJ$3),CoSo4[],DoanhThuThang!BK$38,0),"")</f>
        <v/>
      </c>
      <c r="BL32" s="14" t="str">
        <f>IFERROR(VLOOKUP(IF(MOD(COLUMN(BL32),2)=1,$A32&amp;"-"&amp;BL$3,$A32&amp;"-"&amp;BK$3),CoSo4[],DoanhThuThang!BL$38,0),"")</f>
        <v/>
      </c>
      <c r="BM32" s="11">
        <f t="shared" si="11"/>
        <v>0</v>
      </c>
      <c r="BN32" s="11">
        <f t="shared" si="12"/>
        <v>0</v>
      </c>
      <c r="BO32" s="14"/>
      <c r="BP32" s="14" t="str">
        <f>IFERROR(VLOOKUP(IF(MOD(COLUMN(BP32),2)=0,$A32&amp;"-"&amp;BP$3,$A32&amp;"-"&amp;BO$3),CoSo4[],DoanhThuThang!BP$38,0),"")</f>
        <v/>
      </c>
      <c r="BQ32" s="14" t="str">
        <f>IFERROR(VLOOKUP(IF(MOD(COLUMN(BQ32),2)=0,$A32&amp;"-"&amp;BQ$3,$A32&amp;"-"&amp;BP$3),CoSo4[],DoanhThuThang!BQ$38,0),"")</f>
        <v/>
      </c>
      <c r="BR32" s="14" t="str">
        <f>IFERROR(VLOOKUP(IF(MOD(COLUMN(BR32),2)=0,$A32&amp;"-"&amp;BR$3,$A32&amp;"-"&amp;BQ$3),CoSo4[],DoanhThuThang!BR$38,0),"")</f>
        <v/>
      </c>
      <c r="BS32" s="14" t="str">
        <f>IFERROR(VLOOKUP(IF(MOD(COLUMN(BS32),2)=0,$A32&amp;"-"&amp;BS$3,$A32&amp;"-"&amp;BR$3),CoSo4[],DoanhThuThang!BS$38,0),"")</f>
        <v/>
      </c>
      <c r="BT32" s="11">
        <f t="shared" si="13"/>
        <v>0</v>
      </c>
      <c r="BU32" s="11">
        <f t="shared" si="14"/>
        <v>0</v>
      </c>
      <c r="BV32" s="103"/>
      <c r="BW32" s="14" t="str">
        <f>IFERROR(VLOOKUP($A32,BanBuon[],DoanhThuThang!BW$38,0),"")</f>
        <v/>
      </c>
      <c r="BX32" s="14" t="str">
        <f>IFERROR(VLOOKUP($A32,BanBuon[],DoanhThuThang!BX$38,0),"")</f>
        <v/>
      </c>
      <c r="BY32" s="14" t="str">
        <f>IFERROR(VLOOKUP($A32,BanBuon[],DoanhThuThang!BY$38,0),"")</f>
        <v/>
      </c>
      <c r="BZ32" s="14" t="str">
        <f>IFERROR(VLOOKUP($A32,BanBuon[],DoanhThuThang!BZ$38,0),"")</f>
        <v/>
      </c>
      <c r="CA32" s="106">
        <f t="shared" si="19"/>
        <v>0</v>
      </c>
      <c r="CB32" s="106">
        <f t="shared" si="17"/>
        <v>0</v>
      </c>
      <c r="CC32" s="14">
        <f>IFERROR(VLOOKUP(IF(MOD(COLUMN(B32),2)=0,$A32&amp;"-"&amp;B$3,$A32&amp;"-"&amp;A$3),CoSo1[],CC$38,0),"")</f>
        <v>379</v>
      </c>
      <c r="CD32" s="14">
        <f>IFERROR(VLOOKUP(IF(MOD(COLUMN(C32),2)=0,$A32&amp;"-"&amp;CD$3,$A32&amp;"-"&amp;CC$3),CoSo1[],CD$38,0),"")</f>
        <v>3</v>
      </c>
      <c r="CE32" s="14">
        <f>IFERROR(VLOOKUP(IF(MOD(COLUMN(D32),2)=0,$A32&amp;"-"&amp;D$3,$A32&amp;"-"&amp;C$3),CoSo1[],CE$38,0),"")</f>
        <v>310</v>
      </c>
      <c r="CF32" s="14">
        <f>IFERROR(VLOOKUP(IF(MOD(COLUMN(E32),2)=0,$A32&amp;"-"&amp;E$3,$A32&amp;"-"&amp;D$3),CoSo1[],CF$38,0),"")</f>
        <v>2</v>
      </c>
      <c r="CG32" s="106">
        <f t="shared" si="20"/>
        <v>689</v>
      </c>
      <c r="CH32" s="106">
        <f t="shared" si="18"/>
        <v>5</v>
      </c>
    </row>
    <row r="33" spans="1:86" x14ac:dyDescent="0.25">
      <c r="A33" s="13">
        <v>28</v>
      </c>
      <c r="B33" s="14">
        <f>IFERROR(VLOOKUP(IF(MOD(COLUMN(B33),2)=0,$A33&amp;"-"&amp;B$3,$A33&amp;"-"&amp;A$3),CoSo1[],B$38,0),"")</f>
        <v>1014</v>
      </c>
      <c r="C33" s="14">
        <f>IFERROR(VLOOKUP(IF(MOD(COLUMN(C33),2)=0,$A33&amp;"-"&amp;C$3,$A33&amp;"-"&amp;B$3),CoSo1[],C$38,0),"")</f>
        <v>10</v>
      </c>
      <c r="D33" s="14">
        <f>IFERROR(VLOOKUP(IF(MOD(COLUMN(D33),2)=0,$A33&amp;"-"&amp;D$3,$A33&amp;"-"&amp;C$3),CoSo1[],D$38,0),"")</f>
        <v>1208</v>
      </c>
      <c r="E33" s="14">
        <f>IFERROR(VLOOKUP(IF(MOD(COLUMN(E33),2)=0,$A33&amp;"-"&amp;E$3,$A33&amp;"-"&amp;D$3),CoSo1[],E$38,0),"")</f>
        <v>16</v>
      </c>
      <c r="F33" s="14">
        <f>IFERROR(VLOOKUP(IF(MOD(COLUMN(F33),2)=0,$A33&amp;"-"&amp;F$3,$A33&amp;"-"&amp;E$3),CoSo1[],F$38,0),"")</f>
        <v>0</v>
      </c>
      <c r="G33" s="14">
        <f>IFERROR(VLOOKUP(IF(MOD(COLUMN(G33),2)=0,$A33&amp;"-"&amp;G$3,$A33&amp;"-"&amp;F$3),CoSo1[],G$38,0),"")</f>
        <v>0</v>
      </c>
      <c r="H33" s="14">
        <f>IFERROR(VLOOKUP(IF(MOD(COLUMN(H33),2)=0,$A33&amp;"-"&amp;H$3,$A33&amp;"-"&amp;G$3),CoSo1[],H$38,0),"")</f>
        <v>195</v>
      </c>
      <c r="I33" s="14">
        <f>IFERROR(VLOOKUP(IF(MOD(COLUMN(I33),2)=0,$A33&amp;"-"&amp;I$3,$A33&amp;"-"&amp;H$3),CoSo1[],I$38,0),"")</f>
        <v>2</v>
      </c>
      <c r="J33" s="14">
        <f>IFERROR(VLOOKUP(IF(MOD(COLUMN(J33),2)=0,$A33&amp;"-"&amp;J$3,$A33&amp;"-"&amp;I$3),CoSo1[],J$38,0),"")</f>
        <v>0</v>
      </c>
      <c r="K33" s="14">
        <f>IFERROR(VLOOKUP(IF(MOD(COLUMN(K33),2)=0,$A33&amp;"-"&amp;K$3,$A33&amp;"-"&amp;J$3),CoSo1[],K$38,0),"")</f>
        <v>0</v>
      </c>
      <c r="L33" s="14">
        <f>IFERROR(VLOOKUP(IF(MOD(COLUMN(L33),2)=0,$A33&amp;"-"&amp;L$3,$A33&amp;"-"&amp;K$3),CoSo1[],L$38,0),"")</f>
        <v>0</v>
      </c>
      <c r="M33" s="14">
        <f>IFERROR(VLOOKUP(IF(MOD(COLUMN(M33),2)=0,$A33&amp;"-"&amp;M$3,$A33&amp;"-"&amp;L$3),CoSo1[],M$38,0),"")</f>
        <v>0</v>
      </c>
      <c r="N33" s="11">
        <f t="shared" si="15"/>
        <v>2417</v>
      </c>
      <c r="O33" s="11">
        <f t="shared" si="16"/>
        <v>28</v>
      </c>
      <c r="P33" s="14"/>
      <c r="Q33" s="14">
        <f>IFERROR(VLOOKUP(IF(MOD(COLUMN(Q33),2)=1,$A33&amp;"-"&amp;Q$3,$A33&amp;"-"&amp;P$3),CoSo1[],Q$38,0),"")</f>
        <v>0</v>
      </c>
      <c r="R33" s="14">
        <f>IFERROR(VLOOKUP(IF(MOD(COLUMN(R33),2)=1,$A33&amp;"-"&amp;R$3,$A33&amp;"-"&amp;Q$3),CoSo1[],R$38,0),"")</f>
        <v>0</v>
      </c>
      <c r="S33" s="14">
        <f>IFERROR(VLOOKUP(IF(MOD(COLUMN(S33),2)=1,$A33&amp;"-"&amp;S$3,$A33&amp;"-"&amp;R$3),CoSo1[],S$38,0),"")</f>
        <v>74</v>
      </c>
      <c r="T33" s="14">
        <f>IFERROR(VLOOKUP(IF(MOD(COLUMN(T33),2)=1,$A33&amp;"-"&amp;T$3,$A33&amp;"-"&amp;S$3),CoSo1[],T$38,0),"")</f>
        <v>1</v>
      </c>
      <c r="U33" s="14">
        <f>IFERROR(VLOOKUP(IF(MOD(COLUMN(U33),2)=1,$A33&amp;"-"&amp;U$3,$A33&amp;"-"&amp;T$3),CoSo1[],U$38,0),"")</f>
        <v>0</v>
      </c>
      <c r="V33" s="14">
        <f>IFERROR(VLOOKUP(IF(MOD(COLUMN(V33),2)=1,$A33&amp;"-"&amp;V$3,$A33&amp;"-"&amp;U$3),CoSo1[],V$38,0),"")</f>
        <v>0</v>
      </c>
      <c r="W33" s="14">
        <f>IFERROR(VLOOKUP(IF(MOD(COLUMN(W33),2)=1,$A33&amp;"-"&amp;W$3,$A33&amp;"-"&amp;V$3),CoSo1[],W$38,0),"")</f>
        <v>0</v>
      </c>
      <c r="X33" s="14">
        <f>IFERROR(VLOOKUP(IF(MOD(COLUMN(X33),2)=1,$A33&amp;"-"&amp;X$3,$A33&amp;"-"&amp;W$3),CoSo1[],X$38,0),"")</f>
        <v>0</v>
      </c>
      <c r="Y33" s="14">
        <f>IFERROR(VLOOKUP(IF(MOD(COLUMN(Y33),2)=1,$A33&amp;"-"&amp;Y$3,$A33&amp;"-"&amp;X$3),CoSo1[],Y$38,0),"")</f>
        <v>0</v>
      </c>
      <c r="Z33" s="14">
        <f>IFERROR(VLOOKUP(IF(MOD(COLUMN(Z33),2)=1,$A33&amp;"-"&amp;Z$3,$A33&amp;"-"&amp;Y$3),CoSo1[],Z$38,0),"")</f>
        <v>0</v>
      </c>
      <c r="AA33" s="14">
        <f>IFERROR(VLOOKUP(IF(MOD(COLUMN(AA33),2)=1,$A33&amp;"-"&amp;AA$3,$A33&amp;"-"&amp;Z$3),CoSo1[],AA$38,0),"")</f>
        <v>0</v>
      </c>
      <c r="AB33" s="14">
        <f>IFERROR(VLOOKUP(IF(MOD(COLUMN(AB33),2)=1,$A33&amp;"-"&amp;AB$3,$A33&amp;"-"&amp;AA$3),CoSo1[],AB$38,0),"")</f>
        <v>0</v>
      </c>
      <c r="AC33" s="11">
        <f t="shared" si="2"/>
        <v>74</v>
      </c>
      <c r="AD33" s="11">
        <f t="shared" si="2"/>
        <v>1</v>
      </c>
      <c r="AE33" s="14"/>
      <c r="AF33" s="14">
        <f>IFERROR(VLOOKUP(IF(MOD(COLUMN(AF33),2)=0,$A33&amp;"-"&amp;AF$3,$A33&amp;"-"&amp;AE$3),CoSo1[],AF$38,0),"")</f>
        <v>0</v>
      </c>
      <c r="AG33" s="14">
        <f>IFERROR(VLOOKUP(IF(MOD(COLUMN(AG33),2)=0,$A33&amp;"-"&amp;AG$3,$A33&amp;"-"&amp;AF$3),CoSo1[],AG$38,0),"")</f>
        <v>0</v>
      </c>
      <c r="AH33" s="14">
        <f>IFERROR(VLOOKUP(IF(MOD(COLUMN(AH33),2)=0,$A33&amp;"-"&amp;AH$3,$A33&amp;"-"&amp;AG$3),CoSo1[],AH$38,0),"")</f>
        <v>0</v>
      </c>
      <c r="AI33" s="14">
        <f>IFERROR(VLOOKUP(IF(MOD(COLUMN(AI33),2)=0,$A33&amp;"-"&amp;AI$3,$A33&amp;"-"&amp;AH$3),CoSo1[],AI$38,0),"")</f>
        <v>0</v>
      </c>
      <c r="AJ33" s="14">
        <f>IFERROR(VLOOKUP(IF(MOD(COLUMN(AJ33),2)=0,$A33&amp;"-"&amp;AJ$3,$A33&amp;"-"&amp;AI$3),CoSo1[],AJ$38,0),"")</f>
        <v>0</v>
      </c>
      <c r="AK33" s="14">
        <f>IFERROR(VLOOKUP(IF(MOD(COLUMN(AK33),2)=0,$A33&amp;"-"&amp;AK$3,$A33&amp;"-"&amp;AJ$3),CoSo1[],AK$38,0),"")</f>
        <v>0</v>
      </c>
      <c r="AL33" s="14">
        <f>IFERROR(VLOOKUP(IF(MOD(COLUMN(AL33),2)=0,$A33&amp;"-"&amp;AL$3,$A33&amp;"-"&amp;AK$3),CoSo1[],AL$38,0),"")</f>
        <v>0</v>
      </c>
      <c r="AM33" s="14">
        <f>IFERROR(VLOOKUP(IF(MOD(COLUMN(AM33),2)=0,$A33&amp;"-"&amp;AM$3,$A33&amp;"-"&amp;AL$3),CoSo1[],AM$38,0),"")</f>
        <v>0</v>
      </c>
      <c r="AN33" s="14">
        <f>IFERROR(VLOOKUP(IF(MOD(COLUMN(AN33),2)=0,$A33&amp;"-"&amp;AN$3,$A33&amp;"-"&amp;AM$3),CoSo1[],AN$38,0),"")</f>
        <v>0</v>
      </c>
      <c r="AO33" s="14">
        <f>IFERROR(VLOOKUP(IF(MOD(COLUMN(AO33),2)=0,$A33&amp;"-"&amp;AO$3,$A33&amp;"-"&amp;AN$3),CoSo1[],AO$38,0),"")</f>
        <v>0</v>
      </c>
      <c r="AP33" s="14">
        <f>IFERROR(VLOOKUP(IF(MOD(COLUMN(AP33),2)=0,$A33&amp;"-"&amp;AP$3,$A33&amp;"-"&amp;AO$3),CoSo1[],AP$38,0),"")</f>
        <v>0</v>
      </c>
      <c r="AQ33" s="14">
        <f>IFERROR(VLOOKUP(IF(MOD(COLUMN(AQ33),2)=0,$A33&amp;"-"&amp;AQ$3,$A33&amp;"-"&amp;AP$3),CoSo1[],AQ$38,0),"")</f>
        <v>0</v>
      </c>
      <c r="AR33" s="11">
        <f t="shared" si="4"/>
        <v>0</v>
      </c>
      <c r="AS33" s="11">
        <f t="shared" si="4"/>
        <v>0</v>
      </c>
      <c r="AT33" s="14"/>
      <c r="AU33" s="14">
        <f>IFERROR(VLOOKUP(IF(MOD(COLUMN(AU33),2)=1,$A33&amp;"-"&amp;AU$3,$A33&amp;"-"&amp;AT$3),CoSo3[],DoanhThuThang!AU$38,0),"")</f>
        <v>205</v>
      </c>
      <c r="AV33" s="14">
        <f>IFERROR(VLOOKUP(IF(MOD(COLUMN(AV33),2)=1,$A33&amp;"-"&amp;AV$3,$A33&amp;"-"&amp;AU$3),CoSo3[],DoanhThuThang!AV$38,0),"")</f>
        <v>3</v>
      </c>
      <c r="AW33" s="14">
        <f>IFERROR(VLOOKUP(IF(MOD(COLUMN(AW33),2)=1,$A33&amp;"-"&amp;AW$3,$A33&amp;"-"&amp;AV$3),CoSo3[],DoanhThuThang!AW$38,0),"")</f>
        <v>279</v>
      </c>
      <c r="AX33" s="14">
        <f>IFERROR(VLOOKUP(IF(MOD(COLUMN(AX33),2)=1,$A33&amp;"-"&amp;AX$3,$A33&amp;"-"&amp;AW$3),CoSo3[],DoanhThuThang!AX$38,0),"")</f>
        <v>3</v>
      </c>
      <c r="AY33" s="11">
        <f t="shared" si="7"/>
        <v>484</v>
      </c>
      <c r="AZ33" s="11">
        <f t="shared" si="8"/>
        <v>6</v>
      </c>
      <c r="BA33" s="14"/>
      <c r="BB33" s="14">
        <f>IFERROR(VLOOKUP(IF(MOD(COLUMN(BB33),2)=0,$A33&amp;"-"&amp;BB$3,$A33&amp;"-"&amp;BA$3),CoSo3[],DoanhThuThang!BB$38,0),"")</f>
        <v>0</v>
      </c>
      <c r="BC33" s="14">
        <f>IFERROR(VLOOKUP(IF(MOD(COLUMN(BC33),2)=0,$A33&amp;"-"&amp;BC$3,$A33&amp;"-"&amp;BB$3),CoSo3[],DoanhThuThang!BC$38,0),"")</f>
        <v>0</v>
      </c>
      <c r="BD33" s="14">
        <f>IFERROR(VLOOKUP(IF(MOD(COLUMN(BD33),2)=0,$A33&amp;"-"&amp;BD$3,$A33&amp;"-"&amp;BC$3),CoSo3[],DoanhThuThang!BD$38,0),"")</f>
        <v>0</v>
      </c>
      <c r="BE33" s="14">
        <f>IFERROR(VLOOKUP(IF(MOD(COLUMN(BE33),2)=0,$A33&amp;"-"&amp;BE$3,$A33&amp;"-"&amp;BD$3),CoSo3[],DoanhThuThang!BE$38,0),"")</f>
        <v>0</v>
      </c>
      <c r="BF33" s="11">
        <f t="shared" si="9"/>
        <v>0</v>
      </c>
      <c r="BG33" s="11">
        <f t="shared" si="10"/>
        <v>0</v>
      </c>
      <c r="BH33" s="14"/>
      <c r="BI33" s="14" t="str">
        <f>IFERROR(VLOOKUP(IF(MOD(COLUMN(BI33),2)=1,$A33&amp;"-"&amp;BI$3,$A33&amp;"-"&amp;BH$3),CoSo4[],DoanhThuThang!BI$38,0),"")</f>
        <v/>
      </c>
      <c r="BJ33" s="14" t="str">
        <f>IFERROR(VLOOKUP(IF(MOD(COLUMN(BJ33),2)=1,$A33&amp;"-"&amp;BJ$3,$A33&amp;"-"&amp;BI$3),CoSo4[],DoanhThuThang!BJ$38,0),"")</f>
        <v/>
      </c>
      <c r="BK33" s="14" t="str">
        <f>IFERROR(VLOOKUP(IF(MOD(COLUMN(BK33),2)=1,$A33&amp;"-"&amp;BK$3,$A33&amp;"-"&amp;BJ$3),CoSo4[],DoanhThuThang!BK$38,0),"")</f>
        <v/>
      </c>
      <c r="BL33" s="14" t="str">
        <f>IFERROR(VLOOKUP(IF(MOD(COLUMN(BL33),2)=1,$A33&amp;"-"&amp;BL$3,$A33&amp;"-"&amp;BK$3),CoSo4[],DoanhThuThang!BL$38,0),"")</f>
        <v/>
      </c>
      <c r="BM33" s="11">
        <f t="shared" si="11"/>
        <v>0</v>
      </c>
      <c r="BN33" s="11">
        <f t="shared" si="12"/>
        <v>0</v>
      </c>
      <c r="BO33" s="14"/>
      <c r="BP33" s="14" t="str">
        <f>IFERROR(VLOOKUP(IF(MOD(COLUMN(BP33),2)=0,$A33&amp;"-"&amp;BP$3,$A33&amp;"-"&amp;BO$3),CoSo4[],DoanhThuThang!BP$38,0),"")</f>
        <v/>
      </c>
      <c r="BQ33" s="14" t="str">
        <f>IFERROR(VLOOKUP(IF(MOD(COLUMN(BQ33),2)=0,$A33&amp;"-"&amp;BQ$3,$A33&amp;"-"&amp;BP$3),CoSo4[],DoanhThuThang!BQ$38,0),"")</f>
        <v/>
      </c>
      <c r="BR33" s="14" t="str">
        <f>IFERROR(VLOOKUP(IF(MOD(COLUMN(BR33),2)=0,$A33&amp;"-"&amp;BR$3,$A33&amp;"-"&amp;BQ$3),CoSo4[],DoanhThuThang!BR$38,0),"")</f>
        <v/>
      </c>
      <c r="BS33" s="14" t="str">
        <f>IFERROR(VLOOKUP(IF(MOD(COLUMN(BS33),2)=0,$A33&amp;"-"&amp;BS$3,$A33&amp;"-"&amp;BR$3),CoSo4[],DoanhThuThang!BS$38,0),"")</f>
        <v/>
      </c>
      <c r="BT33" s="11">
        <f t="shared" si="13"/>
        <v>0</v>
      </c>
      <c r="BU33" s="11">
        <f t="shared" si="14"/>
        <v>0</v>
      </c>
      <c r="BV33" s="103"/>
      <c r="BW33" s="14" t="str">
        <f>IFERROR(VLOOKUP($A33,BanBuon[],DoanhThuThang!BW$38,0),"")</f>
        <v/>
      </c>
      <c r="BX33" s="14" t="str">
        <f>IFERROR(VLOOKUP($A33,BanBuon[],DoanhThuThang!BX$38,0),"")</f>
        <v/>
      </c>
      <c r="BY33" s="14" t="str">
        <f>IFERROR(VLOOKUP($A33,BanBuon[],DoanhThuThang!BY$38,0),"")</f>
        <v/>
      </c>
      <c r="BZ33" s="14" t="str">
        <f>IFERROR(VLOOKUP($A33,BanBuon[],DoanhThuThang!BZ$38,0),"")</f>
        <v/>
      </c>
      <c r="CA33" s="106">
        <f t="shared" si="19"/>
        <v>0</v>
      </c>
      <c r="CB33" s="106">
        <f t="shared" si="17"/>
        <v>0</v>
      </c>
      <c r="CC33" s="14">
        <f>IFERROR(VLOOKUP(IF(MOD(COLUMN(B33),2)=0,$A33&amp;"-"&amp;B$3,$A33&amp;"-"&amp;A$3),CoSo1[],CC$38,0),"")</f>
        <v>460</v>
      </c>
      <c r="CD33" s="14">
        <f>IFERROR(VLOOKUP(IF(MOD(COLUMN(C33),2)=0,$A33&amp;"-"&amp;CD$3,$A33&amp;"-"&amp;CC$3),CoSo1[],CD$38,0),"")</f>
        <v>3</v>
      </c>
      <c r="CE33" s="14">
        <f>IFERROR(VLOOKUP(IF(MOD(COLUMN(D33),2)=0,$A33&amp;"-"&amp;D$3,$A33&amp;"-"&amp;C$3),CoSo1[],CE$38,0),"")</f>
        <v>815</v>
      </c>
      <c r="CF33" s="14">
        <f>IFERROR(VLOOKUP(IF(MOD(COLUMN(E33),2)=0,$A33&amp;"-"&amp;E$3,$A33&amp;"-"&amp;D$3),CoSo1[],CF$38,0),"")</f>
        <v>3</v>
      </c>
      <c r="CG33" s="106">
        <f t="shared" si="20"/>
        <v>1275</v>
      </c>
      <c r="CH33" s="106">
        <f t="shared" si="18"/>
        <v>6</v>
      </c>
    </row>
    <row r="34" spans="1:86" x14ac:dyDescent="0.25">
      <c r="A34" s="13">
        <v>29</v>
      </c>
      <c r="B34" s="14">
        <f>IFERROR(VLOOKUP(IF(MOD(COLUMN(B34),2)=0,$A34&amp;"-"&amp;B$3,$A34&amp;"-"&amp;A$3),CoSo1[],B$38,0),"")</f>
        <v>540</v>
      </c>
      <c r="C34" s="14">
        <f>IFERROR(VLOOKUP(IF(MOD(COLUMN(C34),2)=0,$A34&amp;"-"&amp;C$3,$A34&amp;"-"&amp;B$3),CoSo1[],C$38,0),"")</f>
        <v>7</v>
      </c>
      <c r="D34" s="14">
        <f>IFERROR(VLOOKUP(IF(MOD(COLUMN(D34),2)=0,$A34&amp;"-"&amp;D$3,$A34&amp;"-"&amp;C$3),CoSo1[],D$38,0),"")</f>
        <v>792</v>
      </c>
      <c r="E34" s="14">
        <f>IFERROR(VLOOKUP(IF(MOD(COLUMN(E34),2)=0,$A34&amp;"-"&amp;E$3,$A34&amp;"-"&amp;D$3),CoSo1[],E$38,0),"")</f>
        <v>13</v>
      </c>
      <c r="F34" s="14">
        <f>IFERROR(VLOOKUP(IF(MOD(COLUMN(F34),2)=0,$A34&amp;"-"&amp;F$3,$A34&amp;"-"&amp;E$3),CoSo1[],F$38,0),"")</f>
        <v>0</v>
      </c>
      <c r="G34" s="14">
        <f>IFERROR(VLOOKUP(IF(MOD(COLUMN(G34),2)=0,$A34&amp;"-"&amp;G$3,$A34&amp;"-"&amp;F$3),CoSo1[],G$38,0),"")</f>
        <v>0</v>
      </c>
      <c r="H34" s="14">
        <f>IFERROR(VLOOKUP(IF(MOD(COLUMN(H34),2)=0,$A34&amp;"-"&amp;H$3,$A34&amp;"-"&amp;G$3),CoSo1[],H$38,0),"")</f>
        <v>0</v>
      </c>
      <c r="I34" s="14">
        <f>IFERROR(VLOOKUP(IF(MOD(COLUMN(I34),2)=0,$A34&amp;"-"&amp;I$3,$A34&amp;"-"&amp;H$3),CoSo1[],I$38,0),"")</f>
        <v>0</v>
      </c>
      <c r="J34" s="14">
        <f>IFERROR(VLOOKUP(IF(MOD(COLUMN(J34),2)=0,$A34&amp;"-"&amp;J$3,$A34&amp;"-"&amp;I$3),CoSo1[],J$38,0),"")</f>
        <v>0</v>
      </c>
      <c r="K34" s="14">
        <f>IFERROR(VLOOKUP(IF(MOD(COLUMN(K34),2)=0,$A34&amp;"-"&amp;K$3,$A34&amp;"-"&amp;J$3),CoSo1[],K$38,0),"")</f>
        <v>0</v>
      </c>
      <c r="L34" s="14">
        <f>IFERROR(VLOOKUP(IF(MOD(COLUMN(L34),2)=0,$A34&amp;"-"&amp;L$3,$A34&amp;"-"&amp;K$3),CoSo1[],L$38,0),"")</f>
        <v>0</v>
      </c>
      <c r="M34" s="14">
        <f>IFERROR(VLOOKUP(IF(MOD(COLUMN(M34),2)=0,$A34&amp;"-"&amp;M$3,$A34&amp;"-"&amp;L$3),CoSo1[],M$38,0),"")</f>
        <v>0</v>
      </c>
      <c r="N34" s="11">
        <f t="shared" si="15"/>
        <v>1332</v>
      </c>
      <c r="O34" s="11">
        <f t="shared" si="16"/>
        <v>20</v>
      </c>
      <c r="P34" s="14"/>
      <c r="Q34" s="14">
        <f>IFERROR(VLOOKUP(IF(MOD(COLUMN(Q34),2)=1,$A34&amp;"-"&amp;Q$3,$A34&amp;"-"&amp;P$3),CoSo1[],Q$38,0),"")</f>
        <v>0</v>
      </c>
      <c r="R34" s="14">
        <f>IFERROR(VLOOKUP(IF(MOD(COLUMN(R34),2)=1,$A34&amp;"-"&amp;R$3,$A34&amp;"-"&amp;Q$3),CoSo1[],R$38,0),"")</f>
        <v>0</v>
      </c>
      <c r="S34" s="14">
        <f>IFERROR(VLOOKUP(IF(MOD(COLUMN(S34),2)=1,$A34&amp;"-"&amp;S$3,$A34&amp;"-"&amp;R$3),CoSo1[],S$38,0),"")</f>
        <v>55</v>
      </c>
      <c r="T34" s="14">
        <f>IFERROR(VLOOKUP(IF(MOD(COLUMN(T34),2)=1,$A34&amp;"-"&amp;T$3,$A34&amp;"-"&amp;S$3),CoSo1[],T$38,0),"")</f>
        <v>1</v>
      </c>
      <c r="U34" s="14">
        <f>IFERROR(VLOOKUP(IF(MOD(COLUMN(U34),2)=1,$A34&amp;"-"&amp;U$3,$A34&amp;"-"&amp;T$3),CoSo1[],U$38,0),"")</f>
        <v>0</v>
      </c>
      <c r="V34" s="14">
        <f>IFERROR(VLOOKUP(IF(MOD(COLUMN(V34),2)=1,$A34&amp;"-"&amp;V$3,$A34&amp;"-"&amp;U$3),CoSo1[],V$38,0),"")</f>
        <v>0</v>
      </c>
      <c r="W34" s="14">
        <f>IFERROR(VLOOKUP(IF(MOD(COLUMN(W34),2)=1,$A34&amp;"-"&amp;W$3,$A34&amp;"-"&amp;V$3),CoSo1[],W$38,0),"")</f>
        <v>0</v>
      </c>
      <c r="X34" s="14">
        <f>IFERROR(VLOOKUP(IF(MOD(COLUMN(X34),2)=1,$A34&amp;"-"&amp;X$3,$A34&amp;"-"&amp;W$3),CoSo1[],X$38,0),"")</f>
        <v>0</v>
      </c>
      <c r="Y34" s="14">
        <f>IFERROR(VLOOKUP(IF(MOD(COLUMN(Y34),2)=1,$A34&amp;"-"&amp;Y$3,$A34&amp;"-"&amp;X$3),CoSo1[],Y$38,0),"")</f>
        <v>0</v>
      </c>
      <c r="Z34" s="14">
        <f>IFERROR(VLOOKUP(IF(MOD(COLUMN(Z34),2)=1,$A34&amp;"-"&amp;Z$3,$A34&amp;"-"&amp;Y$3),CoSo1[],Z$38,0),"")</f>
        <v>0</v>
      </c>
      <c r="AA34" s="14">
        <f>IFERROR(VLOOKUP(IF(MOD(COLUMN(AA34),2)=1,$A34&amp;"-"&amp;AA$3,$A34&amp;"-"&amp;Z$3),CoSo1[],AA$38,0),"")</f>
        <v>0</v>
      </c>
      <c r="AB34" s="14">
        <f>IFERROR(VLOOKUP(IF(MOD(COLUMN(AB34),2)=1,$A34&amp;"-"&amp;AB$3,$A34&amp;"-"&amp;AA$3),CoSo1[],AB$38,0),"")</f>
        <v>0</v>
      </c>
      <c r="AC34" s="11">
        <f t="shared" si="2"/>
        <v>55</v>
      </c>
      <c r="AD34" s="11">
        <f t="shared" si="2"/>
        <v>1</v>
      </c>
      <c r="AE34" s="14"/>
      <c r="AF34" s="14">
        <f>IFERROR(VLOOKUP(IF(MOD(COLUMN(AF34),2)=0,$A34&amp;"-"&amp;AF$3,$A34&amp;"-"&amp;AE$3),CoSo1[],AF$38,0),"")</f>
        <v>0</v>
      </c>
      <c r="AG34" s="14">
        <f>IFERROR(VLOOKUP(IF(MOD(COLUMN(AG34),2)=0,$A34&amp;"-"&amp;AG$3,$A34&amp;"-"&amp;AF$3),CoSo1[],AG$38,0),"")</f>
        <v>0</v>
      </c>
      <c r="AH34" s="14">
        <f>IFERROR(VLOOKUP(IF(MOD(COLUMN(AH34),2)=0,$A34&amp;"-"&amp;AH$3,$A34&amp;"-"&amp;AG$3),CoSo1[],AH$38,0),"")</f>
        <v>0</v>
      </c>
      <c r="AI34" s="14">
        <f>IFERROR(VLOOKUP(IF(MOD(COLUMN(AI34),2)=0,$A34&amp;"-"&amp;AI$3,$A34&amp;"-"&amp;AH$3),CoSo1[],AI$38,0),"")</f>
        <v>0</v>
      </c>
      <c r="AJ34" s="14">
        <f>IFERROR(VLOOKUP(IF(MOD(COLUMN(AJ34),2)=0,$A34&amp;"-"&amp;AJ$3,$A34&amp;"-"&amp;AI$3),CoSo1[],AJ$38,0),"")</f>
        <v>0</v>
      </c>
      <c r="AK34" s="14">
        <f>IFERROR(VLOOKUP(IF(MOD(COLUMN(AK34),2)=0,$A34&amp;"-"&amp;AK$3,$A34&amp;"-"&amp;AJ$3),CoSo1[],AK$38,0),"")</f>
        <v>0</v>
      </c>
      <c r="AL34" s="14">
        <f>IFERROR(VLOOKUP(IF(MOD(COLUMN(AL34),2)=0,$A34&amp;"-"&amp;AL$3,$A34&amp;"-"&amp;AK$3),CoSo1[],AL$38,0),"")</f>
        <v>0</v>
      </c>
      <c r="AM34" s="14">
        <f>IFERROR(VLOOKUP(IF(MOD(COLUMN(AM34),2)=0,$A34&amp;"-"&amp;AM$3,$A34&amp;"-"&amp;AL$3),CoSo1[],AM$38,0),"")</f>
        <v>0</v>
      </c>
      <c r="AN34" s="14">
        <f>IFERROR(VLOOKUP(IF(MOD(COLUMN(AN34),2)=0,$A34&amp;"-"&amp;AN$3,$A34&amp;"-"&amp;AM$3),CoSo1[],AN$38,0),"")</f>
        <v>0</v>
      </c>
      <c r="AO34" s="14">
        <f>IFERROR(VLOOKUP(IF(MOD(COLUMN(AO34),2)=0,$A34&amp;"-"&amp;AO$3,$A34&amp;"-"&amp;AN$3),CoSo1[],AO$38,0),"")</f>
        <v>0</v>
      </c>
      <c r="AP34" s="14">
        <f>IFERROR(VLOOKUP(IF(MOD(COLUMN(AP34),2)=0,$A34&amp;"-"&amp;AP$3,$A34&amp;"-"&amp;AO$3),CoSo1[],AP$38,0),"")</f>
        <v>0</v>
      </c>
      <c r="AQ34" s="14">
        <f>IFERROR(VLOOKUP(IF(MOD(COLUMN(AQ34),2)=0,$A34&amp;"-"&amp;AQ$3,$A34&amp;"-"&amp;AP$3),CoSo1[],AQ$38,0),"")</f>
        <v>0</v>
      </c>
      <c r="AR34" s="11">
        <f t="shared" si="4"/>
        <v>0</v>
      </c>
      <c r="AS34" s="11">
        <f t="shared" si="4"/>
        <v>0</v>
      </c>
      <c r="AT34" s="14"/>
      <c r="AU34" s="14">
        <f>IFERROR(VLOOKUP(IF(MOD(COLUMN(AU34),2)=1,$A34&amp;"-"&amp;AU$3,$A34&amp;"-"&amp;AT$3),CoSo3[],DoanhThuThang!AU$38,0),"")</f>
        <v>670</v>
      </c>
      <c r="AV34" s="14">
        <f>IFERROR(VLOOKUP(IF(MOD(COLUMN(AV34),2)=1,$A34&amp;"-"&amp;AV$3,$A34&amp;"-"&amp;AU$3),CoSo3[],DoanhThuThang!AV$38,0),"")</f>
        <v>6</v>
      </c>
      <c r="AW34" s="14">
        <f>IFERROR(VLOOKUP(IF(MOD(COLUMN(AW34),2)=1,$A34&amp;"-"&amp;AW$3,$A34&amp;"-"&amp;AV$3),CoSo3[],DoanhThuThang!AW$38,0),"")</f>
        <v>499</v>
      </c>
      <c r="AX34" s="14">
        <f>IFERROR(VLOOKUP(IF(MOD(COLUMN(AX34),2)=1,$A34&amp;"-"&amp;AX$3,$A34&amp;"-"&amp;AW$3),CoSo3[],DoanhThuThang!AX$38,0),"")</f>
        <v>8</v>
      </c>
      <c r="AY34" s="11">
        <f t="shared" si="7"/>
        <v>1169</v>
      </c>
      <c r="AZ34" s="11">
        <f t="shared" si="8"/>
        <v>14</v>
      </c>
      <c r="BA34" s="14"/>
      <c r="BB34" s="14">
        <f>IFERROR(VLOOKUP(IF(MOD(COLUMN(BB34),2)=0,$A34&amp;"-"&amp;BB$3,$A34&amp;"-"&amp;BA$3),CoSo3[],DoanhThuThang!BB$38,0),"")</f>
        <v>0</v>
      </c>
      <c r="BC34" s="14">
        <f>IFERROR(VLOOKUP(IF(MOD(COLUMN(BC34),2)=0,$A34&amp;"-"&amp;BC$3,$A34&amp;"-"&amp;BB$3),CoSo3[],DoanhThuThang!BC$38,0),"")</f>
        <v>0</v>
      </c>
      <c r="BD34" s="14">
        <f>IFERROR(VLOOKUP(IF(MOD(COLUMN(BD34),2)=0,$A34&amp;"-"&amp;BD$3,$A34&amp;"-"&amp;BC$3),CoSo3[],DoanhThuThang!BD$38,0),"")</f>
        <v>0</v>
      </c>
      <c r="BE34" s="14">
        <f>IFERROR(VLOOKUP(IF(MOD(COLUMN(BE34),2)=0,$A34&amp;"-"&amp;BE$3,$A34&amp;"-"&amp;BD$3),CoSo3[],DoanhThuThang!BE$38,0),"")</f>
        <v>0</v>
      </c>
      <c r="BF34" s="11">
        <f t="shared" si="9"/>
        <v>0</v>
      </c>
      <c r="BG34" s="11">
        <f t="shared" si="10"/>
        <v>0</v>
      </c>
      <c r="BH34" s="14"/>
      <c r="BI34" s="14" t="str">
        <f>IFERROR(VLOOKUP(IF(MOD(COLUMN(BI34),2)=1,$A34&amp;"-"&amp;BI$3,$A34&amp;"-"&amp;BH$3),CoSo4[],DoanhThuThang!BI$38,0),"")</f>
        <v/>
      </c>
      <c r="BJ34" s="14" t="str">
        <f>IFERROR(VLOOKUP(IF(MOD(COLUMN(BJ34),2)=1,$A34&amp;"-"&amp;BJ$3,$A34&amp;"-"&amp;BI$3),CoSo4[],DoanhThuThang!BJ$38,0),"")</f>
        <v/>
      </c>
      <c r="BK34" s="14" t="str">
        <f>IFERROR(VLOOKUP(IF(MOD(COLUMN(BK34),2)=1,$A34&amp;"-"&amp;BK$3,$A34&amp;"-"&amp;BJ$3),CoSo4[],DoanhThuThang!BK$38,0),"")</f>
        <v/>
      </c>
      <c r="BL34" s="14" t="str">
        <f>IFERROR(VLOOKUP(IF(MOD(COLUMN(BL34),2)=1,$A34&amp;"-"&amp;BL$3,$A34&amp;"-"&amp;BK$3),CoSo4[],DoanhThuThang!BL$38,0),"")</f>
        <v/>
      </c>
      <c r="BM34" s="11">
        <f t="shared" si="11"/>
        <v>0</v>
      </c>
      <c r="BN34" s="11">
        <f t="shared" si="12"/>
        <v>0</v>
      </c>
      <c r="BO34" s="14"/>
      <c r="BP34" s="14" t="str">
        <f>IFERROR(VLOOKUP(IF(MOD(COLUMN(BP34),2)=0,$A34&amp;"-"&amp;BP$3,$A34&amp;"-"&amp;BO$3),CoSo4[],DoanhThuThang!BP$38,0),"")</f>
        <v/>
      </c>
      <c r="BQ34" s="14" t="str">
        <f>IFERROR(VLOOKUP(IF(MOD(COLUMN(BQ34),2)=0,$A34&amp;"-"&amp;BQ$3,$A34&amp;"-"&amp;BP$3),CoSo4[],DoanhThuThang!BQ$38,0),"")</f>
        <v/>
      </c>
      <c r="BR34" s="14" t="str">
        <f>IFERROR(VLOOKUP(IF(MOD(COLUMN(BR34),2)=0,$A34&amp;"-"&amp;BR$3,$A34&amp;"-"&amp;BQ$3),CoSo4[],DoanhThuThang!BR$38,0),"")</f>
        <v/>
      </c>
      <c r="BS34" s="14" t="str">
        <f>IFERROR(VLOOKUP(IF(MOD(COLUMN(BS34),2)=0,$A34&amp;"-"&amp;BS$3,$A34&amp;"-"&amp;BR$3),CoSo4[],DoanhThuThang!BS$38,0),"")</f>
        <v/>
      </c>
      <c r="BT34" s="11">
        <f t="shared" si="13"/>
        <v>0</v>
      </c>
      <c r="BU34" s="11">
        <f t="shared" si="14"/>
        <v>0</v>
      </c>
      <c r="BV34" s="103"/>
      <c r="BW34" s="14" t="str">
        <f>IFERROR(VLOOKUP($A34,BanBuon[],DoanhThuThang!BW$38,0),"")</f>
        <v/>
      </c>
      <c r="BX34" s="14" t="str">
        <f>IFERROR(VLOOKUP($A34,BanBuon[],DoanhThuThang!BX$38,0),"")</f>
        <v/>
      </c>
      <c r="BY34" s="14" t="str">
        <f>IFERROR(VLOOKUP($A34,BanBuon[],DoanhThuThang!BY$38,0),"")</f>
        <v/>
      </c>
      <c r="BZ34" s="14" t="str">
        <f>IFERROR(VLOOKUP($A34,BanBuon[],DoanhThuThang!BZ$38,0),"")</f>
        <v/>
      </c>
      <c r="CA34" s="106">
        <f t="shared" si="19"/>
        <v>0</v>
      </c>
      <c r="CB34" s="106">
        <f t="shared" si="17"/>
        <v>0</v>
      </c>
      <c r="CC34" s="14">
        <f>IFERROR(VLOOKUP(IF(MOD(COLUMN(B34),2)=0,$A34&amp;"-"&amp;B$3,$A34&amp;"-"&amp;A$3),CoSo1[],CC$38,0),"")</f>
        <v>310</v>
      </c>
      <c r="CD34" s="14">
        <f>IFERROR(VLOOKUP(IF(MOD(COLUMN(C34),2)=0,$A34&amp;"-"&amp;CD$3,$A34&amp;"-"&amp;CC$3),CoSo1[],CD$38,0),"")</f>
        <v>2</v>
      </c>
      <c r="CE34" s="14">
        <f>IFERROR(VLOOKUP(IF(MOD(COLUMN(D34),2)=0,$A34&amp;"-"&amp;D$3,$A34&amp;"-"&amp;C$3),CoSo1[],CE$38,0),"")</f>
        <v>586</v>
      </c>
      <c r="CF34" s="14">
        <f>IFERROR(VLOOKUP(IF(MOD(COLUMN(E34),2)=0,$A34&amp;"-"&amp;E$3,$A34&amp;"-"&amp;D$3),CoSo1[],CF$38,0),"")</f>
        <v>4</v>
      </c>
      <c r="CG34" s="106">
        <f t="shared" si="20"/>
        <v>896</v>
      </c>
      <c r="CH34" s="106">
        <f t="shared" si="18"/>
        <v>6</v>
      </c>
    </row>
    <row r="35" spans="1:86" x14ac:dyDescent="0.25">
      <c r="A35" s="13">
        <v>30</v>
      </c>
      <c r="B35" s="14">
        <f>IFERROR(VLOOKUP(IF(MOD(COLUMN(B35),2)=0,$A35&amp;"-"&amp;B$3,$A35&amp;"-"&amp;A$3),CoSo1[],B$38,0),"")</f>
        <v>704</v>
      </c>
      <c r="C35" s="14">
        <f>IFERROR(VLOOKUP(IF(MOD(COLUMN(C35),2)=0,$A35&amp;"-"&amp;C$3,$A35&amp;"-"&amp;B$3),CoSo1[],C$38,0),"")</f>
        <v>9</v>
      </c>
      <c r="D35" s="14">
        <f>IFERROR(VLOOKUP(IF(MOD(COLUMN(D35),2)=0,$A35&amp;"-"&amp;D$3,$A35&amp;"-"&amp;C$3),CoSo1[],D$38,0),"")</f>
        <v>1194</v>
      </c>
      <c r="E35" s="14">
        <f>IFERROR(VLOOKUP(IF(MOD(COLUMN(E35),2)=0,$A35&amp;"-"&amp;E$3,$A35&amp;"-"&amp;D$3),CoSo1[],E$38,0),"")</f>
        <v>14</v>
      </c>
      <c r="F35" s="14">
        <f>IFERROR(VLOOKUP(IF(MOD(COLUMN(F35),2)=0,$A35&amp;"-"&amp;F$3,$A35&amp;"-"&amp;E$3),CoSo1[],F$38,0),"")</f>
        <v>0</v>
      </c>
      <c r="G35" s="14">
        <f>IFERROR(VLOOKUP(IF(MOD(COLUMN(G35),2)=0,$A35&amp;"-"&amp;G$3,$A35&amp;"-"&amp;F$3),CoSo1[],G$38,0),"")</f>
        <v>0</v>
      </c>
      <c r="H35" s="14">
        <f>IFERROR(VLOOKUP(IF(MOD(COLUMN(H35),2)=0,$A35&amp;"-"&amp;H$3,$A35&amp;"-"&amp;G$3),CoSo1[],H$38,0),"")</f>
        <v>365</v>
      </c>
      <c r="I35" s="14">
        <f>IFERROR(VLOOKUP(IF(MOD(COLUMN(I35),2)=0,$A35&amp;"-"&amp;I$3,$A35&amp;"-"&amp;H$3),CoSo1[],I$38,0),"")</f>
        <v>3</v>
      </c>
      <c r="J35" s="14">
        <f>IFERROR(VLOOKUP(IF(MOD(COLUMN(J35),2)=0,$A35&amp;"-"&amp;J$3,$A35&amp;"-"&amp;I$3),CoSo1[],J$38,0),"")</f>
        <v>0</v>
      </c>
      <c r="K35" s="14">
        <f>IFERROR(VLOOKUP(IF(MOD(COLUMN(K35),2)=0,$A35&amp;"-"&amp;K$3,$A35&amp;"-"&amp;J$3),CoSo1[],K$38,0),"")</f>
        <v>0</v>
      </c>
      <c r="L35" s="14">
        <f>IFERROR(VLOOKUP(IF(MOD(COLUMN(L35),2)=0,$A35&amp;"-"&amp;L$3,$A35&amp;"-"&amp;K$3),CoSo1[],L$38,0),"")</f>
        <v>434</v>
      </c>
      <c r="M35" s="14">
        <f>IFERROR(VLOOKUP(IF(MOD(COLUMN(M35),2)=0,$A35&amp;"-"&amp;M$3,$A35&amp;"-"&amp;L$3),CoSo1[],M$38,0),"")</f>
        <v>2</v>
      </c>
      <c r="N35" s="11">
        <f t="shared" si="15"/>
        <v>2697</v>
      </c>
      <c r="O35" s="11">
        <f t="shared" si="16"/>
        <v>28</v>
      </c>
      <c r="P35" s="14"/>
      <c r="Q35" s="14">
        <f>IFERROR(VLOOKUP(IF(MOD(COLUMN(Q35),2)=1,$A35&amp;"-"&amp;Q$3,$A35&amp;"-"&amp;P$3),CoSo1[],Q$38,0),"")</f>
        <v>0</v>
      </c>
      <c r="R35" s="14">
        <f>IFERROR(VLOOKUP(IF(MOD(COLUMN(R35),2)=1,$A35&amp;"-"&amp;R$3,$A35&amp;"-"&amp;Q$3),CoSo1[],R$38,0),"")</f>
        <v>0</v>
      </c>
      <c r="S35" s="14">
        <f>IFERROR(VLOOKUP(IF(MOD(COLUMN(S35),2)=1,$A35&amp;"-"&amp;S$3,$A35&amp;"-"&amp;R$3),CoSo1[],S$38,0),"")</f>
        <v>0</v>
      </c>
      <c r="T35" s="14">
        <f>IFERROR(VLOOKUP(IF(MOD(COLUMN(T35),2)=1,$A35&amp;"-"&amp;T$3,$A35&amp;"-"&amp;S$3),CoSo1[],T$38,0),"")</f>
        <v>0</v>
      </c>
      <c r="U35" s="14">
        <f>IFERROR(VLOOKUP(IF(MOD(COLUMN(U35),2)=1,$A35&amp;"-"&amp;U$3,$A35&amp;"-"&amp;T$3),CoSo1[],U$38,0),"")</f>
        <v>0</v>
      </c>
      <c r="V35" s="14">
        <f>IFERROR(VLOOKUP(IF(MOD(COLUMN(V35),2)=1,$A35&amp;"-"&amp;V$3,$A35&amp;"-"&amp;U$3),CoSo1[],V$38,0),"")</f>
        <v>0</v>
      </c>
      <c r="W35" s="14">
        <f>IFERROR(VLOOKUP(IF(MOD(COLUMN(W35),2)=1,$A35&amp;"-"&amp;W$3,$A35&amp;"-"&amp;V$3),CoSo1[],W$38,0),"")</f>
        <v>0</v>
      </c>
      <c r="X35" s="14">
        <f>IFERROR(VLOOKUP(IF(MOD(COLUMN(X35),2)=1,$A35&amp;"-"&amp;X$3,$A35&amp;"-"&amp;W$3),CoSo1[],X$38,0),"")</f>
        <v>0</v>
      </c>
      <c r="Y35" s="14">
        <f>IFERROR(VLOOKUP(IF(MOD(COLUMN(Y35),2)=1,$A35&amp;"-"&amp;Y$3,$A35&amp;"-"&amp;X$3),CoSo1[],Y$38,0),"")</f>
        <v>0</v>
      </c>
      <c r="Z35" s="14">
        <f>IFERROR(VLOOKUP(IF(MOD(COLUMN(Z35),2)=1,$A35&amp;"-"&amp;Z$3,$A35&amp;"-"&amp;Y$3),CoSo1[],Z$38,0),"")</f>
        <v>0</v>
      </c>
      <c r="AA35" s="14">
        <f>IFERROR(VLOOKUP(IF(MOD(COLUMN(AA35),2)=1,$A35&amp;"-"&amp;AA$3,$A35&amp;"-"&amp;Z$3),CoSo1[],AA$38,0),"")</f>
        <v>0</v>
      </c>
      <c r="AB35" s="14">
        <f>IFERROR(VLOOKUP(IF(MOD(COLUMN(AB35),2)=1,$A35&amp;"-"&amp;AB$3,$A35&amp;"-"&amp;AA$3),CoSo1[],AB$38,0),"")</f>
        <v>0</v>
      </c>
      <c r="AC35" s="11">
        <f t="shared" si="2"/>
        <v>0</v>
      </c>
      <c r="AD35" s="11">
        <f t="shared" si="2"/>
        <v>0</v>
      </c>
      <c r="AE35" s="14"/>
      <c r="AF35" s="14">
        <f>IFERROR(VLOOKUP(IF(MOD(COLUMN(AF35),2)=0,$A35&amp;"-"&amp;AF$3,$A35&amp;"-"&amp;AE$3),CoSo1[],AF$38,0),"")</f>
        <v>0</v>
      </c>
      <c r="AG35" s="14">
        <f>IFERROR(VLOOKUP(IF(MOD(COLUMN(AG35),2)=0,$A35&amp;"-"&amp;AG$3,$A35&amp;"-"&amp;AF$3),CoSo1[],AG$38,0),"")</f>
        <v>0</v>
      </c>
      <c r="AH35" s="14">
        <f>IFERROR(VLOOKUP(IF(MOD(COLUMN(AH35),2)=0,$A35&amp;"-"&amp;AH$3,$A35&amp;"-"&amp;AG$3),CoSo1[],AH$38,0),"")</f>
        <v>126</v>
      </c>
      <c r="AI35" s="14">
        <f>IFERROR(VLOOKUP(IF(MOD(COLUMN(AI35),2)=0,$A35&amp;"-"&amp;AI$3,$A35&amp;"-"&amp;AH$3),CoSo1[],AI$38,0),"")</f>
        <v>2</v>
      </c>
      <c r="AJ35" s="14">
        <f>IFERROR(VLOOKUP(IF(MOD(COLUMN(AJ35),2)=0,$A35&amp;"-"&amp;AJ$3,$A35&amp;"-"&amp;AI$3),CoSo1[],AJ$38,0),"")</f>
        <v>0</v>
      </c>
      <c r="AK35" s="14">
        <f>IFERROR(VLOOKUP(IF(MOD(COLUMN(AK35),2)=0,$A35&amp;"-"&amp;AK$3,$A35&amp;"-"&amp;AJ$3),CoSo1[],AK$38,0),"")</f>
        <v>0</v>
      </c>
      <c r="AL35" s="14">
        <f>IFERROR(VLOOKUP(IF(MOD(COLUMN(AL35),2)=0,$A35&amp;"-"&amp;AL$3,$A35&amp;"-"&amp;AK$3),CoSo1[],AL$38,0),"")</f>
        <v>0</v>
      </c>
      <c r="AM35" s="14">
        <f>IFERROR(VLOOKUP(IF(MOD(COLUMN(AM35),2)=0,$A35&amp;"-"&amp;AM$3,$A35&amp;"-"&amp;AL$3),CoSo1[],AM$38,0),"")</f>
        <v>0</v>
      </c>
      <c r="AN35" s="14">
        <f>IFERROR(VLOOKUP(IF(MOD(COLUMN(AN35),2)=0,$A35&amp;"-"&amp;AN$3,$A35&amp;"-"&amp;AM$3),CoSo1[],AN$38,0),"")</f>
        <v>0</v>
      </c>
      <c r="AO35" s="14">
        <f>IFERROR(VLOOKUP(IF(MOD(COLUMN(AO35),2)=0,$A35&amp;"-"&amp;AO$3,$A35&amp;"-"&amp;AN$3),CoSo1[],AO$38,0),"")</f>
        <v>0</v>
      </c>
      <c r="AP35" s="14">
        <f>IFERROR(VLOOKUP(IF(MOD(COLUMN(AP35),2)=0,$A35&amp;"-"&amp;AP$3,$A35&amp;"-"&amp;AO$3),CoSo1[],AP$38,0),"")</f>
        <v>0</v>
      </c>
      <c r="AQ35" s="14">
        <f>IFERROR(VLOOKUP(IF(MOD(COLUMN(AQ35),2)=0,$A35&amp;"-"&amp;AQ$3,$A35&amp;"-"&amp;AP$3),CoSo1[],AQ$38,0),"")</f>
        <v>0</v>
      </c>
      <c r="AR35" s="11">
        <f t="shared" si="4"/>
        <v>126</v>
      </c>
      <c r="AS35" s="11">
        <f t="shared" si="4"/>
        <v>2</v>
      </c>
      <c r="AT35" s="14"/>
      <c r="AU35" s="14">
        <f>IFERROR(VLOOKUP(IF(MOD(COLUMN(AU35),2)=1,$A35&amp;"-"&amp;AU$3,$A35&amp;"-"&amp;AT$3),CoSo3[],DoanhThuThang!AU$38,0),"")</f>
        <v>348</v>
      </c>
      <c r="AV35" s="14">
        <f>IFERROR(VLOOKUP(IF(MOD(COLUMN(AV35),2)=1,$A35&amp;"-"&amp;AV$3,$A35&amp;"-"&amp;AU$3),CoSo3[],DoanhThuThang!AV$38,0),"")</f>
        <v>5</v>
      </c>
      <c r="AW35" s="14">
        <f>IFERROR(VLOOKUP(IF(MOD(COLUMN(AW35),2)=1,$A35&amp;"-"&amp;AW$3,$A35&amp;"-"&amp;AV$3),CoSo3[],DoanhThuThang!AW$38,0),"")</f>
        <v>465</v>
      </c>
      <c r="AX35" s="14">
        <f>IFERROR(VLOOKUP(IF(MOD(COLUMN(AX35),2)=1,$A35&amp;"-"&amp;AX$3,$A35&amp;"-"&amp;AW$3),CoSo3[],DoanhThuThang!AX$38,0),"")</f>
        <v>5</v>
      </c>
      <c r="AY35" s="11">
        <f t="shared" si="7"/>
        <v>813</v>
      </c>
      <c r="AZ35" s="11">
        <f t="shared" si="8"/>
        <v>10</v>
      </c>
      <c r="BA35" s="14"/>
      <c r="BB35" s="14">
        <f>IFERROR(VLOOKUP(IF(MOD(COLUMN(BB35),2)=0,$A35&amp;"-"&amp;BB$3,$A35&amp;"-"&amp;BA$3),CoSo3[],DoanhThuThang!BB$38,0),"")</f>
        <v>0</v>
      </c>
      <c r="BC35" s="14">
        <f>IFERROR(VLOOKUP(IF(MOD(COLUMN(BC35),2)=0,$A35&amp;"-"&amp;BC$3,$A35&amp;"-"&amp;BB$3),CoSo3[],DoanhThuThang!BC$38,0),"")</f>
        <v>0</v>
      </c>
      <c r="BD35" s="14">
        <f>IFERROR(VLOOKUP(IF(MOD(COLUMN(BD35),2)=0,$A35&amp;"-"&amp;BD$3,$A35&amp;"-"&amp;BC$3),CoSo3[],DoanhThuThang!BD$38,0),"")</f>
        <v>0</v>
      </c>
      <c r="BE35" s="14">
        <f>IFERROR(VLOOKUP(IF(MOD(COLUMN(BE35),2)=0,$A35&amp;"-"&amp;BE$3,$A35&amp;"-"&amp;BD$3),CoSo3[],DoanhThuThang!BE$38,0),"")</f>
        <v>0</v>
      </c>
      <c r="BF35" s="11">
        <f t="shared" si="9"/>
        <v>0</v>
      </c>
      <c r="BG35" s="11">
        <f t="shared" si="10"/>
        <v>0</v>
      </c>
      <c r="BH35" s="14"/>
      <c r="BI35" s="14" t="str">
        <f>IFERROR(VLOOKUP(IF(MOD(COLUMN(BI35),2)=1,$A35&amp;"-"&amp;BI$3,$A35&amp;"-"&amp;BH$3),CoSo4[],DoanhThuThang!BI$38,0),"")</f>
        <v/>
      </c>
      <c r="BJ35" s="14" t="str">
        <f>IFERROR(VLOOKUP(IF(MOD(COLUMN(BJ35),2)=1,$A35&amp;"-"&amp;BJ$3,$A35&amp;"-"&amp;BI$3),CoSo4[],DoanhThuThang!BJ$38,0),"")</f>
        <v/>
      </c>
      <c r="BK35" s="14" t="str">
        <f>IFERROR(VLOOKUP(IF(MOD(COLUMN(BK35),2)=1,$A35&amp;"-"&amp;BK$3,$A35&amp;"-"&amp;BJ$3),CoSo4[],DoanhThuThang!BK$38,0),"")</f>
        <v/>
      </c>
      <c r="BL35" s="14" t="str">
        <f>IFERROR(VLOOKUP(IF(MOD(COLUMN(BL35),2)=1,$A35&amp;"-"&amp;BL$3,$A35&amp;"-"&amp;BK$3),CoSo4[],DoanhThuThang!BL$38,0),"")</f>
        <v/>
      </c>
      <c r="BM35" s="11">
        <f t="shared" si="11"/>
        <v>0</v>
      </c>
      <c r="BN35" s="11">
        <f t="shared" si="12"/>
        <v>0</v>
      </c>
      <c r="BO35" s="14"/>
      <c r="BP35" s="14" t="str">
        <f>IFERROR(VLOOKUP(IF(MOD(COLUMN(BP35),2)=0,$A35&amp;"-"&amp;BP$3,$A35&amp;"-"&amp;BO$3),CoSo4[],DoanhThuThang!BP$38,0),"")</f>
        <v/>
      </c>
      <c r="BQ35" s="14" t="str">
        <f>IFERROR(VLOOKUP(IF(MOD(COLUMN(BQ35),2)=0,$A35&amp;"-"&amp;BQ$3,$A35&amp;"-"&amp;BP$3),CoSo4[],DoanhThuThang!BQ$38,0),"")</f>
        <v/>
      </c>
      <c r="BR35" s="14" t="str">
        <f>IFERROR(VLOOKUP(IF(MOD(COLUMN(BR35),2)=0,$A35&amp;"-"&amp;BR$3,$A35&amp;"-"&amp;BQ$3),CoSo4[],DoanhThuThang!BR$38,0),"")</f>
        <v/>
      </c>
      <c r="BS35" s="14" t="str">
        <f>IFERROR(VLOOKUP(IF(MOD(COLUMN(BS35),2)=0,$A35&amp;"-"&amp;BS$3,$A35&amp;"-"&amp;BR$3),CoSo4[],DoanhThuThang!BS$38,0),"")</f>
        <v/>
      </c>
      <c r="BT35" s="11">
        <f t="shared" si="13"/>
        <v>0</v>
      </c>
      <c r="BU35" s="11">
        <f t="shared" si="14"/>
        <v>0</v>
      </c>
      <c r="BV35" s="103"/>
      <c r="BW35" s="14" t="str">
        <f>IFERROR(VLOOKUP($A35,BanBuon[],DoanhThuThang!BW$38,0),"")</f>
        <v/>
      </c>
      <c r="BX35" s="14" t="str">
        <f>IFERROR(VLOOKUP($A35,BanBuon[],DoanhThuThang!BX$38,0),"")</f>
        <v/>
      </c>
      <c r="BY35" s="14" t="str">
        <f>IFERROR(VLOOKUP($A35,BanBuon[],DoanhThuThang!BY$38,0),"")</f>
        <v/>
      </c>
      <c r="BZ35" s="14" t="str">
        <f>IFERROR(VLOOKUP($A35,BanBuon[],DoanhThuThang!BZ$38,0),"")</f>
        <v/>
      </c>
      <c r="CA35" s="106">
        <f t="shared" si="19"/>
        <v>0</v>
      </c>
      <c r="CB35" s="106">
        <f t="shared" si="17"/>
        <v>0</v>
      </c>
      <c r="CC35" s="14">
        <f>IFERROR(VLOOKUP(IF(MOD(COLUMN(B35),2)=0,$A35&amp;"-"&amp;B$3,$A35&amp;"-"&amp;A$3),CoSo1[],CC$38,0),"")</f>
        <v>0</v>
      </c>
      <c r="CD35" s="14">
        <f>IFERROR(VLOOKUP(IF(MOD(COLUMN(C35),2)=0,$A35&amp;"-"&amp;CD$3,$A35&amp;"-"&amp;CC$3),CoSo1[],CD$38,0),"")</f>
        <v>0</v>
      </c>
      <c r="CE35" s="14">
        <f>IFERROR(VLOOKUP(IF(MOD(COLUMN(D35),2)=0,$A35&amp;"-"&amp;D$3,$A35&amp;"-"&amp;C$3),CoSo1[],CE$38,0),"")</f>
        <v>85</v>
      </c>
      <c r="CF35" s="14">
        <f>IFERROR(VLOOKUP(IF(MOD(COLUMN(E35),2)=0,$A35&amp;"-"&amp;E$3,$A35&amp;"-"&amp;D$3),CoSo1[],CF$38,0),"")</f>
        <v>1</v>
      </c>
      <c r="CG35" s="106">
        <f t="shared" si="20"/>
        <v>85</v>
      </c>
      <c r="CH35" s="106">
        <f t="shared" si="18"/>
        <v>1</v>
      </c>
    </row>
    <row r="36" spans="1:86" x14ac:dyDescent="0.25">
      <c r="A36" s="13">
        <v>31</v>
      </c>
      <c r="B36" s="14" t="str">
        <f>IFERROR(VLOOKUP(IF(MOD(COLUMN(B36),2)=0,$A36&amp;"-"&amp;B$3,$A36&amp;"-"&amp;A$3),CoSo1[],B$38,0),"")</f>
        <v/>
      </c>
      <c r="C36" s="14" t="str">
        <f>IFERROR(VLOOKUP(IF(MOD(COLUMN(C36),2)=0,$A36&amp;"-"&amp;C$3,$A36&amp;"-"&amp;B$3),CoSo1[],C$38,0),"")</f>
        <v/>
      </c>
      <c r="D36" s="14" t="str">
        <f>IFERROR(VLOOKUP(IF(MOD(COLUMN(D36),2)=0,$A36&amp;"-"&amp;D$3,$A36&amp;"-"&amp;C$3),CoSo1[],D$38,0),"")</f>
        <v/>
      </c>
      <c r="E36" s="14" t="str">
        <f>IFERROR(VLOOKUP(IF(MOD(COLUMN(E36),2)=0,$A36&amp;"-"&amp;E$3,$A36&amp;"-"&amp;D$3),CoSo1[],E$38,0),"")</f>
        <v/>
      </c>
      <c r="F36" s="14" t="str">
        <f>IFERROR(VLOOKUP(IF(MOD(COLUMN(F36),2)=0,$A36&amp;"-"&amp;F$3,$A36&amp;"-"&amp;E$3),CoSo1[],F$38,0),"")</f>
        <v/>
      </c>
      <c r="G36" s="14" t="str">
        <f>IFERROR(VLOOKUP(IF(MOD(COLUMN(G36),2)=0,$A36&amp;"-"&amp;G$3,$A36&amp;"-"&amp;F$3),CoSo1[],G$38,0),"")</f>
        <v/>
      </c>
      <c r="H36" s="14" t="str">
        <f>IFERROR(VLOOKUP(IF(MOD(COLUMN(H36),2)=0,$A36&amp;"-"&amp;H$3,$A36&amp;"-"&amp;G$3),CoSo1[],H$38,0),"")</f>
        <v/>
      </c>
      <c r="I36" s="14" t="str">
        <f>IFERROR(VLOOKUP(IF(MOD(COLUMN(I36),2)=0,$A36&amp;"-"&amp;I$3,$A36&amp;"-"&amp;H$3),CoSo1[],I$38,0),"")</f>
        <v/>
      </c>
      <c r="J36" s="14" t="str">
        <f>IFERROR(VLOOKUP(IF(MOD(COLUMN(J36),2)=0,$A36&amp;"-"&amp;J$3,$A36&amp;"-"&amp;I$3),CoSo1[],J$38,0),"")</f>
        <v/>
      </c>
      <c r="K36" s="14" t="str">
        <f>IFERROR(VLOOKUP(IF(MOD(COLUMN(K36),2)=0,$A36&amp;"-"&amp;K$3,$A36&amp;"-"&amp;J$3),CoSo1[],K$38,0),"")</f>
        <v/>
      </c>
      <c r="L36" s="14" t="str">
        <f>IFERROR(VLOOKUP(IF(MOD(COLUMN(L36),2)=0,$A36&amp;"-"&amp;L$3,$A36&amp;"-"&amp;K$3),CoSo1[],L$38,0),"")</f>
        <v/>
      </c>
      <c r="M36" s="14" t="str">
        <f>IFERROR(VLOOKUP(IF(MOD(COLUMN(M36),2)=0,$A36&amp;"-"&amp;M$3,$A36&amp;"-"&amp;L$3),CoSo1[],M$38,0),"")</f>
        <v/>
      </c>
      <c r="N36" s="11">
        <f t="shared" si="15"/>
        <v>0</v>
      </c>
      <c r="O36" s="11">
        <f t="shared" si="16"/>
        <v>0</v>
      </c>
      <c r="P36" s="14"/>
      <c r="Q36" s="14" t="str">
        <f>IFERROR(VLOOKUP(IF(MOD(COLUMN(Q36),2)=1,$A36&amp;"-"&amp;Q$3,$A36&amp;"-"&amp;P$3),CoSo1[],Q$38,0),"")</f>
        <v/>
      </c>
      <c r="R36" s="14" t="str">
        <f>IFERROR(VLOOKUP(IF(MOD(COLUMN(R36),2)=1,$A36&amp;"-"&amp;R$3,$A36&amp;"-"&amp;Q$3),CoSo1[],R$38,0),"")</f>
        <v/>
      </c>
      <c r="S36" s="14" t="str">
        <f>IFERROR(VLOOKUP(IF(MOD(COLUMN(S36),2)=1,$A36&amp;"-"&amp;S$3,$A36&amp;"-"&amp;R$3),CoSo1[],S$38,0),"")</f>
        <v/>
      </c>
      <c r="T36" s="14" t="str">
        <f>IFERROR(VLOOKUP(IF(MOD(COLUMN(T36),2)=1,$A36&amp;"-"&amp;T$3,$A36&amp;"-"&amp;S$3),CoSo1[],T$38,0),"")</f>
        <v/>
      </c>
      <c r="U36" s="14" t="str">
        <f>IFERROR(VLOOKUP(IF(MOD(COLUMN(U36),2)=1,$A36&amp;"-"&amp;U$3,$A36&amp;"-"&amp;T$3),CoSo1[],U$38,0),"")</f>
        <v/>
      </c>
      <c r="V36" s="14" t="str">
        <f>IFERROR(VLOOKUP(IF(MOD(COLUMN(V36),2)=1,$A36&amp;"-"&amp;V$3,$A36&amp;"-"&amp;U$3),CoSo1[],V$38,0),"")</f>
        <v/>
      </c>
      <c r="W36" s="14" t="str">
        <f>IFERROR(VLOOKUP(IF(MOD(COLUMN(W36),2)=1,$A36&amp;"-"&amp;W$3,$A36&amp;"-"&amp;V$3),CoSo1[],W$38,0),"")</f>
        <v/>
      </c>
      <c r="X36" s="14" t="str">
        <f>IFERROR(VLOOKUP(IF(MOD(COLUMN(X36),2)=1,$A36&amp;"-"&amp;X$3,$A36&amp;"-"&amp;W$3),CoSo1[],X$38,0),"")</f>
        <v/>
      </c>
      <c r="Y36" s="14" t="str">
        <f>IFERROR(VLOOKUP(IF(MOD(COLUMN(Y36),2)=1,$A36&amp;"-"&amp;Y$3,$A36&amp;"-"&amp;X$3),CoSo1[],Y$38,0),"")</f>
        <v/>
      </c>
      <c r="Z36" s="14" t="str">
        <f>IFERROR(VLOOKUP(IF(MOD(COLUMN(Z36),2)=1,$A36&amp;"-"&amp;Z$3,$A36&amp;"-"&amp;Y$3),CoSo1[],Z$38,0),"")</f>
        <v/>
      </c>
      <c r="AA36" s="14" t="str">
        <f>IFERROR(VLOOKUP(IF(MOD(COLUMN(AA36),2)=1,$A36&amp;"-"&amp;AA$3,$A36&amp;"-"&amp;Z$3),CoSo1[],AA$38,0),"")</f>
        <v/>
      </c>
      <c r="AB36" s="14" t="str">
        <f>IFERROR(VLOOKUP(IF(MOD(COLUMN(AB36),2)=1,$A36&amp;"-"&amp;AB$3,$A36&amp;"-"&amp;AA$3),CoSo1[],AB$38,0),"")</f>
        <v/>
      </c>
      <c r="AC36" s="11">
        <f t="shared" si="2"/>
        <v>0</v>
      </c>
      <c r="AD36" s="11">
        <f t="shared" si="2"/>
        <v>0</v>
      </c>
      <c r="AE36" s="14"/>
      <c r="AF36" s="14" t="str">
        <f>IFERROR(VLOOKUP(IF(MOD(COLUMN(AF36),2)=0,$A36&amp;"-"&amp;AF$3,$A36&amp;"-"&amp;AE$3),CoSo1[],AF$38,0),"")</f>
        <v/>
      </c>
      <c r="AG36" s="14" t="str">
        <f>IFERROR(VLOOKUP(IF(MOD(COLUMN(AG36),2)=0,$A36&amp;"-"&amp;AG$3,$A36&amp;"-"&amp;AF$3),CoSo1[],AG$38,0),"")</f>
        <v/>
      </c>
      <c r="AH36" s="14" t="str">
        <f>IFERROR(VLOOKUP(IF(MOD(COLUMN(AH36),2)=0,$A36&amp;"-"&amp;AH$3,$A36&amp;"-"&amp;AG$3),CoSo1[],AH$38,0),"")</f>
        <v/>
      </c>
      <c r="AI36" s="14" t="str">
        <f>IFERROR(VLOOKUP(IF(MOD(COLUMN(AI36),2)=0,$A36&amp;"-"&amp;AI$3,$A36&amp;"-"&amp;AH$3),CoSo1[],AI$38,0),"")</f>
        <v/>
      </c>
      <c r="AJ36" s="14" t="str">
        <f>IFERROR(VLOOKUP(IF(MOD(COLUMN(AJ36),2)=0,$A36&amp;"-"&amp;AJ$3,$A36&amp;"-"&amp;AI$3),CoSo1[],AJ$38,0),"")</f>
        <v/>
      </c>
      <c r="AK36" s="14" t="str">
        <f>IFERROR(VLOOKUP(IF(MOD(COLUMN(AK36),2)=0,$A36&amp;"-"&amp;AK$3,$A36&amp;"-"&amp;AJ$3),CoSo1[],AK$38,0),"")</f>
        <v/>
      </c>
      <c r="AL36" s="14" t="str">
        <f>IFERROR(VLOOKUP(IF(MOD(COLUMN(AL36),2)=0,$A36&amp;"-"&amp;AL$3,$A36&amp;"-"&amp;AK$3),CoSo1[],AL$38,0),"")</f>
        <v/>
      </c>
      <c r="AM36" s="14" t="str">
        <f>IFERROR(VLOOKUP(IF(MOD(COLUMN(AM36),2)=0,$A36&amp;"-"&amp;AM$3,$A36&amp;"-"&amp;AL$3),CoSo1[],AM$38,0),"")</f>
        <v/>
      </c>
      <c r="AN36" s="14" t="str">
        <f>IFERROR(VLOOKUP(IF(MOD(COLUMN(AN36),2)=0,$A36&amp;"-"&amp;AN$3,$A36&amp;"-"&amp;AM$3),CoSo1[],AN$38,0),"")</f>
        <v/>
      </c>
      <c r="AO36" s="14" t="str">
        <f>IFERROR(VLOOKUP(IF(MOD(COLUMN(AO36),2)=0,$A36&amp;"-"&amp;AO$3,$A36&amp;"-"&amp;AN$3),CoSo1[],AO$38,0),"")</f>
        <v/>
      </c>
      <c r="AP36" s="14" t="str">
        <f>IFERROR(VLOOKUP(IF(MOD(COLUMN(AP36),2)=0,$A36&amp;"-"&amp;AP$3,$A36&amp;"-"&amp;AO$3),CoSo1[],AP$38,0),"")</f>
        <v/>
      </c>
      <c r="AQ36" s="14" t="str">
        <f>IFERROR(VLOOKUP(IF(MOD(COLUMN(AQ36),2)=0,$A36&amp;"-"&amp;AQ$3,$A36&amp;"-"&amp;AP$3),CoSo1[],AQ$38,0),"")</f>
        <v/>
      </c>
      <c r="AR36" s="11">
        <f t="shared" si="4"/>
        <v>0</v>
      </c>
      <c r="AS36" s="11">
        <f t="shared" si="4"/>
        <v>0</v>
      </c>
      <c r="AT36" s="14"/>
      <c r="AU36" s="14" t="str">
        <f>IFERROR(VLOOKUP(IF(MOD(COLUMN(AU36),2)=1,$A36&amp;"-"&amp;AU$3,$A36&amp;"-"&amp;AT$3),CoSo3[],DoanhThuThang!AU$38,0),"")</f>
        <v/>
      </c>
      <c r="AV36" s="14" t="str">
        <f>IFERROR(VLOOKUP(IF(MOD(COLUMN(AV36),2)=1,$A36&amp;"-"&amp;AV$3,$A36&amp;"-"&amp;AU$3),CoSo3[],DoanhThuThang!AV$38,0),"")</f>
        <v/>
      </c>
      <c r="AW36" s="14" t="str">
        <f>IFERROR(VLOOKUP(IF(MOD(COLUMN(AW36),2)=1,$A36&amp;"-"&amp;AW$3,$A36&amp;"-"&amp;AV$3),CoSo3[],DoanhThuThang!AW$38,0),"")</f>
        <v/>
      </c>
      <c r="AX36" s="14" t="str">
        <f>IFERROR(VLOOKUP(IF(MOD(COLUMN(AX36),2)=1,$A36&amp;"-"&amp;AX$3,$A36&amp;"-"&amp;AW$3),CoSo3[],DoanhThuThang!AX$38,0),"")</f>
        <v/>
      </c>
      <c r="AY36" s="11">
        <f t="shared" si="7"/>
        <v>0</v>
      </c>
      <c r="AZ36" s="11">
        <f t="shared" si="8"/>
        <v>0</v>
      </c>
      <c r="BA36" s="14"/>
      <c r="BB36" s="14" t="str">
        <f>IFERROR(VLOOKUP(IF(MOD(COLUMN(BB36),2)=0,$A36&amp;"-"&amp;BB$3,$A36&amp;"-"&amp;BA$3),CoSo3[],DoanhThuThang!BB$38,0),"")</f>
        <v/>
      </c>
      <c r="BC36" s="14" t="str">
        <f>IFERROR(VLOOKUP(IF(MOD(COLUMN(BC36),2)=0,$A36&amp;"-"&amp;BC$3,$A36&amp;"-"&amp;BB$3),CoSo3[],DoanhThuThang!BC$38,0),"")</f>
        <v/>
      </c>
      <c r="BD36" s="14" t="str">
        <f>IFERROR(VLOOKUP(IF(MOD(COLUMN(BD36),2)=0,$A36&amp;"-"&amp;BD$3,$A36&amp;"-"&amp;BC$3),CoSo3[],DoanhThuThang!BD$38,0),"")</f>
        <v/>
      </c>
      <c r="BE36" s="14" t="str">
        <f>IFERROR(VLOOKUP(IF(MOD(COLUMN(BE36),2)=0,$A36&amp;"-"&amp;BE$3,$A36&amp;"-"&amp;BD$3),CoSo3[],DoanhThuThang!BE$38,0),"")</f>
        <v/>
      </c>
      <c r="BF36" s="11">
        <f t="shared" si="9"/>
        <v>0</v>
      </c>
      <c r="BG36" s="11">
        <f t="shared" si="10"/>
        <v>0</v>
      </c>
      <c r="BH36" s="14"/>
      <c r="BI36" s="14" t="str">
        <f>IFERROR(VLOOKUP(IF(MOD(COLUMN(BI36),2)=1,$A36&amp;"-"&amp;BI$3,$A36&amp;"-"&amp;BH$3),CoSo4[],DoanhThuThang!BI$38,0),"")</f>
        <v/>
      </c>
      <c r="BJ36" s="14" t="str">
        <f>IFERROR(VLOOKUP(IF(MOD(COLUMN(BJ36),2)=1,$A36&amp;"-"&amp;BJ$3,$A36&amp;"-"&amp;BI$3),CoSo4[],DoanhThuThang!BJ$38,0),"")</f>
        <v/>
      </c>
      <c r="BK36" s="14" t="str">
        <f>IFERROR(VLOOKUP(IF(MOD(COLUMN(BK36),2)=1,$A36&amp;"-"&amp;BK$3,$A36&amp;"-"&amp;BJ$3),CoSo4[],DoanhThuThang!BK$38,0),"")</f>
        <v/>
      </c>
      <c r="BL36" s="14" t="str">
        <f>IFERROR(VLOOKUP(IF(MOD(COLUMN(BL36),2)=1,$A36&amp;"-"&amp;BL$3,$A36&amp;"-"&amp;BK$3),CoSo4[],DoanhThuThang!BL$38,0),"")</f>
        <v/>
      </c>
      <c r="BM36" s="11">
        <f t="shared" si="11"/>
        <v>0</v>
      </c>
      <c r="BN36" s="11">
        <f t="shared" si="12"/>
        <v>0</v>
      </c>
      <c r="BO36" s="14"/>
      <c r="BP36" s="14" t="str">
        <f>IFERROR(VLOOKUP(IF(MOD(COLUMN(BP36),2)=0,$A36&amp;"-"&amp;BP$3,$A36&amp;"-"&amp;BO$3),CoSo4[],DoanhThuThang!BP$38,0),"")</f>
        <v/>
      </c>
      <c r="BQ36" s="14" t="str">
        <f>IFERROR(VLOOKUP(IF(MOD(COLUMN(BQ36),2)=0,$A36&amp;"-"&amp;BQ$3,$A36&amp;"-"&amp;BP$3),CoSo4[],DoanhThuThang!BQ$38,0),"")</f>
        <v/>
      </c>
      <c r="BR36" s="14" t="str">
        <f>IFERROR(VLOOKUP(IF(MOD(COLUMN(BR36),2)=0,$A36&amp;"-"&amp;BR$3,$A36&amp;"-"&amp;BQ$3),CoSo4[],DoanhThuThang!BR$38,0),"")</f>
        <v/>
      </c>
      <c r="BS36" s="14" t="str">
        <f>IFERROR(VLOOKUP(IF(MOD(COLUMN(BS36),2)=0,$A36&amp;"-"&amp;BS$3,$A36&amp;"-"&amp;BR$3),CoSo4[],DoanhThuThang!BS$38,0),"")</f>
        <v/>
      </c>
      <c r="BT36" s="11">
        <f t="shared" si="13"/>
        <v>0</v>
      </c>
      <c r="BU36" s="11">
        <f t="shared" si="14"/>
        <v>0</v>
      </c>
      <c r="BV36" s="103"/>
      <c r="BW36" s="14" t="str">
        <f>IFERROR(VLOOKUP($A36,BanBuon[],DoanhThuThang!BW$38,0),"")</f>
        <v/>
      </c>
      <c r="BX36" s="14" t="str">
        <f>IFERROR(VLOOKUP($A36,BanBuon[],DoanhThuThang!BX$38,0),"")</f>
        <v/>
      </c>
      <c r="BY36" s="14" t="str">
        <f>IFERROR(VLOOKUP($A36,BanBuon[],DoanhThuThang!BY$38,0),"")</f>
        <v/>
      </c>
      <c r="BZ36" s="14" t="str">
        <f>IFERROR(VLOOKUP($A36,BanBuon[],DoanhThuThang!BZ$38,0),"")</f>
        <v/>
      </c>
      <c r="CA36" s="106">
        <f t="shared" si="19"/>
        <v>0</v>
      </c>
      <c r="CB36" s="106">
        <f t="shared" si="17"/>
        <v>0</v>
      </c>
      <c r="CC36" s="14" t="str">
        <f>IFERROR(VLOOKUP(IF(MOD(COLUMN(B36),2)=0,$A36&amp;"-"&amp;B$3,$A36&amp;"-"&amp;A$3),CoSo1[],CC$38,0),"")</f>
        <v/>
      </c>
      <c r="CD36" s="14" t="str">
        <f>IFERROR(VLOOKUP(IF(MOD(COLUMN(C36),2)=0,$A36&amp;"-"&amp;CD$3,$A36&amp;"-"&amp;CC$3),CoSo1[],CD$38,0),"")</f>
        <v/>
      </c>
      <c r="CE36" s="14" t="str">
        <f>IFERROR(VLOOKUP(IF(MOD(COLUMN(D36),2)=0,$A36&amp;"-"&amp;D$3,$A36&amp;"-"&amp;C$3),CoSo1[],CE$38,0),"")</f>
        <v/>
      </c>
      <c r="CF36" s="14" t="str">
        <f>IFERROR(VLOOKUP(IF(MOD(COLUMN(E36),2)=0,$A36&amp;"-"&amp;E$3,$A36&amp;"-"&amp;D$3),CoSo1[],CF$38,0),"")</f>
        <v/>
      </c>
      <c r="CG36" s="106">
        <f t="shared" si="20"/>
        <v>0</v>
      </c>
      <c r="CH36" s="106">
        <f t="shared" si="18"/>
        <v>0</v>
      </c>
    </row>
    <row r="38" spans="1:86" x14ac:dyDescent="0.25">
      <c r="B38">
        <v>5</v>
      </c>
      <c r="C38">
        <v>6</v>
      </c>
      <c r="D38">
        <v>5</v>
      </c>
      <c r="E38">
        <v>6</v>
      </c>
      <c r="F38">
        <v>7</v>
      </c>
      <c r="G38">
        <v>8</v>
      </c>
      <c r="H38">
        <v>7</v>
      </c>
      <c r="I38">
        <v>8</v>
      </c>
      <c r="J38">
        <v>9</v>
      </c>
      <c r="K38">
        <v>10</v>
      </c>
      <c r="L38">
        <v>9</v>
      </c>
      <c r="M38">
        <v>10</v>
      </c>
      <c r="Q38">
        <v>11</v>
      </c>
      <c r="R38">
        <v>12</v>
      </c>
      <c r="S38">
        <v>11</v>
      </c>
      <c r="T38">
        <v>12</v>
      </c>
      <c r="U38">
        <v>13</v>
      </c>
      <c r="V38">
        <v>14</v>
      </c>
      <c r="W38">
        <v>13</v>
      </c>
      <c r="X38">
        <v>14</v>
      </c>
      <c r="Y38">
        <v>15</v>
      </c>
      <c r="Z38">
        <v>16</v>
      </c>
      <c r="AA38">
        <v>15</v>
      </c>
      <c r="AB38">
        <v>16</v>
      </c>
      <c r="AF38">
        <v>17</v>
      </c>
      <c r="AG38">
        <v>18</v>
      </c>
      <c r="AH38">
        <v>17</v>
      </c>
      <c r="AI38">
        <v>18</v>
      </c>
      <c r="AJ38">
        <v>19</v>
      </c>
      <c r="AK38">
        <v>20</v>
      </c>
      <c r="AL38">
        <v>19</v>
      </c>
      <c r="AM38">
        <v>20</v>
      </c>
      <c r="AN38">
        <v>21</v>
      </c>
      <c r="AO38">
        <v>22</v>
      </c>
      <c r="AP38">
        <v>21</v>
      </c>
      <c r="AQ38">
        <v>22</v>
      </c>
      <c r="AU38">
        <v>5</v>
      </c>
      <c r="AV38">
        <v>6</v>
      </c>
      <c r="AW38">
        <v>5</v>
      </c>
      <c r="AX38">
        <v>6</v>
      </c>
      <c r="BB38">
        <v>7</v>
      </c>
      <c r="BC38">
        <v>8</v>
      </c>
      <c r="BD38">
        <v>7</v>
      </c>
      <c r="BE38">
        <v>8</v>
      </c>
      <c r="BI38">
        <v>5</v>
      </c>
      <c r="BJ38">
        <v>6</v>
      </c>
      <c r="BK38">
        <v>5</v>
      </c>
      <c r="BL38">
        <v>6</v>
      </c>
      <c r="BP38">
        <v>7</v>
      </c>
      <c r="BQ38">
        <v>8</v>
      </c>
      <c r="BR38">
        <v>7</v>
      </c>
      <c r="BS38">
        <v>8</v>
      </c>
      <c r="BW38">
        <v>2</v>
      </c>
      <c r="BX38">
        <v>3</v>
      </c>
      <c r="BY38">
        <v>4</v>
      </c>
      <c r="BZ38">
        <v>5</v>
      </c>
      <c r="CC38" s="110">
        <v>23</v>
      </c>
      <c r="CD38" s="110">
        <v>24</v>
      </c>
      <c r="CE38" s="110">
        <v>23</v>
      </c>
      <c r="CF38" s="110">
        <v>24</v>
      </c>
    </row>
  </sheetData>
  <mergeCells count="73">
    <mergeCell ref="BY3:BZ3"/>
    <mergeCell ref="BW1:CB1"/>
    <mergeCell ref="BZ2:CB2"/>
    <mergeCell ref="CA3:CA4"/>
    <mergeCell ref="CB3:CB4"/>
    <mergeCell ref="AF2:AI2"/>
    <mergeCell ref="AJ2:AM2"/>
    <mergeCell ref="AN2:AQ2"/>
    <mergeCell ref="AU2:AX2"/>
    <mergeCell ref="B1:P1"/>
    <mergeCell ref="Q1:AE1"/>
    <mergeCell ref="AF1:AT1"/>
    <mergeCell ref="AU1:BA1"/>
    <mergeCell ref="B2:E2"/>
    <mergeCell ref="F2:I2"/>
    <mergeCell ref="J2:M2"/>
    <mergeCell ref="U2:X2"/>
    <mergeCell ref="Y2:AB2"/>
    <mergeCell ref="BB1:BH1"/>
    <mergeCell ref="BI1:BO1"/>
    <mergeCell ref="BU2:BV2"/>
    <mergeCell ref="A3:A4"/>
    <mergeCell ref="B3:C3"/>
    <mergeCell ref="D3:E3"/>
    <mergeCell ref="F3:G3"/>
    <mergeCell ref="H3:I3"/>
    <mergeCell ref="S3:T3"/>
    <mergeCell ref="BB2:BE2"/>
    <mergeCell ref="BI2:BL2"/>
    <mergeCell ref="BP2:BS2"/>
    <mergeCell ref="J3:K3"/>
    <mergeCell ref="L3:M3"/>
    <mergeCell ref="N3:N4"/>
    <mergeCell ref="O3:O4"/>
    <mergeCell ref="Q3:R3"/>
    <mergeCell ref="AP3:AQ3"/>
    <mergeCell ref="U3:V3"/>
    <mergeCell ref="W3:X3"/>
    <mergeCell ref="Y3:Z3"/>
    <mergeCell ref="AA3:AB3"/>
    <mergeCell ref="AC3:AC4"/>
    <mergeCell ref="AD3:AD4"/>
    <mergeCell ref="AF3:AG3"/>
    <mergeCell ref="AH3:AI3"/>
    <mergeCell ref="AJ3:AK3"/>
    <mergeCell ref="AL3:AM3"/>
    <mergeCell ref="AN3:AO3"/>
    <mergeCell ref="BG3:BG4"/>
    <mergeCell ref="AR3:AR4"/>
    <mergeCell ref="AS3:AS4"/>
    <mergeCell ref="AU3:AV3"/>
    <mergeCell ref="AW3:AX3"/>
    <mergeCell ref="AY3:AY4"/>
    <mergeCell ref="AZ3:AZ4"/>
    <mergeCell ref="BB3:BC3"/>
    <mergeCell ref="BD3:BE3"/>
    <mergeCell ref="BF3:BF4"/>
    <mergeCell ref="CG3:CG4"/>
    <mergeCell ref="CH3:CH4"/>
    <mergeCell ref="CC1:CH1"/>
    <mergeCell ref="CC2:CH2"/>
    <mergeCell ref="BI3:BJ3"/>
    <mergeCell ref="BK3:BL3"/>
    <mergeCell ref="BM3:BM4"/>
    <mergeCell ref="BN3:BN4"/>
    <mergeCell ref="BP3:BQ3"/>
    <mergeCell ref="CE3:CF3"/>
    <mergeCell ref="CC3:CD3"/>
    <mergeCell ref="BP1:BV1"/>
    <mergeCell ref="BT3:BT4"/>
    <mergeCell ref="BU3:BU4"/>
    <mergeCell ref="BR3:BS3"/>
    <mergeCell ref="BW3:BX3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CK38"/>
  <sheetViews>
    <sheetView workbookViewId="0">
      <pane xSplit="1" ySplit="5" topLeftCell="N6" activePane="bottomRight" state="frozen"/>
      <selection pane="topRight" activeCell="B1" sqref="B1"/>
      <selection pane="bottomLeft" activeCell="A6" sqref="A6"/>
      <selection pane="bottomRight" activeCell="N6" sqref="N6"/>
    </sheetView>
  </sheetViews>
  <sheetFormatPr defaultColWidth="8.85546875" defaultRowHeight="15" x14ac:dyDescent="0.25"/>
  <cols>
    <col min="1" max="1" width="4.85546875" customWidth="1"/>
    <col min="2" max="3" width="6.140625" customWidth="1"/>
    <col min="4" max="4" width="6" bestFit="1" customWidth="1"/>
    <col min="5" max="5" width="5.140625" customWidth="1"/>
    <col min="6" max="7" width="5.42578125" customWidth="1"/>
    <col min="8" max="8" width="6.42578125" customWidth="1"/>
    <col min="9" max="9" width="5.42578125" customWidth="1"/>
    <col min="10" max="10" width="6" customWidth="1"/>
    <col min="11" max="11" width="5.42578125" customWidth="1"/>
    <col min="12" max="12" width="5.85546875" customWidth="1"/>
    <col min="13" max="14" width="6.42578125" customWidth="1"/>
    <col min="15" max="15" width="5.42578125" customWidth="1"/>
    <col min="16" max="16" width="6.42578125" customWidth="1"/>
    <col min="17" max="22" width="7.140625" customWidth="1"/>
    <col min="23" max="23" width="7.42578125" customWidth="1"/>
    <col min="24" max="24" width="7.140625" customWidth="1"/>
    <col min="25" max="25" width="5.42578125" customWidth="1"/>
    <col min="26" max="26" width="6" customWidth="1"/>
    <col min="27" max="27" width="6.140625" customWidth="1"/>
    <col min="28" max="28" width="8.42578125" customWidth="1"/>
    <col min="29" max="29" width="6.42578125" customWidth="1"/>
    <col min="30" max="30" width="9.85546875" customWidth="1"/>
    <col min="31" max="31" width="7.85546875" hidden="1" customWidth="1"/>
    <col min="32" max="33" width="5.42578125" customWidth="1"/>
    <col min="34" max="34" width="5.85546875" customWidth="1"/>
    <col min="35" max="35" width="6.140625" customWidth="1"/>
    <col min="36" max="36" width="6.42578125" customWidth="1"/>
    <col min="37" max="37" width="6" customWidth="1"/>
    <col min="38" max="38" width="7" customWidth="1"/>
    <col min="39" max="39" width="6" customWidth="1"/>
    <col min="40" max="40" width="6.140625" customWidth="1"/>
    <col min="41" max="42" width="6.42578125" customWidth="1"/>
    <col min="43" max="43" width="5.42578125" customWidth="1"/>
    <col min="44" max="44" width="6.42578125" customWidth="1"/>
    <col min="45" max="45" width="6.140625" customWidth="1"/>
    <col min="46" max="46" width="8.85546875" customWidth="1"/>
    <col min="47" max="47" width="0.140625" hidden="1" customWidth="1"/>
    <col min="48" max="52" width="9.140625" hidden="1" customWidth="1"/>
    <col min="53" max="53" width="15.42578125" hidden="1" customWidth="1"/>
    <col min="54" max="57" width="5.42578125" customWidth="1"/>
    <col min="58" max="59" width="6.42578125" customWidth="1"/>
    <col min="60" max="60" width="9.28515625" customWidth="1"/>
    <col min="61" max="61" width="19.42578125" hidden="1" customWidth="1"/>
    <col min="62" max="62" width="24.28515625" hidden="1" customWidth="1"/>
    <col min="63" max="63" width="35.7109375" hidden="1" customWidth="1"/>
    <col min="64" max="64" width="24.42578125" hidden="1" customWidth="1"/>
    <col min="65" max="65" width="3.7109375" hidden="1" customWidth="1"/>
    <col min="66" max="66" width="3.28515625" hidden="1" customWidth="1"/>
    <col min="67" max="67" width="7.140625" hidden="1" customWidth="1"/>
    <col min="68" max="68" width="7.42578125" customWidth="1"/>
    <col min="69" max="70" width="6.42578125" customWidth="1"/>
    <col min="71" max="71" width="7.42578125" customWidth="1"/>
    <col min="72" max="72" width="7.140625" customWidth="1"/>
    <col min="73" max="74" width="7.42578125" customWidth="1"/>
    <col min="75" max="81" width="5.42578125" customWidth="1"/>
    <col min="82" max="82" width="5.28515625" customWidth="1"/>
    <col min="83" max="86" width="5.42578125" customWidth="1"/>
    <col min="87" max="88" width="6.42578125" customWidth="1"/>
  </cols>
  <sheetData>
    <row r="1" spans="1:89" ht="15" customHeight="1" x14ac:dyDescent="0.25">
      <c r="A1" s="56"/>
      <c r="B1" s="133" t="s">
        <v>0</v>
      </c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2" t="s">
        <v>3</v>
      </c>
      <c r="R1" s="132"/>
      <c r="S1" s="132"/>
      <c r="T1" s="132"/>
      <c r="U1" s="132"/>
      <c r="V1" s="132"/>
      <c r="W1" s="132"/>
      <c r="X1" s="133" t="s">
        <v>5</v>
      </c>
      <c r="Y1" s="133"/>
      <c r="Z1" s="133"/>
      <c r="AA1" s="133"/>
      <c r="AB1" s="133"/>
      <c r="AC1" s="133"/>
      <c r="AD1" s="133"/>
      <c r="AF1" s="137" t="s">
        <v>2</v>
      </c>
      <c r="AG1" s="137"/>
      <c r="AH1" s="137"/>
      <c r="AI1" s="137"/>
      <c r="AJ1" s="137"/>
      <c r="AK1" s="137"/>
      <c r="AL1" s="137"/>
      <c r="AM1" s="137"/>
      <c r="AN1" s="137"/>
      <c r="AO1" s="137"/>
      <c r="AP1" s="137"/>
      <c r="AQ1" s="137"/>
      <c r="AR1" s="137"/>
      <c r="AS1" s="137"/>
      <c r="AT1" s="137"/>
      <c r="BB1" s="132" t="s">
        <v>4</v>
      </c>
      <c r="BC1" s="132"/>
      <c r="BD1" s="132"/>
      <c r="BE1" s="132"/>
      <c r="BF1" s="132"/>
      <c r="BG1" s="132"/>
      <c r="BH1" s="132"/>
      <c r="BI1" s="150" t="s">
        <v>5</v>
      </c>
      <c r="BJ1" s="151"/>
      <c r="BK1" s="151"/>
      <c r="BL1" s="151"/>
      <c r="BM1" s="151"/>
      <c r="BN1" s="151"/>
      <c r="BO1" s="152"/>
      <c r="BP1" s="128" t="s">
        <v>6</v>
      </c>
      <c r="BQ1" s="128"/>
      <c r="BR1" s="128"/>
      <c r="BS1" s="128"/>
      <c r="BT1" s="129"/>
      <c r="BU1" s="129"/>
      <c r="BV1" s="135"/>
      <c r="BW1" s="147" t="s">
        <v>1</v>
      </c>
      <c r="BX1" s="147"/>
      <c r="BY1" s="147"/>
      <c r="BZ1" s="147"/>
      <c r="CA1" s="148"/>
      <c r="CB1" s="148"/>
      <c r="CC1" s="148"/>
      <c r="CD1" s="148"/>
      <c r="CE1" s="148"/>
      <c r="CF1" s="148"/>
      <c r="CG1" s="148"/>
      <c r="CH1" s="148"/>
      <c r="CI1" s="149"/>
      <c r="CJ1" s="149"/>
      <c r="CK1" s="148"/>
    </row>
    <row r="2" spans="1:89" x14ac:dyDescent="0.25">
      <c r="A2" s="58"/>
      <c r="B2" s="133" t="s">
        <v>7</v>
      </c>
      <c r="C2" s="133"/>
      <c r="D2" s="133"/>
      <c r="E2" s="133"/>
      <c r="F2" s="133" t="s">
        <v>8</v>
      </c>
      <c r="G2" s="133"/>
      <c r="H2" s="133"/>
      <c r="I2" s="133"/>
      <c r="J2" s="133" t="s">
        <v>9</v>
      </c>
      <c r="K2" s="133"/>
      <c r="L2" s="133"/>
      <c r="M2" s="133"/>
      <c r="N2" s="58"/>
      <c r="O2" s="58"/>
      <c r="P2" s="58"/>
      <c r="Q2" s="133" t="s">
        <v>7</v>
      </c>
      <c r="R2" s="133"/>
      <c r="S2" s="133"/>
      <c r="T2" s="133"/>
      <c r="U2" s="58"/>
      <c r="V2" s="58"/>
      <c r="W2" s="58"/>
      <c r="X2" s="133" t="s">
        <v>7</v>
      </c>
      <c r="Y2" s="133"/>
      <c r="Z2" s="133"/>
      <c r="AA2" s="133"/>
      <c r="AB2" s="58"/>
      <c r="AC2" s="58"/>
      <c r="AD2" s="58"/>
      <c r="AF2" s="133" t="s">
        <v>7</v>
      </c>
      <c r="AG2" s="133"/>
      <c r="AH2" s="133"/>
      <c r="AI2" s="133"/>
      <c r="AJ2" s="133" t="s">
        <v>8</v>
      </c>
      <c r="AK2" s="133"/>
      <c r="AL2" s="133"/>
      <c r="AM2" s="133"/>
      <c r="AN2" s="133" t="s">
        <v>9</v>
      </c>
      <c r="AO2" s="133"/>
      <c r="AP2" s="133"/>
      <c r="AQ2" s="133"/>
      <c r="AR2" s="58"/>
      <c r="AS2" s="58"/>
      <c r="AT2" s="58"/>
      <c r="BB2" s="133" t="s">
        <v>7</v>
      </c>
      <c r="BC2" s="133"/>
      <c r="BD2" s="133"/>
      <c r="BE2" s="133"/>
      <c r="BF2" s="58"/>
      <c r="BG2" s="58"/>
      <c r="BH2" s="58"/>
      <c r="BI2" s="150" t="s">
        <v>7</v>
      </c>
      <c r="BJ2" s="151"/>
      <c r="BK2" s="151"/>
      <c r="BL2" s="152"/>
      <c r="BM2" s="58"/>
      <c r="BN2" s="58"/>
      <c r="BO2" s="58"/>
      <c r="BP2" s="153" t="s">
        <v>7</v>
      </c>
      <c r="BQ2" s="153"/>
      <c r="BR2" s="153"/>
      <c r="BS2" s="153"/>
      <c r="BT2" s="62"/>
      <c r="BU2" s="155"/>
      <c r="BV2" s="156"/>
      <c r="BW2" s="63" t="s">
        <v>7</v>
      </c>
      <c r="BX2" s="63"/>
      <c r="BY2" s="63"/>
      <c r="BZ2" s="63"/>
      <c r="CA2" s="153" t="s">
        <v>8</v>
      </c>
      <c r="CB2" s="157"/>
      <c r="CC2" s="158"/>
      <c r="CD2" s="159"/>
      <c r="CE2" s="153" t="s">
        <v>9</v>
      </c>
      <c r="CF2" s="153"/>
      <c r="CG2" s="154"/>
      <c r="CH2" s="153"/>
      <c r="CI2" s="62"/>
      <c r="CJ2" s="62"/>
      <c r="CK2" s="61"/>
    </row>
    <row r="3" spans="1:89" ht="30" customHeight="1" x14ac:dyDescent="0.25">
      <c r="A3" s="125" t="s">
        <v>10</v>
      </c>
      <c r="B3" s="125" t="s">
        <v>11</v>
      </c>
      <c r="C3" s="125"/>
      <c r="D3" s="126" t="s">
        <v>12</v>
      </c>
      <c r="E3" s="126"/>
      <c r="F3" s="125" t="s">
        <v>11</v>
      </c>
      <c r="G3" s="125"/>
      <c r="H3" s="126" t="s">
        <v>12</v>
      </c>
      <c r="I3" s="126"/>
      <c r="J3" s="125" t="s">
        <v>11</v>
      </c>
      <c r="K3" s="125"/>
      <c r="L3" s="126" t="s">
        <v>12</v>
      </c>
      <c r="M3" s="126"/>
      <c r="N3" s="125" t="s">
        <v>13</v>
      </c>
      <c r="O3" s="125" t="s">
        <v>14</v>
      </c>
      <c r="P3" s="6" t="s">
        <v>15</v>
      </c>
      <c r="Q3" s="125" t="s">
        <v>11</v>
      </c>
      <c r="R3" s="125"/>
      <c r="S3" s="126" t="s">
        <v>12</v>
      </c>
      <c r="T3" s="126"/>
      <c r="U3" s="125" t="s">
        <v>13</v>
      </c>
      <c r="V3" s="125" t="s">
        <v>14</v>
      </c>
      <c r="W3" s="6" t="s">
        <v>15</v>
      </c>
      <c r="X3" s="125" t="s">
        <v>11</v>
      </c>
      <c r="Y3" s="125"/>
      <c r="Z3" s="126" t="s">
        <v>12</v>
      </c>
      <c r="AA3" s="126"/>
      <c r="AB3" s="125" t="s">
        <v>13</v>
      </c>
      <c r="AC3" s="125" t="s">
        <v>14</v>
      </c>
      <c r="AD3" s="6" t="s">
        <v>15</v>
      </c>
      <c r="AF3" s="125" t="s">
        <v>11</v>
      </c>
      <c r="AG3" s="125"/>
      <c r="AH3" s="126" t="s">
        <v>12</v>
      </c>
      <c r="AI3" s="126"/>
      <c r="AJ3" s="125" t="s">
        <v>11</v>
      </c>
      <c r="AK3" s="125"/>
      <c r="AL3" s="126" t="s">
        <v>12</v>
      </c>
      <c r="AM3" s="126"/>
      <c r="AN3" s="125" t="s">
        <v>11</v>
      </c>
      <c r="AO3" s="125"/>
      <c r="AP3" s="126" t="s">
        <v>12</v>
      </c>
      <c r="AQ3" s="126"/>
      <c r="AR3" s="125" t="s">
        <v>13</v>
      </c>
      <c r="AS3" s="125" t="s">
        <v>14</v>
      </c>
      <c r="AT3" s="6" t="s">
        <v>15</v>
      </c>
      <c r="BB3" s="125" t="s">
        <v>11</v>
      </c>
      <c r="BC3" s="125"/>
      <c r="BD3" s="126" t="s">
        <v>12</v>
      </c>
      <c r="BE3" s="126"/>
      <c r="BF3" s="125" t="s">
        <v>13</v>
      </c>
      <c r="BG3" s="125" t="s">
        <v>14</v>
      </c>
      <c r="BH3" s="6" t="s">
        <v>15</v>
      </c>
      <c r="BI3" s="162" t="s">
        <v>11</v>
      </c>
      <c r="BJ3" s="163"/>
      <c r="BK3" s="164" t="s">
        <v>12</v>
      </c>
      <c r="BL3" s="165"/>
      <c r="BM3" s="160" t="s">
        <v>13</v>
      </c>
      <c r="BN3" s="160" t="s">
        <v>14</v>
      </c>
      <c r="BO3" s="6" t="s">
        <v>15</v>
      </c>
      <c r="BP3" s="125" t="s">
        <v>11</v>
      </c>
      <c r="BQ3" s="125"/>
      <c r="BR3" s="126" t="s">
        <v>12</v>
      </c>
      <c r="BS3" s="126"/>
      <c r="BT3" s="125" t="s">
        <v>13</v>
      </c>
      <c r="BU3" s="125" t="s">
        <v>14</v>
      </c>
      <c r="BV3" s="59" t="s">
        <v>15</v>
      </c>
      <c r="BW3" s="125" t="s">
        <v>11</v>
      </c>
      <c r="BX3" s="125"/>
      <c r="BY3" s="126" t="s">
        <v>12</v>
      </c>
      <c r="BZ3" s="126"/>
      <c r="CA3" s="125" t="s">
        <v>11</v>
      </c>
      <c r="CB3" s="125"/>
      <c r="CC3" s="126" t="s">
        <v>12</v>
      </c>
      <c r="CD3" s="126"/>
      <c r="CE3" s="125" t="s">
        <v>11</v>
      </c>
      <c r="CF3" s="125"/>
      <c r="CG3" s="126" t="s">
        <v>12</v>
      </c>
      <c r="CH3" s="126"/>
      <c r="CI3" s="125" t="s">
        <v>13</v>
      </c>
      <c r="CJ3" s="125" t="s">
        <v>14</v>
      </c>
      <c r="CK3" s="59" t="s">
        <v>15</v>
      </c>
    </row>
    <row r="4" spans="1:89" x14ac:dyDescent="0.25">
      <c r="A4" s="127"/>
      <c r="B4" s="60" t="s">
        <v>16</v>
      </c>
      <c r="C4" s="60" t="s">
        <v>17</v>
      </c>
      <c r="D4" s="9" t="s">
        <v>16</v>
      </c>
      <c r="E4" s="9" t="s">
        <v>17</v>
      </c>
      <c r="F4" s="60" t="s">
        <v>16</v>
      </c>
      <c r="G4" s="60" t="s">
        <v>17</v>
      </c>
      <c r="H4" s="9" t="s">
        <v>16</v>
      </c>
      <c r="I4" s="9" t="s">
        <v>17</v>
      </c>
      <c r="J4" s="60" t="s">
        <v>16</v>
      </c>
      <c r="K4" s="60" t="s">
        <v>17</v>
      </c>
      <c r="L4" s="9" t="s">
        <v>16</v>
      </c>
      <c r="M4" s="9" t="s">
        <v>17</v>
      </c>
      <c r="N4" s="127"/>
      <c r="O4" s="127"/>
      <c r="P4" s="10"/>
      <c r="Q4" s="60" t="s">
        <v>16</v>
      </c>
      <c r="R4" s="60" t="s">
        <v>17</v>
      </c>
      <c r="S4" s="9" t="s">
        <v>16</v>
      </c>
      <c r="T4" s="9" t="s">
        <v>17</v>
      </c>
      <c r="U4" s="127"/>
      <c r="V4" s="127"/>
      <c r="W4" s="10"/>
      <c r="X4" s="60" t="s">
        <v>16</v>
      </c>
      <c r="Y4" s="60" t="s">
        <v>17</v>
      </c>
      <c r="Z4" s="9" t="s">
        <v>16</v>
      </c>
      <c r="AA4" s="9" t="s">
        <v>17</v>
      </c>
      <c r="AB4" s="127"/>
      <c r="AC4" s="127"/>
      <c r="AD4" s="10"/>
      <c r="AF4" s="60" t="s">
        <v>16</v>
      </c>
      <c r="AG4" s="60" t="s">
        <v>17</v>
      </c>
      <c r="AH4" s="9" t="s">
        <v>16</v>
      </c>
      <c r="AI4" s="9" t="s">
        <v>17</v>
      </c>
      <c r="AJ4" s="60" t="s">
        <v>16</v>
      </c>
      <c r="AK4" s="60" t="s">
        <v>17</v>
      </c>
      <c r="AL4" s="9" t="s">
        <v>16</v>
      </c>
      <c r="AM4" s="9" t="s">
        <v>17</v>
      </c>
      <c r="AN4" s="60" t="s">
        <v>16</v>
      </c>
      <c r="AO4" s="60" t="s">
        <v>17</v>
      </c>
      <c r="AP4" s="9" t="s">
        <v>16</v>
      </c>
      <c r="AQ4" s="9" t="s">
        <v>17</v>
      </c>
      <c r="AR4" s="127"/>
      <c r="AS4" s="127"/>
      <c r="AT4" s="10"/>
      <c r="BB4" s="60" t="s">
        <v>16</v>
      </c>
      <c r="BC4" s="60" t="s">
        <v>17</v>
      </c>
      <c r="BD4" s="9" t="s">
        <v>16</v>
      </c>
      <c r="BE4" s="9" t="s">
        <v>17</v>
      </c>
      <c r="BF4" s="127"/>
      <c r="BG4" s="127"/>
      <c r="BH4" s="10"/>
      <c r="BI4" s="60" t="s">
        <v>16</v>
      </c>
      <c r="BJ4" s="60" t="s">
        <v>17</v>
      </c>
      <c r="BK4" s="9" t="s">
        <v>16</v>
      </c>
      <c r="BL4" s="9" t="s">
        <v>17</v>
      </c>
      <c r="BM4" s="161"/>
      <c r="BN4" s="161"/>
      <c r="BO4" s="10"/>
      <c r="BP4" s="60" t="s">
        <v>16</v>
      </c>
      <c r="BQ4" s="60" t="s">
        <v>17</v>
      </c>
      <c r="BR4" s="9" t="s">
        <v>16</v>
      </c>
      <c r="BS4" s="9" t="s">
        <v>17</v>
      </c>
      <c r="BT4" s="127"/>
      <c r="BU4" s="127"/>
      <c r="BV4" s="60"/>
      <c r="BW4" s="60" t="s">
        <v>16</v>
      </c>
      <c r="BX4" s="60" t="s">
        <v>17</v>
      </c>
      <c r="BY4" s="9" t="s">
        <v>16</v>
      </c>
      <c r="BZ4" s="9" t="s">
        <v>17</v>
      </c>
      <c r="CA4" s="60" t="s">
        <v>16</v>
      </c>
      <c r="CB4" s="60" t="s">
        <v>17</v>
      </c>
      <c r="CC4" s="9" t="s">
        <v>16</v>
      </c>
      <c r="CD4" s="9" t="s">
        <v>17</v>
      </c>
      <c r="CE4" s="60" t="s">
        <v>16</v>
      </c>
      <c r="CF4" s="60" t="s">
        <v>17</v>
      </c>
      <c r="CG4" s="9" t="s">
        <v>16</v>
      </c>
      <c r="CH4" s="9" t="s">
        <v>17</v>
      </c>
      <c r="CI4" s="127"/>
      <c r="CJ4" s="127"/>
      <c r="CK4" s="60"/>
    </row>
    <row r="5" spans="1:89" x14ac:dyDescent="0.25">
      <c r="A5" s="11"/>
      <c r="B5" s="11">
        <f>SUM(B6:B36)</f>
        <v>14929.5</v>
      </c>
      <c r="C5" s="11">
        <f t="shared" ref="C5:M5" si="0">SUM(C6:C36)</f>
        <v>192</v>
      </c>
      <c r="D5" s="12">
        <f t="shared" si="0"/>
        <v>26963.5</v>
      </c>
      <c r="E5" s="12">
        <f t="shared" si="0"/>
        <v>339</v>
      </c>
      <c r="F5" s="11">
        <f t="shared" si="0"/>
        <v>347</v>
      </c>
      <c r="G5" s="11">
        <f t="shared" si="0"/>
        <v>3</v>
      </c>
      <c r="H5" s="12">
        <f t="shared" si="0"/>
        <v>5358</v>
      </c>
      <c r="I5" s="12">
        <f t="shared" si="0"/>
        <v>50</v>
      </c>
      <c r="J5" s="11">
        <f t="shared" si="0"/>
        <v>0</v>
      </c>
      <c r="K5" s="11">
        <f t="shared" si="0"/>
        <v>0</v>
      </c>
      <c r="L5" s="12">
        <f t="shared" si="0"/>
        <v>3661</v>
      </c>
      <c r="M5" s="12">
        <f t="shared" si="0"/>
        <v>17</v>
      </c>
      <c r="N5" s="11">
        <f>SUM(B5,D5,F5,H5,J5,L5)</f>
        <v>51259</v>
      </c>
      <c r="O5" s="11">
        <f>SUM(C5,E5,G5,I5,K5,M5)</f>
        <v>601</v>
      </c>
      <c r="P5" s="11"/>
      <c r="Q5" s="11">
        <f>SUM(Q6:Q36)</f>
        <v>6999.5</v>
      </c>
      <c r="R5" s="11">
        <f>SUM(R6:R36)</f>
        <v>88</v>
      </c>
      <c r="S5" s="11">
        <f>SUM(S6:S36)</f>
        <v>16186.5</v>
      </c>
      <c r="T5" s="11">
        <f>SUM(T6:T36)</f>
        <v>183</v>
      </c>
      <c r="U5" s="11">
        <f>SUM(Q5,S5)</f>
        <v>23186</v>
      </c>
      <c r="V5" s="11">
        <f>SUM(R5,T5)</f>
        <v>271</v>
      </c>
      <c r="W5" s="11"/>
      <c r="X5" s="11">
        <f>SUM(X6:X36)</f>
        <v>1546</v>
      </c>
      <c r="Y5" s="11">
        <f>SUM(Y6:Y36)</f>
        <v>32</v>
      </c>
      <c r="Z5" s="12">
        <f>SUM(Z6:Z36)</f>
        <v>3632.5</v>
      </c>
      <c r="AA5" s="12">
        <f>SUM(AA6:AA36)</f>
        <v>66</v>
      </c>
      <c r="AB5" s="11">
        <f t="shared" ref="AB5:AB36" si="1">SUM(X5,Z5)</f>
        <v>5178.5</v>
      </c>
      <c r="AC5" s="11">
        <f t="shared" ref="AC5:AC36" si="2">SUM(Y5,AA5)</f>
        <v>98</v>
      </c>
      <c r="AD5" s="11"/>
      <c r="AF5" s="11">
        <f t="shared" ref="AF5:AQ5" si="3">SUM(AF6:AF36)</f>
        <v>343</v>
      </c>
      <c r="AG5" s="11">
        <f t="shared" si="3"/>
        <v>4</v>
      </c>
      <c r="AH5" s="12">
        <f t="shared" si="3"/>
        <v>1428</v>
      </c>
      <c r="AI5" s="12">
        <f t="shared" si="3"/>
        <v>21</v>
      </c>
      <c r="AJ5" s="11">
        <f t="shared" si="3"/>
        <v>0</v>
      </c>
      <c r="AK5" s="11">
        <f t="shared" si="3"/>
        <v>0</v>
      </c>
      <c r="AL5" s="12">
        <f t="shared" si="3"/>
        <v>400</v>
      </c>
      <c r="AM5" s="12">
        <f t="shared" si="3"/>
        <v>2</v>
      </c>
      <c r="AN5" s="11">
        <f t="shared" si="3"/>
        <v>0</v>
      </c>
      <c r="AO5" s="11">
        <f t="shared" si="3"/>
        <v>0</v>
      </c>
      <c r="AP5" s="12">
        <f t="shared" si="3"/>
        <v>0</v>
      </c>
      <c r="AQ5" s="12">
        <f t="shared" si="3"/>
        <v>0</v>
      </c>
      <c r="AR5" s="11">
        <f t="shared" ref="AR5:AS36" si="4">SUM(AF5,AH5,AJ5,AL5,AN5,AP5)</f>
        <v>2171</v>
      </c>
      <c r="AS5" s="11">
        <f t="shared" si="4"/>
        <v>27</v>
      </c>
      <c r="AT5" s="11"/>
      <c r="BB5" s="11">
        <f t="shared" ref="BB5:BE5" si="5">SUM(BB6:BB36)</f>
        <v>0</v>
      </c>
      <c r="BC5" s="11">
        <f t="shared" si="5"/>
        <v>0</v>
      </c>
      <c r="BD5" s="12">
        <f t="shared" si="5"/>
        <v>60209</v>
      </c>
      <c r="BE5" s="12">
        <f t="shared" si="5"/>
        <v>3</v>
      </c>
      <c r="BF5" s="11">
        <f>SUM(BB5,BD5)</f>
        <v>60209</v>
      </c>
      <c r="BG5" s="11">
        <f>SUM(BC5,BE5)</f>
        <v>3</v>
      </c>
      <c r="BH5" s="11"/>
      <c r="BI5" s="11">
        <f>SUM(BI6:BI36)</f>
        <v>1546</v>
      </c>
      <c r="BJ5" s="11">
        <f>SUM(BJ6:BJ36)</f>
        <v>32</v>
      </c>
      <c r="BK5" s="12">
        <f>SUM(BK6:BK36)</f>
        <v>3632.5</v>
      </c>
      <c r="BL5" s="12">
        <f>SUM(BL6:BL36)</f>
        <v>66</v>
      </c>
      <c r="BM5" s="11">
        <f t="shared" ref="BM5:BM36" si="6">SUM(BI5,BK5)</f>
        <v>5178.5</v>
      </c>
      <c r="BN5" s="11">
        <f t="shared" ref="BN5:BN36" si="7">SUM(BJ5,BL5)</f>
        <v>98</v>
      </c>
      <c r="BO5" s="11"/>
      <c r="BP5" s="11">
        <f>SUM(BP6:BP36)</f>
        <v>0</v>
      </c>
      <c r="BQ5" s="11">
        <f>SUM(BQ6:BQ36)</f>
        <v>0</v>
      </c>
      <c r="BR5" s="11">
        <f>SUM(BR6:BR36)</f>
        <v>0</v>
      </c>
      <c r="BS5" s="11">
        <f>SUM(BS6:BS36)</f>
        <v>0</v>
      </c>
      <c r="BT5" s="11">
        <f>SUM(BP5,BR5)</f>
        <v>0</v>
      </c>
      <c r="BU5" s="11">
        <f>SUM(BQ5,BS5)</f>
        <v>0</v>
      </c>
      <c r="BV5" s="11"/>
      <c r="BW5" s="11">
        <f t="shared" ref="BW5:CH5" si="8">SUM(BW6:BW36)</f>
        <v>576</v>
      </c>
      <c r="BX5" s="11">
        <f t="shared" si="8"/>
        <v>12</v>
      </c>
      <c r="BY5" s="11">
        <f t="shared" si="8"/>
        <v>1494</v>
      </c>
      <c r="BZ5" s="11">
        <f t="shared" si="8"/>
        <v>25</v>
      </c>
      <c r="CA5" s="11">
        <f t="shared" si="8"/>
        <v>0</v>
      </c>
      <c r="CB5" s="11">
        <f t="shared" si="8"/>
        <v>0</v>
      </c>
      <c r="CC5" s="11">
        <f t="shared" si="8"/>
        <v>0</v>
      </c>
      <c r="CD5" s="11">
        <f t="shared" si="8"/>
        <v>0</v>
      </c>
      <c r="CE5" s="11">
        <f t="shared" si="8"/>
        <v>0</v>
      </c>
      <c r="CF5" s="11">
        <f t="shared" si="8"/>
        <v>0</v>
      </c>
      <c r="CG5" s="11">
        <f t="shared" si="8"/>
        <v>0</v>
      </c>
      <c r="CH5" s="11">
        <f t="shared" si="8"/>
        <v>0</v>
      </c>
      <c r="CI5" s="11">
        <f t="shared" ref="CI5:CJ36" si="9">SUM(BW5,BY5)</f>
        <v>2070</v>
      </c>
      <c r="CJ5" s="11">
        <f t="shared" si="9"/>
        <v>37</v>
      </c>
      <c r="CK5" s="11"/>
    </row>
    <row r="6" spans="1:89" x14ac:dyDescent="0.25">
      <c r="A6" s="13">
        <v>1</v>
      </c>
      <c r="B6" s="14">
        <f>IFERROR(VLOOKUP(IF(MOD(COLUMN(B6),2)=0,$A6&amp;"-"&amp;B$3,$A6&amp;"-"&amp;A$3),CoSo1[],B$38,0),"")</f>
        <v>667.5</v>
      </c>
      <c r="C6" s="14">
        <f>IFERROR(VLOOKUP(IF(MOD(COLUMN(C6),2)=0,$A6&amp;"-"&amp;C$3,$A6&amp;"-"&amp;B$3),CoSo1[],C$38,0),"")</f>
        <v>7</v>
      </c>
      <c r="D6" s="14">
        <f>IFERROR(VLOOKUP(IF(MOD(COLUMN(D6),2)=0,$A6&amp;"-"&amp;D$3,$A6&amp;"-"&amp;C$3),CoSo1[],D$38,0),"")</f>
        <v>859.5</v>
      </c>
      <c r="E6" s="14">
        <f>IFERROR(VLOOKUP(IF(MOD(COLUMN(E6),2)=0,$A6&amp;"-"&amp;E$3,$A6&amp;"-"&amp;D$3),CoSo1[],E$38,0),"")</f>
        <v>11</v>
      </c>
      <c r="F6" s="14">
        <f>IFERROR(VLOOKUP(IF(MOD(COLUMN(F6),2)=0,$A6&amp;"-"&amp;F$3,$A6&amp;"-"&amp;E$3),CoSo1[],F$38,0),"")</f>
        <v>0</v>
      </c>
      <c r="G6" s="14">
        <f>IFERROR(VLOOKUP(IF(MOD(COLUMN(G6),2)=0,$A6&amp;"-"&amp;G$3,$A6&amp;"-"&amp;F$3),CoSo1[],G$38,0),"")</f>
        <v>0</v>
      </c>
      <c r="H6" s="14">
        <f>IFERROR(VLOOKUP(IF(MOD(COLUMN(H6),2)=0,$A6&amp;"-"&amp;H$3,$A6&amp;"-"&amp;G$3),CoSo1[],H$38,0),"")</f>
        <v>0</v>
      </c>
      <c r="I6" s="14">
        <f>IFERROR(VLOOKUP(IF(MOD(COLUMN(I6),2)=0,$A6&amp;"-"&amp;I$3,$A6&amp;"-"&amp;H$3),CoSo1[],I$38,0),"")</f>
        <v>0</v>
      </c>
      <c r="J6" s="14">
        <f>IFERROR(VLOOKUP(IF(MOD(COLUMN(J6),2)=0,$A6&amp;"-"&amp;J$3,$A6&amp;"-"&amp;I$3),CoSo1[],J$38,0),"")</f>
        <v>0</v>
      </c>
      <c r="K6" s="14">
        <f>IFERROR(VLOOKUP(IF(MOD(COLUMN(K6),2)=0,$A6&amp;"-"&amp;K$3,$A6&amp;"-"&amp;J$3),CoSo1[],K$38,0),"")</f>
        <v>0</v>
      </c>
      <c r="L6" s="14">
        <f>IFERROR(VLOOKUP(IF(MOD(COLUMN(L6),2)=0,$A6&amp;"-"&amp;L$3,$A6&amp;"-"&amp;K$3),CoSo1[],L$38,0),"")</f>
        <v>0</v>
      </c>
      <c r="M6" s="14">
        <f>IFERROR(VLOOKUP(IF(MOD(COLUMN(M6),2)=0,$A6&amp;"-"&amp;M$3,$A6&amp;"-"&amp;L$3),CoSo1[],M$38,0),"")</f>
        <v>0</v>
      </c>
      <c r="N6" s="11">
        <f>SUM(B6,D6,F6,H6,J6,L6)</f>
        <v>1527</v>
      </c>
      <c r="O6" s="11">
        <f>SUM(C6,E6,G6,I6,K6,M6)</f>
        <v>18</v>
      </c>
      <c r="P6" s="14"/>
      <c r="Q6" s="14">
        <f>IFERROR(VLOOKUP(IF(MOD(COLUMN(Q6),2)=1,$A6&amp;"-"&amp;Q$3,$A6&amp;"-"&amp;AT$3),CoSo3[],DoanhThuThang!AU$38,0),"")</f>
        <v>76</v>
      </c>
      <c r="R6" s="14">
        <f>IFERROR(VLOOKUP(IF(MOD(COLUMN(R6),2)=1,$A6&amp;"-"&amp;R$3,$A6&amp;"-"&amp;Q$3),CoSo3[],DoanhThuThang!AV$38,0),"")</f>
        <v>1</v>
      </c>
      <c r="S6" s="14">
        <f>IFERROR(VLOOKUP(IF(MOD(COLUMN(S6),2)=1,$A6&amp;"-"&amp;S$3,$A6&amp;"-"&amp;R$3),CoSo3[],DoanhThuThang!AW$38,0),"")</f>
        <v>975</v>
      </c>
      <c r="T6" s="14">
        <f>IFERROR(VLOOKUP(IF(MOD(COLUMN(T6),2)=1,$A6&amp;"-"&amp;T$3,$A6&amp;"-"&amp;S$3),CoSo3[],DoanhThuThang!AX$38,0),"")</f>
        <v>9</v>
      </c>
      <c r="U6" s="11">
        <f t="shared" ref="U6:V36" si="10">SUM(Q6,S6)</f>
        <v>1051</v>
      </c>
      <c r="V6" s="11">
        <f t="shared" si="10"/>
        <v>10</v>
      </c>
      <c r="W6" s="14"/>
      <c r="X6" s="14">
        <f>IFERROR(VLOOKUP(IF(MOD(COLUMN(BI6),2)=1,$A6&amp;"-"&amp;BI$3,$A6&amp;"-"&amp;BH$3),CoSo4[],DoanhThuThang!BI$38,0),"")</f>
        <v>85</v>
      </c>
      <c r="Y6" s="14">
        <f>IFERROR(VLOOKUP(IF(MOD(COLUMN(BJ6),2)=1,$A6&amp;"-"&amp;BJ$3,$A6&amp;"-"&amp;BI$3),CoSo4[],DoanhThuThang!BJ$38,0),"")</f>
        <v>1</v>
      </c>
      <c r="Z6" s="14">
        <f>IFERROR(VLOOKUP(IF(MOD(COLUMN(BK6),2)=1,$A6&amp;"-"&amp;BK$3,$A6&amp;"-"&amp;BJ$3),CoSo4[],DoanhThuThang!BK$38,0),"")</f>
        <v>6</v>
      </c>
      <c r="AA6" s="14">
        <f>IFERROR(VLOOKUP(IF(MOD(COLUMN(BL6),2)=1,$A6&amp;"-"&amp;BL$3,$A6&amp;"-"&amp;BK$3),CoSo4[],DoanhThuThang!BL$38,0),"")</f>
        <v>1</v>
      </c>
      <c r="AB6" s="11">
        <f t="shared" si="1"/>
        <v>91</v>
      </c>
      <c r="AC6" s="11">
        <f t="shared" si="2"/>
        <v>2</v>
      </c>
      <c r="AD6" s="14"/>
      <c r="AF6" s="14">
        <f>IFERROR(VLOOKUP(IF(MOD(COLUMN(AF6),2)=0,$A6&amp;"-"&amp;AF$3,$A6&amp;"-"&amp;CK$3),CoSo1[],AF$38,0),"")</f>
        <v>0</v>
      </c>
      <c r="AG6" s="14">
        <f>IFERROR(VLOOKUP(IF(MOD(COLUMN(AG6),2)=0,$A6&amp;"-"&amp;AG$3,$A6&amp;"-"&amp;AF$3),CoSo1[],AG$38,0),"")</f>
        <v>0</v>
      </c>
      <c r="AH6" s="14">
        <f>IFERROR(VLOOKUP(IF(MOD(COLUMN(AH6),2)=0,$A6&amp;"-"&amp;AH$3,$A6&amp;"-"&amp;AG$3),CoSo1[],AH$38,0),"")</f>
        <v>0</v>
      </c>
      <c r="AI6" s="14">
        <f>IFERROR(VLOOKUP(IF(MOD(COLUMN(AI6),2)=0,$A6&amp;"-"&amp;AI$3,$A6&amp;"-"&amp;AH$3),CoSo1[],AI$38,0),"")</f>
        <v>0</v>
      </c>
      <c r="AJ6" s="14">
        <f>IFERROR(VLOOKUP(IF(MOD(COLUMN(AJ6),2)=0,$A6&amp;"-"&amp;AJ$3,$A6&amp;"-"&amp;AI$3),CoSo1[],AJ$38,0),"")</f>
        <v>0</v>
      </c>
      <c r="AK6" s="14">
        <f>IFERROR(VLOOKUP(IF(MOD(COLUMN(AK6),2)=0,$A6&amp;"-"&amp;AK$3,$A6&amp;"-"&amp;AJ$3),CoSo1[],AK$38,0),"")</f>
        <v>0</v>
      </c>
      <c r="AL6" s="14">
        <f>IFERROR(VLOOKUP(IF(MOD(COLUMN(AL6),2)=0,$A6&amp;"-"&amp;AL$3,$A6&amp;"-"&amp;AK$3),CoSo1[],AL$38,0),"")</f>
        <v>0</v>
      </c>
      <c r="AM6" s="14">
        <f>IFERROR(VLOOKUP(IF(MOD(COLUMN(AM6),2)=0,$A6&amp;"-"&amp;AM$3,$A6&amp;"-"&amp;AL$3),CoSo1[],AM$38,0),"")</f>
        <v>0</v>
      </c>
      <c r="AN6" s="14">
        <f>IFERROR(VLOOKUP(IF(MOD(COLUMN(AN6),2)=0,$A6&amp;"-"&amp;AN$3,$A6&amp;"-"&amp;AM$3),CoSo1[],AN$38,0),"")</f>
        <v>0</v>
      </c>
      <c r="AO6" s="14">
        <f>IFERROR(VLOOKUP(IF(MOD(COLUMN(AO6),2)=0,$A6&amp;"-"&amp;AO$3,$A6&amp;"-"&amp;AN$3),CoSo1[],AO$38,0),"")</f>
        <v>0</v>
      </c>
      <c r="AP6" s="14">
        <f>IFERROR(VLOOKUP(IF(MOD(COLUMN(AP6),2)=0,$A6&amp;"-"&amp;AP$3,$A6&amp;"-"&amp;AO$3),CoSo1[],AP$38,0),"")</f>
        <v>0</v>
      </c>
      <c r="AQ6" s="14">
        <f>IFERROR(VLOOKUP(IF(MOD(COLUMN(AQ6),2)=0,$A6&amp;"-"&amp;AQ$3,$A6&amp;"-"&amp;AP$3),CoSo1[],AQ$38,0),"")</f>
        <v>0</v>
      </c>
      <c r="AR6" s="11">
        <f t="shared" si="4"/>
        <v>0</v>
      </c>
      <c r="AS6" s="11">
        <f t="shared" si="4"/>
        <v>0</v>
      </c>
      <c r="AT6" s="14"/>
      <c r="BB6" s="14">
        <f>IFERROR(VLOOKUP(IF(MOD(COLUMN(BB6),2)=0,$A6&amp;"-"&amp;BB$3,$A6&amp;"-"&amp;W$3),CoSo3[],DoanhThuThang!BB$38,0),"")</f>
        <v>0</v>
      </c>
      <c r="BC6" s="14">
        <f>IFERROR(VLOOKUP(IF(MOD(COLUMN(BC6),2)=0,$A6&amp;"-"&amp;BC$3,$A6&amp;"-"&amp;BB$3),CoSo3[],DoanhThuThang!BC$38,0),"")</f>
        <v>0</v>
      </c>
      <c r="BD6" s="14">
        <f>IFERROR(VLOOKUP(IF(MOD(COLUMN(BD6),2)=0,$A6&amp;"-"&amp;BD$3,$A6&amp;"-"&amp;BC$3),CoSo3[],DoanhThuThang!BD$38,0),"")</f>
        <v>0</v>
      </c>
      <c r="BE6" s="14">
        <f>IFERROR(VLOOKUP(IF(MOD(COLUMN(BE6),2)=0,$A6&amp;"-"&amp;BE$3,$A6&amp;"-"&amp;BD$3),CoSo3[],DoanhThuThang!BE$38,0),"")</f>
        <v>0</v>
      </c>
      <c r="BF6" s="11">
        <f t="shared" ref="BF6:BG36" si="11">SUM(BB6,BD6)</f>
        <v>0</v>
      </c>
      <c r="BG6" s="11">
        <f t="shared" si="11"/>
        <v>0</v>
      </c>
      <c r="BH6" s="14"/>
      <c r="BI6" s="14">
        <f>IFERROR(VLOOKUP(IF(MOD(COLUMN(BI6),2)=1,$A6&amp;"-"&amp;BI$3,$A6&amp;"-"&amp;BH$3),CoSo4[],DoanhThuThang!BI$38,0),"")</f>
        <v>85</v>
      </c>
      <c r="BJ6" s="14">
        <f>IFERROR(VLOOKUP(IF(MOD(COLUMN(BJ6),2)=1,$A6&amp;"-"&amp;BJ$3,$A6&amp;"-"&amp;BI$3),CoSo4[],DoanhThuThang!BJ$38,0),"")</f>
        <v>1</v>
      </c>
      <c r="BK6" s="14">
        <f>IFERROR(VLOOKUP(IF(MOD(COLUMN(BK6),2)=1,$A6&amp;"-"&amp;BK$3,$A6&amp;"-"&amp;BJ$3),CoSo4[],DoanhThuThang!BK$38,0),"")</f>
        <v>6</v>
      </c>
      <c r="BL6" s="14">
        <f>IFERROR(VLOOKUP(IF(MOD(COLUMN(BL6),2)=1,$A6&amp;"-"&amp;BL$3,$A6&amp;"-"&amp;BK$3),CoSo4[],DoanhThuThang!BL$38,0),"")</f>
        <v>1</v>
      </c>
      <c r="BM6" s="11">
        <f t="shared" si="6"/>
        <v>91</v>
      </c>
      <c r="BN6" s="11">
        <f t="shared" si="7"/>
        <v>2</v>
      </c>
      <c r="BO6" s="14"/>
      <c r="BP6" s="14">
        <f>IFERROR(VLOOKUP(IF(MOD(COLUMN(BP6),2)=0,$A6&amp;"-"&amp;BP$3,$A6&amp;"-"&amp;BO$3),CoSo4[],DoanhThuThang!BP$38,0),"")</f>
        <v>0</v>
      </c>
      <c r="BQ6" s="14">
        <f>IFERROR(VLOOKUP(IF(MOD(COLUMN(BQ6),2)=0,$A6&amp;"-"&amp;BQ$3,$A6&amp;"-"&amp;BP$3),CoSo4[],DoanhThuThang!BQ$38,0),"")</f>
        <v>0</v>
      </c>
      <c r="BR6" s="14">
        <f>IFERROR(VLOOKUP(IF(MOD(COLUMN(BR6),2)=0,$A6&amp;"-"&amp;BR$3,$A6&amp;"-"&amp;BQ$3),CoSo4[],DoanhThuThang!BR$38,0),"")</f>
        <v>0</v>
      </c>
      <c r="BS6" s="14">
        <f>IFERROR(VLOOKUP(IF(MOD(COLUMN(BS6),2)=0,$A6&amp;"-"&amp;BS$3,$A6&amp;"-"&amp;BR$3),CoSo4[],DoanhThuThang!BS$38,0),"")</f>
        <v>0</v>
      </c>
      <c r="BT6" s="11">
        <f t="shared" ref="BT6:BU36" si="12">SUM(BP6,BR6)</f>
        <v>0</v>
      </c>
      <c r="BU6" s="11">
        <f t="shared" si="12"/>
        <v>0</v>
      </c>
      <c r="BV6" s="14"/>
      <c r="BW6" s="14">
        <f>IFERROR(VLOOKUP(IF(MOD(COLUMN(BW6),2)=1,$A6&amp;"-"&amp;BW$3,$A6&amp;"-"&amp;P$3),CoSo1[],BW$38,0),"")</f>
        <v>129</v>
      </c>
      <c r="BX6" s="14">
        <f>IFERROR(VLOOKUP(IF(MOD(COLUMN(BX6),2)=1,$A6&amp;"-"&amp;BX$3,$A6&amp;"-"&amp;BW$3),CoSo1[],BX$38,0),"")</f>
        <v>3</v>
      </c>
      <c r="BY6" s="14">
        <f>IFERROR(VLOOKUP(IF(MOD(COLUMN(BY6),2)=1,$A6&amp;"-"&amp;BY$3,$A6&amp;"-"&amp;BX$3),CoSo1[],BY$38,0),"")</f>
        <v>0</v>
      </c>
      <c r="BZ6" s="14">
        <f>IFERROR(VLOOKUP(IF(MOD(COLUMN(BZ6),2)=1,$A6&amp;"-"&amp;BZ$3,$A6&amp;"-"&amp;BY$3),CoSo1[],BZ$38,0),"")</f>
        <v>0</v>
      </c>
      <c r="CA6" s="14">
        <f>IFERROR(VLOOKUP(IF(MOD(COLUMN(CA6),2)=1,$A6&amp;"-"&amp;CA$3,$A6&amp;"-"&amp;BZ$3),CoSo1[],CA$38,0),"")</f>
        <v>0</v>
      </c>
      <c r="CB6" s="14">
        <f>IFERROR(VLOOKUP(IF(MOD(COLUMN(CB6),2)=1,$A6&amp;"-"&amp;CB$3,$A6&amp;"-"&amp;CA$3),CoSo1[],CB$38,0),"")</f>
        <v>0</v>
      </c>
      <c r="CC6" s="14">
        <f>IFERROR(VLOOKUP(IF(MOD(COLUMN(CC6),2)=1,$A6&amp;"-"&amp;CC$3,$A6&amp;"-"&amp;CB$3),CoSo1[],CC$38,0),"")</f>
        <v>0</v>
      </c>
      <c r="CD6" s="14">
        <f>IFERROR(VLOOKUP(IF(MOD(COLUMN(CD6),2)=1,$A6&amp;"-"&amp;CD$3,$A6&amp;"-"&amp;CC$3),CoSo1[],CD$38,0),"")</f>
        <v>0</v>
      </c>
      <c r="CE6" s="14">
        <f>IFERROR(VLOOKUP(IF(MOD(COLUMN(CE6),2)=1,$A6&amp;"-"&amp;CE$3,$A6&amp;"-"&amp;CD$3),CoSo1[],CE$38,0),"")</f>
        <v>0</v>
      </c>
      <c r="CF6" s="14">
        <f>IFERROR(VLOOKUP(IF(MOD(COLUMN(CF6),2)=1,$A6&amp;"-"&amp;CF$3,$A6&amp;"-"&amp;CE$3),CoSo1[],CF$38,0),"")</f>
        <v>0</v>
      </c>
      <c r="CG6" s="14">
        <f>IFERROR(VLOOKUP(IF(MOD(COLUMN(CG6),2)=1,$A6&amp;"-"&amp;CG$3,$A6&amp;"-"&amp;CF$3),CoSo1[],CG$38,0),"")</f>
        <v>0</v>
      </c>
      <c r="CH6" s="14">
        <f>IFERROR(VLOOKUP(IF(MOD(COLUMN(CH6),2)=1,$A6&amp;"-"&amp;CH$3,$A6&amp;"-"&amp;CG$3),CoSo1[],CH$38,0),"")</f>
        <v>0</v>
      </c>
      <c r="CI6" s="11">
        <f t="shared" si="9"/>
        <v>129</v>
      </c>
      <c r="CJ6" s="11">
        <f t="shared" si="9"/>
        <v>3</v>
      </c>
      <c r="CK6" s="14"/>
    </row>
    <row r="7" spans="1:89" x14ac:dyDescent="0.25">
      <c r="A7" s="13">
        <v>2</v>
      </c>
      <c r="B7" s="14">
        <f>IFERROR(VLOOKUP(IF(MOD(COLUMN(B7),2)=0,$A7&amp;"-"&amp;B$3,$A7&amp;"-"&amp;A$3),CoSo1[],B$38,0),"")</f>
        <v>529</v>
      </c>
      <c r="C7" s="14">
        <f>IFERROR(VLOOKUP(IF(MOD(COLUMN(C7),2)=0,$A7&amp;"-"&amp;C$3,$A7&amp;"-"&amp;B$3),CoSo1[],C$38,0),"")</f>
        <v>4</v>
      </c>
      <c r="D7" s="14">
        <f>IFERROR(VLOOKUP(IF(MOD(COLUMN(D7),2)=0,$A7&amp;"-"&amp;D$3,$A7&amp;"-"&amp;C$3),CoSo1[],D$38,0),"")</f>
        <v>551</v>
      </c>
      <c r="E7" s="14">
        <f>IFERROR(VLOOKUP(IF(MOD(COLUMN(E7),2)=0,$A7&amp;"-"&amp;E$3,$A7&amp;"-"&amp;D$3),CoSo1[],E$38,0),"")</f>
        <v>7</v>
      </c>
      <c r="F7" s="14">
        <f>IFERROR(VLOOKUP(IF(MOD(COLUMN(F7),2)=0,$A7&amp;"-"&amp;F$3,$A7&amp;"-"&amp;E$3),CoSo1[],F$38,0),"")</f>
        <v>0</v>
      </c>
      <c r="G7" s="14">
        <f>IFERROR(VLOOKUP(IF(MOD(COLUMN(G7),2)=0,$A7&amp;"-"&amp;G$3,$A7&amp;"-"&amp;F$3),CoSo1[],G$38,0),"")</f>
        <v>0</v>
      </c>
      <c r="H7" s="14">
        <f>IFERROR(VLOOKUP(IF(MOD(COLUMN(H7),2)=0,$A7&amp;"-"&amp;H$3,$A7&amp;"-"&amp;G$3),CoSo1[],H$38,0),"")</f>
        <v>580</v>
      </c>
      <c r="I7" s="14">
        <f>IFERROR(VLOOKUP(IF(MOD(COLUMN(I7),2)=0,$A7&amp;"-"&amp;I$3,$A7&amp;"-"&amp;H$3),CoSo1[],I$38,0),"")</f>
        <v>1</v>
      </c>
      <c r="J7" s="14">
        <f>IFERROR(VLOOKUP(IF(MOD(COLUMN(J7),2)=0,$A7&amp;"-"&amp;J$3,$A7&amp;"-"&amp;I$3),CoSo1[],J$38,0),"")</f>
        <v>0</v>
      </c>
      <c r="K7" s="14">
        <f>IFERROR(VLOOKUP(IF(MOD(COLUMN(K7),2)=0,$A7&amp;"-"&amp;K$3,$A7&amp;"-"&amp;J$3),CoSo1[],K$38,0),"")</f>
        <v>0</v>
      </c>
      <c r="L7" s="14">
        <f>IFERROR(VLOOKUP(IF(MOD(COLUMN(L7),2)=0,$A7&amp;"-"&amp;L$3,$A7&amp;"-"&amp;K$3),CoSo1[],L$38,0),"")</f>
        <v>641</v>
      </c>
      <c r="M7" s="14">
        <f>IFERROR(VLOOKUP(IF(MOD(COLUMN(M7),2)=0,$A7&amp;"-"&amp;M$3,$A7&amp;"-"&amp;L$3),CoSo1[],M$38,0),"")</f>
        <v>4</v>
      </c>
      <c r="N7" s="11">
        <f t="shared" ref="N7:N36" si="13">SUM(B7,D7,F7,H7,J7,L7)</f>
        <v>2301</v>
      </c>
      <c r="O7" s="11">
        <f t="shared" ref="O7:O36" si="14">SUM(C7,E7,G7,I7,K7,M7)</f>
        <v>16</v>
      </c>
      <c r="P7" s="14"/>
      <c r="Q7" s="14">
        <f>IFERROR(VLOOKUP(IF(MOD(COLUMN(Q7),2)=1,$A7&amp;"-"&amp;Q$3,$A7&amp;"-"&amp;AT$3),CoSo3[],DoanhThuThang!AU$38,0),"")</f>
        <v>580</v>
      </c>
      <c r="R7" s="14">
        <f>IFERROR(VLOOKUP(IF(MOD(COLUMN(R7),2)=1,$A7&amp;"-"&amp;R$3,$A7&amp;"-"&amp;Q$3),CoSo3[],DoanhThuThang!AV$38,0),"")</f>
        <v>5</v>
      </c>
      <c r="S7" s="14">
        <f>IFERROR(VLOOKUP(IF(MOD(COLUMN(S7),2)=1,$A7&amp;"-"&amp;S$3,$A7&amp;"-"&amp;R$3),CoSo3[],DoanhThuThang!AW$38,0),"")</f>
        <v>576</v>
      </c>
      <c r="T7" s="14">
        <f>IFERROR(VLOOKUP(IF(MOD(COLUMN(T7),2)=1,$A7&amp;"-"&amp;T$3,$A7&amp;"-"&amp;S$3),CoSo3[],DoanhThuThang!AX$38,0),"")</f>
        <v>5</v>
      </c>
      <c r="U7" s="11">
        <f t="shared" si="10"/>
        <v>1156</v>
      </c>
      <c r="V7" s="11">
        <f t="shared" si="10"/>
        <v>10</v>
      </c>
      <c r="W7" s="14"/>
      <c r="X7" s="14">
        <f>IFERROR(VLOOKUP(IF(MOD(COLUMN(BI7),2)=1,$A7&amp;"-"&amp;BI$3,$A7&amp;"-"&amp;BH$3),CoSo4[],DoanhThuThang!BI$38,0),"")</f>
        <v>7</v>
      </c>
      <c r="Y7" s="14">
        <f>IFERROR(VLOOKUP(IF(MOD(COLUMN(BJ7),2)=1,$A7&amp;"-"&amp;BJ$3,$A7&amp;"-"&amp;BI$3),CoSo4[],DoanhThuThang!BJ$38,0),"")</f>
        <v>1</v>
      </c>
      <c r="Z7" s="14">
        <f>IFERROR(VLOOKUP(IF(MOD(COLUMN(BK7),2)=1,$A7&amp;"-"&amp;BK$3,$A7&amp;"-"&amp;BJ$3),CoSo4[],DoanhThuThang!BK$38,0),"")</f>
        <v>607</v>
      </c>
      <c r="AA7" s="14">
        <f>IFERROR(VLOOKUP(IF(MOD(COLUMN(BL7),2)=1,$A7&amp;"-"&amp;BL$3,$A7&amp;"-"&amp;BK$3),CoSo4[],DoanhThuThang!BL$38,0),"")</f>
        <v>10</v>
      </c>
      <c r="AB7" s="11">
        <f t="shared" si="1"/>
        <v>614</v>
      </c>
      <c r="AC7" s="11">
        <f t="shared" si="2"/>
        <v>11</v>
      </c>
      <c r="AD7" s="14"/>
      <c r="AF7" s="14">
        <f>IFERROR(VLOOKUP(IF(MOD(COLUMN(AF7),2)=0,$A7&amp;"-"&amp;AF$3,$A7&amp;"-"&amp;CK$3),CoSo1[],AF$38,0),"")</f>
        <v>0</v>
      </c>
      <c r="AG7" s="14">
        <f>IFERROR(VLOOKUP(IF(MOD(COLUMN(AG7),2)=0,$A7&amp;"-"&amp;AG$3,$A7&amp;"-"&amp;AF$3),CoSo1[],AG$38,0),"")</f>
        <v>0</v>
      </c>
      <c r="AH7" s="14">
        <f>IFERROR(VLOOKUP(IF(MOD(COLUMN(AH7),2)=0,$A7&amp;"-"&amp;AH$3,$A7&amp;"-"&amp;AG$3),CoSo1[],AH$38,0),"")</f>
        <v>0</v>
      </c>
      <c r="AI7" s="14">
        <f>IFERROR(VLOOKUP(IF(MOD(COLUMN(AI7),2)=0,$A7&amp;"-"&amp;AI$3,$A7&amp;"-"&amp;AH$3),CoSo1[],AI$38,0),"")</f>
        <v>0</v>
      </c>
      <c r="AJ7" s="14">
        <f>IFERROR(VLOOKUP(IF(MOD(COLUMN(AJ7),2)=0,$A7&amp;"-"&amp;AJ$3,$A7&amp;"-"&amp;AI$3),CoSo1[],AJ$38,0),"")</f>
        <v>0</v>
      </c>
      <c r="AK7" s="14">
        <f>IFERROR(VLOOKUP(IF(MOD(COLUMN(AK7),2)=0,$A7&amp;"-"&amp;AK$3,$A7&amp;"-"&amp;AJ$3),CoSo1[],AK$38,0),"")</f>
        <v>0</v>
      </c>
      <c r="AL7" s="14">
        <f>IFERROR(VLOOKUP(IF(MOD(COLUMN(AL7),2)=0,$A7&amp;"-"&amp;AL$3,$A7&amp;"-"&amp;AK$3),CoSo1[],AL$38,0),"")</f>
        <v>0</v>
      </c>
      <c r="AM7" s="14">
        <f>IFERROR(VLOOKUP(IF(MOD(COLUMN(AM7),2)=0,$A7&amp;"-"&amp;AM$3,$A7&amp;"-"&amp;AL$3),CoSo1[],AM$38,0),"")</f>
        <v>0</v>
      </c>
      <c r="AN7" s="14">
        <f>IFERROR(VLOOKUP(IF(MOD(COLUMN(AN7),2)=0,$A7&amp;"-"&amp;AN$3,$A7&amp;"-"&amp;AM$3),CoSo1[],AN$38,0),"")</f>
        <v>0</v>
      </c>
      <c r="AO7" s="14">
        <f>IFERROR(VLOOKUP(IF(MOD(COLUMN(AO7),2)=0,$A7&amp;"-"&amp;AO$3,$A7&amp;"-"&amp;AN$3),CoSo1[],AO$38,0),"")</f>
        <v>0</v>
      </c>
      <c r="AP7" s="14">
        <f>IFERROR(VLOOKUP(IF(MOD(COLUMN(AP7),2)=0,$A7&amp;"-"&amp;AP$3,$A7&amp;"-"&amp;AO$3),CoSo1[],AP$38,0),"")</f>
        <v>0</v>
      </c>
      <c r="AQ7" s="14">
        <f>IFERROR(VLOOKUP(IF(MOD(COLUMN(AQ7),2)=0,$A7&amp;"-"&amp;AQ$3,$A7&amp;"-"&amp;AP$3),CoSo1[],AQ$38,0),"")</f>
        <v>0</v>
      </c>
      <c r="AR7" s="11">
        <f t="shared" si="4"/>
        <v>0</v>
      </c>
      <c r="AS7" s="11">
        <f t="shared" si="4"/>
        <v>0</v>
      </c>
      <c r="AT7" s="14"/>
      <c r="BB7" s="14">
        <f>IFERROR(VLOOKUP(IF(MOD(COLUMN(BB7),2)=0,$A7&amp;"-"&amp;BB$3,$A7&amp;"-"&amp;W$3),CoSo3[],DoanhThuThang!BB$38,0),"")</f>
        <v>0</v>
      </c>
      <c r="BC7" s="14">
        <f>IFERROR(VLOOKUP(IF(MOD(COLUMN(BC7),2)=0,$A7&amp;"-"&amp;BC$3,$A7&amp;"-"&amp;BB$3),CoSo3[],DoanhThuThang!BC$38,0),"")</f>
        <v>0</v>
      </c>
      <c r="BD7" s="14">
        <f>IFERROR(VLOOKUP(IF(MOD(COLUMN(BD7),2)=0,$A7&amp;"-"&amp;BD$3,$A7&amp;"-"&amp;BC$3),CoSo3[],DoanhThuThang!BD$38,0),"")</f>
        <v>0</v>
      </c>
      <c r="BE7" s="14">
        <f>IFERROR(VLOOKUP(IF(MOD(COLUMN(BE7),2)=0,$A7&amp;"-"&amp;BE$3,$A7&amp;"-"&amp;BD$3),CoSo3[],DoanhThuThang!BE$38,0),"")</f>
        <v>0</v>
      </c>
      <c r="BF7" s="11">
        <f t="shared" si="11"/>
        <v>0</v>
      </c>
      <c r="BG7" s="11">
        <f t="shared" si="11"/>
        <v>0</v>
      </c>
      <c r="BH7" s="14"/>
      <c r="BI7" s="14">
        <f>IFERROR(VLOOKUP(IF(MOD(COLUMN(BI7),2)=1,$A7&amp;"-"&amp;BI$3,$A7&amp;"-"&amp;BH$3),CoSo4[],DoanhThuThang!BI$38,0),"")</f>
        <v>7</v>
      </c>
      <c r="BJ7" s="14">
        <f>IFERROR(VLOOKUP(IF(MOD(COLUMN(BJ7),2)=1,$A7&amp;"-"&amp;BJ$3,$A7&amp;"-"&amp;BI$3),CoSo4[],DoanhThuThang!BJ$38,0),"")</f>
        <v>1</v>
      </c>
      <c r="BK7" s="14">
        <f>IFERROR(VLOOKUP(IF(MOD(COLUMN(BK7),2)=1,$A7&amp;"-"&amp;BK$3,$A7&amp;"-"&amp;BJ$3),CoSo4[],DoanhThuThang!BK$38,0),"")</f>
        <v>607</v>
      </c>
      <c r="BL7" s="14">
        <f>IFERROR(VLOOKUP(IF(MOD(COLUMN(BL7),2)=1,$A7&amp;"-"&amp;BL$3,$A7&amp;"-"&amp;BK$3),CoSo4[],DoanhThuThang!BL$38,0),"")</f>
        <v>10</v>
      </c>
      <c r="BM7" s="11">
        <f t="shared" si="6"/>
        <v>614</v>
      </c>
      <c r="BN7" s="11">
        <f t="shared" si="7"/>
        <v>11</v>
      </c>
      <c r="BO7" s="14"/>
      <c r="BP7" s="14">
        <f>IFERROR(VLOOKUP(IF(MOD(COLUMN(BP7),2)=0,$A7&amp;"-"&amp;BP$3,$A7&amp;"-"&amp;BO$3),CoSo4[],DoanhThuThang!BP$38,0),"")</f>
        <v>0</v>
      </c>
      <c r="BQ7" s="14">
        <f>IFERROR(VLOOKUP(IF(MOD(COLUMN(BQ7),2)=0,$A7&amp;"-"&amp;BQ$3,$A7&amp;"-"&amp;BP$3),CoSo4[],DoanhThuThang!BQ$38,0),"")</f>
        <v>0</v>
      </c>
      <c r="BR7" s="14">
        <f>IFERROR(VLOOKUP(IF(MOD(COLUMN(BR7),2)=0,$A7&amp;"-"&amp;BR$3,$A7&amp;"-"&amp;BQ$3),CoSo4[],DoanhThuThang!BR$38,0),"")</f>
        <v>0</v>
      </c>
      <c r="BS7" s="14">
        <f>IFERROR(VLOOKUP(IF(MOD(COLUMN(BS7),2)=0,$A7&amp;"-"&amp;BS$3,$A7&amp;"-"&amp;BR$3),CoSo4[],DoanhThuThang!BS$38,0),"")</f>
        <v>0</v>
      </c>
      <c r="BT7" s="11">
        <f t="shared" si="12"/>
        <v>0</v>
      </c>
      <c r="BU7" s="11">
        <f t="shared" si="12"/>
        <v>0</v>
      </c>
      <c r="BV7" s="14"/>
      <c r="BW7" s="14">
        <f>IFERROR(VLOOKUP(IF(MOD(COLUMN(BW7),2)=1,$A7&amp;"-"&amp;BW$3,$A7&amp;"-"&amp;P$3),CoSo1[],BW$38,0),"")</f>
        <v>0</v>
      </c>
      <c r="BX7" s="14">
        <f>IFERROR(VLOOKUP(IF(MOD(COLUMN(BX7),2)=1,$A7&amp;"-"&amp;BX$3,$A7&amp;"-"&amp;BW$3),CoSo1[],BX$38,0),"")</f>
        <v>0</v>
      </c>
      <c r="BY7" s="14">
        <f>IFERROR(VLOOKUP(IF(MOD(COLUMN(BY7),2)=1,$A7&amp;"-"&amp;BY$3,$A7&amp;"-"&amp;BX$3),CoSo1[],BY$38,0),"")</f>
        <v>0</v>
      </c>
      <c r="BZ7" s="14">
        <f>IFERROR(VLOOKUP(IF(MOD(COLUMN(BZ7),2)=1,$A7&amp;"-"&amp;BZ$3,$A7&amp;"-"&amp;BY$3),CoSo1[],BZ$38,0),"")</f>
        <v>0</v>
      </c>
      <c r="CA7" s="14">
        <f>IFERROR(VLOOKUP(IF(MOD(COLUMN(CA7),2)=1,$A7&amp;"-"&amp;CA$3,$A7&amp;"-"&amp;BZ$3),CoSo1[],CA$38,0),"")</f>
        <v>0</v>
      </c>
      <c r="CB7" s="14">
        <f>IFERROR(VLOOKUP(IF(MOD(COLUMN(CB7),2)=1,$A7&amp;"-"&amp;CB$3,$A7&amp;"-"&amp;CA$3),CoSo1[],CB$38,0),"")</f>
        <v>0</v>
      </c>
      <c r="CC7" s="14">
        <f>IFERROR(VLOOKUP(IF(MOD(COLUMN(CC7),2)=1,$A7&amp;"-"&amp;CC$3,$A7&amp;"-"&amp;CB$3),CoSo1[],CC$38,0),"")</f>
        <v>0</v>
      </c>
      <c r="CD7" s="14">
        <f>IFERROR(VLOOKUP(IF(MOD(COLUMN(CD7),2)=1,$A7&amp;"-"&amp;CD$3,$A7&amp;"-"&amp;CC$3),CoSo1[],CD$38,0),"")</f>
        <v>0</v>
      </c>
      <c r="CE7" s="14">
        <f>IFERROR(VLOOKUP(IF(MOD(COLUMN(CE7),2)=1,$A7&amp;"-"&amp;CE$3,$A7&amp;"-"&amp;CD$3),CoSo1[],CE$38,0),"")</f>
        <v>0</v>
      </c>
      <c r="CF7" s="14">
        <f>IFERROR(VLOOKUP(IF(MOD(COLUMN(CF7),2)=1,$A7&amp;"-"&amp;CF$3,$A7&amp;"-"&amp;CE$3),CoSo1[],CF$38,0),"")</f>
        <v>0</v>
      </c>
      <c r="CG7" s="14">
        <f>IFERROR(VLOOKUP(IF(MOD(COLUMN(CG7),2)=1,$A7&amp;"-"&amp;CG$3,$A7&amp;"-"&amp;CF$3),CoSo1[],CG$38,0),"")</f>
        <v>0</v>
      </c>
      <c r="CH7" s="14">
        <f>IFERROR(VLOOKUP(IF(MOD(COLUMN(CH7),2)=1,$A7&amp;"-"&amp;CH$3,$A7&amp;"-"&amp;CG$3),CoSo1[],CH$38,0),"")</f>
        <v>0</v>
      </c>
      <c r="CI7" s="11">
        <f t="shared" si="9"/>
        <v>0</v>
      </c>
      <c r="CJ7" s="11">
        <f t="shared" si="9"/>
        <v>0</v>
      </c>
      <c r="CK7" s="14"/>
    </row>
    <row r="8" spans="1:89" x14ac:dyDescent="0.25">
      <c r="A8" s="13">
        <v>3</v>
      </c>
      <c r="B8" s="14">
        <f>IFERROR(VLOOKUP(IF(MOD(COLUMN(B8),2)=0,$A8&amp;"-"&amp;B$3,$A8&amp;"-"&amp;A$3),CoSo1[],B$38,0),"")</f>
        <v>296</v>
      </c>
      <c r="C8" s="14">
        <f>IFERROR(VLOOKUP(IF(MOD(COLUMN(C8),2)=0,$A8&amp;"-"&amp;C$3,$A8&amp;"-"&amp;B$3),CoSo1[],C$38,0),"")</f>
        <v>5</v>
      </c>
      <c r="D8" s="14">
        <f>IFERROR(VLOOKUP(IF(MOD(COLUMN(D8),2)=0,$A8&amp;"-"&amp;D$3,$A8&amp;"-"&amp;C$3),CoSo1[],D$38,0),"")</f>
        <v>644</v>
      </c>
      <c r="E8" s="14">
        <f>IFERROR(VLOOKUP(IF(MOD(COLUMN(E8),2)=0,$A8&amp;"-"&amp;E$3,$A8&amp;"-"&amp;D$3),CoSo1[],E$38,0),"")</f>
        <v>6</v>
      </c>
      <c r="F8" s="14">
        <f>IFERROR(VLOOKUP(IF(MOD(COLUMN(F8),2)=0,$A8&amp;"-"&amp;F$3,$A8&amp;"-"&amp;E$3),CoSo1[],F$38,0),"")</f>
        <v>0</v>
      </c>
      <c r="G8" s="14">
        <f>IFERROR(VLOOKUP(IF(MOD(COLUMN(G8),2)=0,$A8&amp;"-"&amp;G$3,$A8&amp;"-"&amp;F$3),CoSo1[],G$38,0),"")</f>
        <v>0</v>
      </c>
      <c r="H8" s="14">
        <f>IFERROR(VLOOKUP(IF(MOD(COLUMN(H8),2)=0,$A8&amp;"-"&amp;H$3,$A8&amp;"-"&amp;G$3),CoSo1[],H$38,0),"")</f>
        <v>210</v>
      </c>
      <c r="I8" s="14">
        <f>IFERROR(VLOOKUP(IF(MOD(COLUMN(I8),2)=0,$A8&amp;"-"&amp;I$3,$A8&amp;"-"&amp;H$3),CoSo1[],I$38,0),"")</f>
        <v>2</v>
      </c>
      <c r="J8" s="14">
        <f>IFERROR(VLOOKUP(IF(MOD(COLUMN(J8),2)=0,$A8&amp;"-"&amp;J$3,$A8&amp;"-"&amp;I$3),CoSo1[],J$38,0),"")</f>
        <v>0</v>
      </c>
      <c r="K8" s="14">
        <f>IFERROR(VLOOKUP(IF(MOD(COLUMN(K8),2)=0,$A8&amp;"-"&amp;K$3,$A8&amp;"-"&amp;J$3),CoSo1[],K$38,0),"")</f>
        <v>0</v>
      </c>
      <c r="L8" s="14">
        <f>IFERROR(VLOOKUP(IF(MOD(COLUMN(L8),2)=0,$A8&amp;"-"&amp;L$3,$A8&amp;"-"&amp;K$3),CoSo1[],L$38,0),"")</f>
        <v>0</v>
      </c>
      <c r="M8" s="14">
        <f>IFERROR(VLOOKUP(IF(MOD(COLUMN(M8),2)=0,$A8&amp;"-"&amp;M$3,$A8&amp;"-"&amp;L$3),CoSo1[],M$38,0),"")</f>
        <v>0</v>
      </c>
      <c r="N8" s="11">
        <f t="shared" si="13"/>
        <v>1150</v>
      </c>
      <c r="O8" s="11">
        <f t="shared" si="14"/>
        <v>13</v>
      </c>
      <c r="P8" s="14"/>
      <c r="Q8" s="14">
        <f>IFERROR(VLOOKUP(IF(MOD(COLUMN(Q8),2)=1,$A8&amp;"-"&amp;Q$3,$A8&amp;"-"&amp;AT$3),CoSo3[],DoanhThuThang!AU$38,0),"")</f>
        <v>173</v>
      </c>
      <c r="R8" s="14">
        <f>IFERROR(VLOOKUP(IF(MOD(COLUMN(R8),2)=1,$A8&amp;"-"&amp;R$3,$A8&amp;"-"&amp;Q$3),CoSo3[],DoanhThuThang!AV$38,0),"")</f>
        <v>3</v>
      </c>
      <c r="S8" s="14">
        <f>IFERROR(VLOOKUP(IF(MOD(COLUMN(S8),2)=1,$A8&amp;"-"&amp;S$3,$A8&amp;"-"&amp;R$3),CoSo3[],DoanhThuThang!AW$38,0),"")</f>
        <v>383</v>
      </c>
      <c r="T8" s="14">
        <f>IFERROR(VLOOKUP(IF(MOD(COLUMN(T8),2)=1,$A8&amp;"-"&amp;T$3,$A8&amp;"-"&amp;S$3),CoSo3[],DoanhThuThang!AX$38,0),"")</f>
        <v>5</v>
      </c>
      <c r="U8" s="11">
        <f t="shared" si="10"/>
        <v>556</v>
      </c>
      <c r="V8" s="11">
        <f t="shared" si="10"/>
        <v>8</v>
      </c>
      <c r="W8" s="14"/>
      <c r="X8" s="14">
        <f>IFERROR(VLOOKUP(IF(MOD(COLUMN(BI8),2)=1,$A8&amp;"-"&amp;BI$3,$A8&amp;"-"&amp;BH$3),CoSo4[],DoanhThuThang!BI$38,0),"")</f>
        <v>82</v>
      </c>
      <c r="Y8" s="14">
        <f>IFERROR(VLOOKUP(IF(MOD(COLUMN(BJ8),2)=1,$A8&amp;"-"&amp;BJ$3,$A8&amp;"-"&amp;BI$3),CoSo4[],DoanhThuThang!BJ$38,0),"")</f>
        <v>1</v>
      </c>
      <c r="Z8" s="14">
        <f>IFERROR(VLOOKUP(IF(MOD(COLUMN(BK8),2)=1,$A8&amp;"-"&amp;BK$3,$A8&amp;"-"&amp;BJ$3),CoSo4[],DoanhThuThang!BK$38,0),"")</f>
        <v>87</v>
      </c>
      <c r="AA8" s="14">
        <f>IFERROR(VLOOKUP(IF(MOD(COLUMN(BL8),2)=1,$A8&amp;"-"&amp;BL$3,$A8&amp;"-"&amp;BK$3),CoSo4[],DoanhThuThang!BL$38,0),"")</f>
        <v>3</v>
      </c>
      <c r="AB8" s="11">
        <f t="shared" si="1"/>
        <v>169</v>
      </c>
      <c r="AC8" s="11">
        <f t="shared" si="2"/>
        <v>4</v>
      </c>
      <c r="AD8" s="14"/>
      <c r="AF8" s="14">
        <f>IFERROR(VLOOKUP(IF(MOD(COLUMN(AF8),2)=0,$A8&amp;"-"&amp;AF$3,$A8&amp;"-"&amp;CK$3),CoSo1[],AF$38,0),"")</f>
        <v>0</v>
      </c>
      <c r="AG8" s="14">
        <f>IFERROR(VLOOKUP(IF(MOD(COLUMN(AG8),2)=0,$A8&amp;"-"&amp;AG$3,$A8&amp;"-"&amp;AF$3),CoSo1[],AG$38,0),"")</f>
        <v>0</v>
      </c>
      <c r="AH8" s="14">
        <f>IFERROR(VLOOKUP(IF(MOD(COLUMN(AH8),2)=0,$A8&amp;"-"&amp;AH$3,$A8&amp;"-"&amp;AG$3),CoSo1[],AH$38,0),"")</f>
        <v>90</v>
      </c>
      <c r="AI8" s="14">
        <f>IFERROR(VLOOKUP(IF(MOD(COLUMN(AI8),2)=0,$A8&amp;"-"&amp;AI$3,$A8&amp;"-"&amp;AH$3),CoSo1[],AI$38,0),"")</f>
        <v>1</v>
      </c>
      <c r="AJ8" s="14">
        <f>IFERROR(VLOOKUP(IF(MOD(COLUMN(AJ8),2)=0,$A8&amp;"-"&amp;AJ$3,$A8&amp;"-"&amp;AI$3),CoSo1[],AJ$38,0),"")</f>
        <v>0</v>
      </c>
      <c r="AK8" s="14">
        <f>IFERROR(VLOOKUP(IF(MOD(COLUMN(AK8),2)=0,$A8&amp;"-"&amp;AK$3,$A8&amp;"-"&amp;AJ$3),CoSo1[],AK$38,0),"")</f>
        <v>0</v>
      </c>
      <c r="AL8" s="14">
        <f>IFERROR(VLOOKUP(IF(MOD(COLUMN(AL8),2)=0,$A8&amp;"-"&amp;AL$3,$A8&amp;"-"&amp;AK$3),CoSo1[],AL$38,0),"")</f>
        <v>0</v>
      </c>
      <c r="AM8" s="14">
        <f>IFERROR(VLOOKUP(IF(MOD(COLUMN(AM8),2)=0,$A8&amp;"-"&amp;AM$3,$A8&amp;"-"&amp;AL$3),CoSo1[],AM$38,0),"")</f>
        <v>0</v>
      </c>
      <c r="AN8" s="14">
        <f>IFERROR(VLOOKUP(IF(MOD(COLUMN(AN8),2)=0,$A8&amp;"-"&amp;AN$3,$A8&amp;"-"&amp;AM$3),CoSo1[],AN$38,0),"")</f>
        <v>0</v>
      </c>
      <c r="AO8" s="14">
        <f>IFERROR(VLOOKUP(IF(MOD(COLUMN(AO8),2)=0,$A8&amp;"-"&amp;AO$3,$A8&amp;"-"&amp;AN$3),CoSo1[],AO$38,0),"")</f>
        <v>0</v>
      </c>
      <c r="AP8" s="14">
        <f>IFERROR(VLOOKUP(IF(MOD(COLUMN(AP8),2)=0,$A8&amp;"-"&amp;AP$3,$A8&amp;"-"&amp;AO$3),CoSo1[],AP$38,0),"")</f>
        <v>0</v>
      </c>
      <c r="AQ8" s="14">
        <f>IFERROR(VLOOKUP(IF(MOD(COLUMN(AQ8),2)=0,$A8&amp;"-"&amp;AQ$3,$A8&amp;"-"&amp;AP$3),CoSo1[],AQ$38,0),"")</f>
        <v>0</v>
      </c>
      <c r="AR8" s="11">
        <f t="shared" si="4"/>
        <v>90</v>
      </c>
      <c r="AS8" s="11">
        <f t="shared" si="4"/>
        <v>1</v>
      </c>
      <c r="AT8" s="14"/>
      <c r="BB8" s="14">
        <f>IFERROR(VLOOKUP(IF(MOD(COLUMN(BB8),2)=0,$A8&amp;"-"&amp;BB$3,$A8&amp;"-"&amp;W$3),CoSo3[],DoanhThuThang!BB$38,0),"")</f>
        <v>0</v>
      </c>
      <c r="BC8" s="14">
        <f>IFERROR(VLOOKUP(IF(MOD(COLUMN(BC8),2)=0,$A8&amp;"-"&amp;BC$3,$A8&amp;"-"&amp;BB$3),CoSo3[],DoanhThuThang!BC$38,0),"")</f>
        <v>0</v>
      </c>
      <c r="BD8" s="14">
        <f>IFERROR(VLOOKUP(IF(MOD(COLUMN(BD8),2)=0,$A8&amp;"-"&amp;BD$3,$A8&amp;"-"&amp;BC$3),CoSo3[],DoanhThuThang!BD$38,0),"")</f>
        <v>0</v>
      </c>
      <c r="BE8" s="14">
        <f>IFERROR(VLOOKUP(IF(MOD(COLUMN(BE8),2)=0,$A8&amp;"-"&amp;BE$3,$A8&amp;"-"&amp;BD$3),CoSo3[],DoanhThuThang!BE$38,0),"")</f>
        <v>0</v>
      </c>
      <c r="BF8" s="11">
        <f t="shared" si="11"/>
        <v>0</v>
      </c>
      <c r="BG8" s="11">
        <f t="shared" si="11"/>
        <v>0</v>
      </c>
      <c r="BH8" s="14"/>
      <c r="BI8" s="14">
        <f>IFERROR(VLOOKUP(IF(MOD(COLUMN(BI8),2)=1,$A8&amp;"-"&amp;BI$3,$A8&amp;"-"&amp;BH$3),CoSo4[],DoanhThuThang!BI$38,0),"")</f>
        <v>82</v>
      </c>
      <c r="BJ8" s="14">
        <f>IFERROR(VLOOKUP(IF(MOD(COLUMN(BJ8),2)=1,$A8&amp;"-"&amp;BJ$3,$A8&amp;"-"&amp;BI$3),CoSo4[],DoanhThuThang!BJ$38,0),"")</f>
        <v>1</v>
      </c>
      <c r="BK8" s="14">
        <f>IFERROR(VLOOKUP(IF(MOD(COLUMN(BK8),2)=1,$A8&amp;"-"&amp;BK$3,$A8&amp;"-"&amp;BJ$3),CoSo4[],DoanhThuThang!BK$38,0),"")</f>
        <v>87</v>
      </c>
      <c r="BL8" s="14">
        <f>IFERROR(VLOOKUP(IF(MOD(COLUMN(BL8),2)=1,$A8&amp;"-"&amp;BL$3,$A8&amp;"-"&amp;BK$3),CoSo4[],DoanhThuThang!BL$38,0),"")</f>
        <v>3</v>
      </c>
      <c r="BM8" s="11">
        <f t="shared" si="6"/>
        <v>169</v>
      </c>
      <c r="BN8" s="11">
        <f t="shared" si="7"/>
        <v>4</v>
      </c>
      <c r="BO8" s="14"/>
      <c r="BP8" s="14">
        <f>IFERROR(VLOOKUP(IF(MOD(COLUMN(BP8),2)=0,$A8&amp;"-"&amp;BP$3,$A8&amp;"-"&amp;BO$3),CoSo4[],DoanhThuThang!BP$38,0),"")</f>
        <v>0</v>
      </c>
      <c r="BQ8" s="14">
        <f>IFERROR(VLOOKUP(IF(MOD(COLUMN(BQ8),2)=0,$A8&amp;"-"&amp;BQ$3,$A8&amp;"-"&amp;BP$3),CoSo4[],DoanhThuThang!BQ$38,0),"")</f>
        <v>0</v>
      </c>
      <c r="BR8" s="14">
        <f>IFERROR(VLOOKUP(IF(MOD(COLUMN(BR8),2)=0,$A8&amp;"-"&amp;BR$3,$A8&amp;"-"&amp;BQ$3),CoSo4[],DoanhThuThang!BR$38,0),"")</f>
        <v>0</v>
      </c>
      <c r="BS8" s="14">
        <f>IFERROR(VLOOKUP(IF(MOD(COLUMN(BS8),2)=0,$A8&amp;"-"&amp;BS$3,$A8&amp;"-"&amp;BR$3),CoSo4[],DoanhThuThang!BS$38,0),"")</f>
        <v>0</v>
      </c>
      <c r="BT8" s="11">
        <f t="shared" si="12"/>
        <v>0</v>
      </c>
      <c r="BU8" s="11">
        <f t="shared" si="12"/>
        <v>0</v>
      </c>
      <c r="BV8" s="14"/>
      <c r="BW8" s="14">
        <f>IFERROR(VLOOKUP(IF(MOD(COLUMN(BW8),2)=1,$A8&amp;"-"&amp;BW$3,$A8&amp;"-"&amp;P$3),CoSo1[],BW$38,0),"")</f>
        <v>0</v>
      </c>
      <c r="BX8" s="14">
        <f>IFERROR(VLOOKUP(IF(MOD(COLUMN(BX8),2)=1,$A8&amp;"-"&amp;BX$3,$A8&amp;"-"&amp;BW$3),CoSo1[],BX$38,0),"")</f>
        <v>0</v>
      </c>
      <c r="BY8" s="14">
        <f>IFERROR(VLOOKUP(IF(MOD(COLUMN(BY8),2)=1,$A8&amp;"-"&amp;BY$3,$A8&amp;"-"&amp;BX$3),CoSo1[],BY$38,0),"")</f>
        <v>166</v>
      </c>
      <c r="BZ8" s="14">
        <f>IFERROR(VLOOKUP(IF(MOD(COLUMN(BZ8),2)=1,$A8&amp;"-"&amp;BZ$3,$A8&amp;"-"&amp;BY$3),CoSo1[],BZ$38,0),"")</f>
        <v>1</v>
      </c>
      <c r="CA8" s="14">
        <f>IFERROR(VLOOKUP(IF(MOD(COLUMN(CA8),2)=1,$A8&amp;"-"&amp;CA$3,$A8&amp;"-"&amp;BZ$3),CoSo1[],CA$38,0),"")</f>
        <v>0</v>
      </c>
      <c r="CB8" s="14">
        <f>IFERROR(VLOOKUP(IF(MOD(COLUMN(CB8),2)=1,$A8&amp;"-"&amp;CB$3,$A8&amp;"-"&amp;CA$3),CoSo1[],CB$38,0),"")</f>
        <v>0</v>
      </c>
      <c r="CC8" s="14">
        <f>IFERROR(VLOOKUP(IF(MOD(COLUMN(CC8),2)=1,$A8&amp;"-"&amp;CC$3,$A8&amp;"-"&amp;CB$3),CoSo1[],CC$38,0),"")</f>
        <v>0</v>
      </c>
      <c r="CD8" s="14">
        <f>IFERROR(VLOOKUP(IF(MOD(COLUMN(CD8),2)=1,$A8&amp;"-"&amp;CD$3,$A8&amp;"-"&amp;CC$3),CoSo1[],CD$38,0),"")</f>
        <v>0</v>
      </c>
      <c r="CE8" s="14">
        <f>IFERROR(VLOOKUP(IF(MOD(COLUMN(CE8),2)=1,$A8&amp;"-"&amp;CE$3,$A8&amp;"-"&amp;CD$3),CoSo1[],CE$38,0),"")</f>
        <v>0</v>
      </c>
      <c r="CF8" s="14">
        <f>IFERROR(VLOOKUP(IF(MOD(COLUMN(CF8),2)=1,$A8&amp;"-"&amp;CF$3,$A8&amp;"-"&amp;CE$3),CoSo1[],CF$38,0),"")</f>
        <v>0</v>
      </c>
      <c r="CG8" s="14">
        <f>IFERROR(VLOOKUP(IF(MOD(COLUMN(CG8),2)=1,$A8&amp;"-"&amp;CG$3,$A8&amp;"-"&amp;CF$3),CoSo1[],CG$38,0),"")</f>
        <v>0</v>
      </c>
      <c r="CH8" s="14">
        <f>IFERROR(VLOOKUP(IF(MOD(COLUMN(CH8),2)=1,$A8&amp;"-"&amp;CH$3,$A8&amp;"-"&amp;CG$3),CoSo1[],CH$38,0),"")</f>
        <v>0</v>
      </c>
      <c r="CI8" s="11">
        <f t="shared" si="9"/>
        <v>166</v>
      </c>
      <c r="CJ8" s="11">
        <f t="shared" si="9"/>
        <v>1</v>
      </c>
      <c r="CK8" s="14"/>
    </row>
    <row r="9" spans="1:89" x14ac:dyDescent="0.25">
      <c r="A9" s="13">
        <v>4</v>
      </c>
      <c r="B9" s="14">
        <f>IFERROR(VLOOKUP(IF(MOD(COLUMN(B9),2)=0,$A9&amp;"-"&amp;B$3,$A9&amp;"-"&amp;A$3),CoSo1[],B$38,0),"")</f>
        <v>148</v>
      </c>
      <c r="C9" s="14">
        <f>IFERROR(VLOOKUP(IF(MOD(COLUMN(C9),2)=0,$A9&amp;"-"&amp;C$3,$A9&amp;"-"&amp;B$3),CoSo1[],C$38,0),"")</f>
        <v>4</v>
      </c>
      <c r="D9" s="14">
        <f>IFERROR(VLOOKUP(IF(MOD(COLUMN(D9),2)=0,$A9&amp;"-"&amp;D$3,$A9&amp;"-"&amp;C$3),CoSo1[],D$38,0),"")</f>
        <v>495</v>
      </c>
      <c r="E9" s="14">
        <f>IFERROR(VLOOKUP(IF(MOD(COLUMN(E9),2)=0,$A9&amp;"-"&amp;E$3,$A9&amp;"-"&amp;D$3),CoSo1[],E$38,0),"")</f>
        <v>6</v>
      </c>
      <c r="F9" s="14">
        <f>IFERROR(VLOOKUP(IF(MOD(COLUMN(F9),2)=0,$A9&amp;"-"&amp;F$3,$A9&amp;"-"&amp;E$3),CoSo1[],F$38,0),"")</f>
        <v>165</v>
      </c>
      <c r="G9" s="14">
        <f>IFERROR(VLOOKUP(IF(MOD(COLUMN(G9),2)=0,$A9&amp;"-"&amp;G$3,$A9&amp;"-"&amp;F$3),CoSo1[],G$38,0),"")</f>
        <v>1</v>
      </c>
      <c r="H9" s="14">
        <f>IFERROR(VLOOKUP(IF(MOD(COLUMN(H9),2)=0,$A9&amp;"-"&amp;H$3,$A9&amp;"-"&amp;G$3),CoSo1[],H$38,0),"")</f>
        <v>327</v>
      </c>
      <c r="I9" s="14">
        <f>IFERROR(VLOOKUP(IF(MOD(COLUMN(I9),2)=0,$A9&amp;"-"&amp;I$3,$A9&amp;"-"&amp;H$3),CoSo1[],I$38,0),"")</f>
        <v>3</v>
      </c>
      <c r="J9" s="14">
        <f>IFERROR(VLOOKUP(IF(MOD(COLUMN(J9),2)=0,$A9&amp;"-"&amp;J$3,$A9&amp;"-"&amp;I$3),CoSo1[],J$38,0),"")</f>
        <v>0</v>
      </c>
      <c r="K9" s="14">
        <f>IFERROR(VLOOKUP(IF(MOD(COLUMN(K9),2)=0,$A9&amp;"-"&amp;K$3,$A9&amp;"-"&amp;J$3),CoSo1[],K$38,0),"")</f>
        <v>0</v>
      </c>
      <c r="L9" s="14">
        <f>IFERROR(VLOOKUP(IF(MOD(COLUMN(L9),2)=0,$A9&amp;"-"&amp;L$3,$A9&amp;"-"&amp;K$3),CoSo1[],L$38,0),"")</f>
        <v>0</v>
      </c>
      <c r="M9" s="14">
        <f>IFERROR(VLOOKUP(IF(MOD(COLUMN(M9),2)=0,$A9&amp;"-"&amp;M$3,$A9&amp;"-"&amp;L$3),CoSo1[],M$38,0),"")</f>
        <v>0</v>
      </c>
      <c r="N9" s="11">
        <f t="shared" si="13"/>
        <v>1135</v>
      </c>
      <c r="O9" s="11">
        <f t="shared" si="14"/>
        <v>14</v>
      </c>
      <c r="P9" s="14"/>
      <c r="Q9" s="14">
        <f>IFERROR(VLOOKUP(IF(MOD(COLUMN(Q9),2)=1,$A9&amp;"-"&amp;Q$3,$A9&amp;"-"&amp;AT$3),CoSo3[],DoanhThuThang!AU$38,0),"")</f>
        <v>175</v>
      </c>
      <c r="R9" s="14">
        <f>IFERROR(VLOOKUP(IF(MOD(COLUMN(R9),2)=1,$A9&amp;"-"&amp;R$3,$A9&amp;"-"&amp;Q$3),CoSo3[],DoanhThuThang!AV$38,0),"")</f>
        <v>3</v>
      </c>
      <c r="S9" s="14">
        <f>IFERROR(VLOOKUP(IF(MOD(COLUMN(S9),2)=1,$A9&amp;"-"&amp;S$3,$A9&amp;"-"&amp;R$3),CoSo3[],DoanhThuThang!AW$38,0),"")</f>
        <v>36</v>
      </c>
      <c r="T9" s="14">
        <f>IFERROR(VLOOKUP(IF(MOD(COLUMN(T9),2)=1,$A9&amp;"-"&amp;T$3,$A9&amp;"-"&amp;S$3),CoSo3[],DoanhThuThang!AX$38,0),"")</f>
        <v>1</v>
      </c>
      <c r="U9" s="11">
        <f t="shared" si="10"/>
        <v>211</v>
      </c>
      <c r="V9" s="11">
        <f t="shared" si="10"/>
        <v>4</v>
      </c>
      <c r="W9" s="14"/>
      <c r="X9" s="14">
        <f>IFERROR(VLOOKUP(IF(MOD(COLUMN(BI9),2)=1,$A9&amp;"-"&amp;BI$3,$A9&amp;"-"&amp;BH$3),CoSo4[],DoanhThuThang!BI$38,0),"")</f>
        <v>210</v>
      </c>
      <c r="Y9" s="14">
        <f>IFERROR(VLOOKUP(IF(MOD(COLUMN(BJ9),2)=1,$A9&amp;"-"&amp;BJ$3,$A9&amp;"-"&amp;BI$3),CoSo4[],DoanhThuThang!BJ$38,0),"")</f>
        <v>3</v>
      </c>
      <c r="Z9" s="14">
        <f>IFERROR(VLOOKUP(IF(MOD(COLUMN(BK9),2)=1,$A9&amp;"-"&amp;BK$3,$A9&amp;"-"&amp;BJ$3),CoSo4[],DoanhThuThang!BK$38,0),"")</f>
        <v>163</v>
      </c>
      <c r="AA9" s="14">
        <f>IFERROR(VLOOKUP(IF(MOD(COLUMN(BL9),2)=1,$A9&amp;"-"&amp;BL$3,$A9&amp;"-"&amp;BK$3),CoSo4[],DoanhThuThang!BL$38,0),"")</f>
        <v>3</v>
      </c>
      <c r="AB9" s="11">
        <f t="shared" si="1"/>
        <v>373</v>
      </c>
      <c r="AC9" s="11">
        <f t="shared" si="2"/>
        <v>6</v>
      </c>
      <c r="AD9" s="14"/>
      <c r="AF9" s="14">
        <f>IFERROR(VLOOKUP(IF(MOD(COLUMN(AF9),2)=0,$A9&amp;"-"&amp;AF$3,$A9&amp;"-"&amp;CK$3),CoSo1[],AF$38,0),"")</f>
        <v>0</v>
      </c>
      <c r="AG9" s="14">
        <f>IFERROR(VLOOKUP(IF(MOD(COLUMN(AG9),2)=0,$A9&amp;"-"&amp;AG$3,$A9&amp;"-"&amp;AF$3),CoSo1[],AG$38,0),"")</f>
        <v>0</v>
      </c>
      <c r="AH9" s="14">
        <f>IFERROR(VLOOKUP(IF(MOD(COLUMN(AH9),2)=0,$A9&amp;"-"&amp;AH$3,$A9&amp;"-"&amp;AG$3),CoSo1[],AH$38,0),"")</f>
        <v>80</v>
      </c>
      <c r="AI9" s="14">
        <f>IFERROR(VLOOKUP(IF(MOD(COLUMN(AI9),2)=0,$A9&amp;"-"&amp;AI$3,$A9&amp;"-"&amp;AH$3),CoSo1[],AI$38,0),"")</f>
        <v>1</v>
      </c>
      <c r="AJ9" s="14">
        <f>IFERROR(VLOOKUP(IF(MOD(COLUMN(AJ9),2)=0,$A9&amp;"-"&amp;AJ$3,$A9&amp;"-"&amp;AI$3),CoSo1[],AJ$38,0),"")</f>
        <v>0</v>
      </c>
      <c r="AK9" s="14">
        <f>IFERROR(VLOOKUP(IF(MOD(COLUMN(AK9),2)=0,$A9&amp;"-"&amp;AK$3,$A9&amp;"-"&amp;AJ$3),CoSo1[],AK$38,0),"")</f>
        <v>0</v>
      </c>
      <c r="AL9" s="14">
        <f>IFERROR(VLOOKUP(IF(MOD(COLUMN(AL9),2)=0,$A9&amp;"-"&amp;AL$3,$A9&amp;"-"&amp;AK$3),CoSo1[],AL$38,0),"")</f>
        <v>0</v>
      </c>
      <c r="AM9" s="14">
        <f>IFERROR(VLOOKUP(IF(MOD(COLUMN(AM9),2)=0,$A9&amp;"-"&amp;AM$3,$A9&amp;"-"&amp;AL$3),CoSo1[],AM$38,0),"")</f>
        <v>0</v>
      </c>
      <c r="AN9" s="14">
        <f>IFERROR(VLOOKUP(IF(MOD(COLUMN(AN9),2)=0,$A9&amp;"-"&amp;AN$3,$A9&amp;"-"&amp;AM$3),CoSo1[],AN$38,0),"")</f>
        <v>0</v>
      </c>
      <c r="AO9" s="14">
        <f>IFERROR(VLOOKUP(IF(MOD(COLUMN(AO9),2)=0,$A9&amp;"-"&amp;AO$3,$A9&amp;"-"&amp;AN$3),CoSo1[],AO$38,0),"")</f>
        <v>0</v>
      </c>
      <c r="AP9" s="14">
        <f>IFERROR(VLOOKUP(IF(MOD(COLUMN(AP9),2)=0,$A9&amp;"-"&amp;AP$3,$A9&amp;"-"&amp;AO$3),CoSo1[],AP$38,0),"")</f>
        <v>0</v>
      </c>
      <c r="AQ9" s="14">
        <f>IFERROR(VLOOKUP(IF(MOD(COLUMN(AQ9),2)=0,$A9&amp;"-"&amp;AQ$3,$A9&amp;"-"&amp;AP$3),CoSo1[],AQ$38,0),"")</f>
        <v>0</v>
      </c>
      <c r="AR9" s="11">
        <f t="shared" si="4"/>
        <v>80</v>
      </c>
      <c r="AS9" s="11">
        <f t="shared" si="4"/>
        <v>1</v>
      </c>
      <c r="AT9" s="14"/>
      <c r="BB9" s="14">
        <f>IFERROR(VLOOKUP(IF(MOD(COLUMN(BB9),2)=0,$A9&amp;"-"&amp;BB$3,$A9&amp;"-"&amp;W$3),CoSo3[],DoanhThuThang!BB$38,0),"")</f>
        <v>0</v>
      </c>
      <c r="BC9" s="14">
        <f>IFERROR(VLOOKUP(IF(MOD(COLUMN(BC9),2)=0,$A9&amp;"-"&amp;BC$3,$A9&amp;"-"&amp;BB$3),CoSo3[],DoanhThuThang!BC$38,0),"")</f>
        <v>0</v>
      </c>
      <c r="BD9" s="14">
        <f>IFERROR(VLOOKUP(IF(MOD(COLUMN(BD9),2)=0,$A9&amp;"-"&amp;BD$3,$A9&amp;"-"&amp;BC$3),CoSo3[],DoanhThuThang!BD$38,0),"")</f>
        <v>0</v>
      </c>
      <c r="BE9" s="14">
        <f>IFERROR(VLOOKUP(IF(MOD(COLUMN(BE9),2)=0,$A9&amp;"-"&amp;BE$3,$A9&amp;"-"&amp;BD$3),CoSo3[],DoanhThuThang!BE$38,0),"")</f>
        <v>0</v>
      </c>
      <c r="BF9" s="11">
        <f t="shared" si="11"/>
        <v>0</v>
      </c>
      <c r="BG9" s="11">
        <f t="shared" si="11"/>
        <v>0</v>
      </c>
      <c r="BH9" s="14"/>
      <c r="BI9" s="14">
        <f>IFERROR(VLOOKUP(IF(MOD(COLUMN(BI9),2)=1,$A9&amp;"-"&amp;BI$3,$A9&amp;"-"&amp;BH$3),CoSo4[],DoanhThuThang!BI$38,0),"")</f>
        <v>210</v>
      </c>
      <c r="BJ9" s="14">
        <f>IFERROR(VLOOKUP(IF(MOD(COLUMN(BJ9),2)=1,$A9&amp;"-"&amp;BJ$3,$A9&amp;"-"&amp;BI$3),CoSo4[],DoanhThuThang!BJ$38,0),"")</f>
        <v>3</v>
      </c>
      <c r="BK9" s="14">
        <f>IFERROR(VLOOKUP(IF(MOD(COLUMN(BK9),2)=1,$A9&amp;"-"&amp;BK$3,$A9&amp;"-"&amp;BJ$3),CoSo4[],DoanhThuThang!BK$38,0),"")</f>
        <v>163</v>
      </c>
      <c r="BL9" s="14">
        <f>IFERROR(VLOOKUP(IF(MOD(COLUMN(BL9),2)=1,$A9&amp;"-"&amp;BL$3,$A9&amp;"-"&amp;BK$3),CoSo4[],DoanhThuThang!BL$38,0),"")</f>
        <v>3</v>
      </c>
      <c r="BM9" s="11">
        <f t="shared" si="6"/>
        <v>373</v>
      </c>
      <c r="BN9" s="11">
        <f t="shared" si="7"/>
        <v>6</v>
      </c>
      <c r="BO9" s="14"/>
      <c r="BP9" s="14">
        <f>IFERROR(VLOOKUP(IF(MOD(COLUMN(BP9),2)=0,$A9&amp;"-"&amp;BP$3,$A9&amp;"-"&amp;BO$3),CoSo4[],DoanhThuThang!BP$38,0),"")</f>
        <v>0</v>
      </c>
      <c r="BQ9" s="14">
        <f>IFERROR(VLOOKUP(IF(MOD(COLUMN(BQ9),2)=0,$A9&amp;"-"&amp;BQ$3,$A9&amp;"-"&amp;BP$3),CoSo4[],DoanhThuThang!BQ$38,0),"")</f>
        <v>0</v>
      </c>
      <c r="BR9" s="14">
        <f>IFERROR(VLOOKUP(IF(MOD(COLUMN(BR9),2)=0,$A9&amp;"-"&amp;BR$3,$A9&amp;"-"&amp;BQ$3),CoSo4[],DoanhThuThang!BR$38,0),"")</f>
        <v>0</v>
      </c>
      <c r="BS9" s="14">
        <f>IFERROR(VLOOKUP(IF(MOD(COLUMN(BS9),2)=0,$A9&amp;"-"&amp;BS$3,$A9&amp;"-"&amp;BR$3),CoSo4[],DoanhThuThang!BS$38,0),"")</f>
        <v>0</v>
      </c>
      <c r="BT9" s="11">
        <f t="shared" si="12"/>
        <v>0</v>
      </c>
      <c r="BU9" s="11">
        <f t="shared" si="12"/>
        <v>0</v>
      </c>
      <c r="BV9" s="14"/>
      <c r="BW9" s="14">
        <f>IFERROR(VLOOKUP(IF(MOD(COLUMN(BW9),2)=1,$A9&amp;"-"&amp;BW$3,$A9&amp;"-"&amp;P$3),CoSo1[],BW$38,0),"")</f>
        <v>0</v>
      </c>
      <c r="BX9" s="14">
        <f>IFERROR(VLOOKUP(IF(MOD(COLUMN(BX9),2)=1,$A9&amp;"-"&amp;BX$3,$A9&amp;"-"&amp;BW$3),CoSo1[],BX$38,0),"")</f>
        <v>0</v>
      </c>
      <c r="BY9" s="14">
        <f>IFERROR(VLOOKUP(IF(MOD(COLUMN(BY9),2)=1,$A9&amp;"-"&amp;BY$3,$A9&amp;"-"&amp;BX$3),CoSo1[],BY$38,0),"")</f>
        <v>0</v>
      </c>
      <c r="BZ9" s="14">
        <f>IFERROR(VLOOKUP(IF(MOD(COLUMN(BZ9),2)=1,$A9&amp;"-"&amp;BZ$3,$A9&amp;"-"&amp;BY$3),CoSo1[],BZ$38,0),"")</f>
        <v>0</v>
      </c>
      <c r="CA9" s="14">
        <f>IFERROR(VLOOKUP(IF(MOD(COLUMN(CA9),2)=1,$A9&amp;"-"&amp;CA$3,$A9&amp;"-"&amp;BZ$3),CoSo1[],CA$38,0),"")</f>
        <v>0</v>
      </c>
      <c r="CB9" s="14">
        <f>IFERROR(VLOOKUP(IF(MOD(COLUMN(CB9),2)=1,$A9&amp;"-"&amp;CB$3,$A9&amp;"-"&amp;CA$3),CoSo1[],CB$38,0),"")</f>
        <v>0</v>
      </c>
      <c r="CC9" s="14">
        <f>IFERROR(VLOOKUP(IF(MOD(COLUMN(CC9),2)=1,$A9&amp;"-"&amp;CC$3,$A9&amp;"-"&amp;CB$3),CoSo1[],CC$38,0),"")</f>
        <v>0</v>
      </c>
      <c r="CD9" s="14">
        <f>IFERROR(VLOOKUP(IF(MOD(COLUMN(CD9),2)=1,$A9&amp;"-"&amp;CD$3,$A9&amp;"-"&amp;CC$3),CoSo1[],CD$38,0),"")</f>
        <v>0</v>
      </c>
      <c r="CE9" s="14">
        <f>IFERROR(VLOOKUP(IF(MOD(COLUMN(CE9),2)=1,$A9&amp;"-"&amp;CE$3,$A9&amp;"-"&amp;CD$3),CoSo1[],CE$38,0),"")</f>
        <v>0</v>
      </c>
      <c r="CF9" s="14">
        <f>IFERROR(VLOOKUP(IF(MOD(COLUMN(CF9),2)=1,$A9&amp;"-"&amp;CF$3,$A9&amp;"-"&amp;CE$3),CoSo1[],CF$38,0),"")</f>
        <v>0</v>
      </c>
      <c r="CG9" s="14">
        <f>IFERROR(VLOOKUP(IF(MOD(COLUMN(CG9),2)=1,$A9&amp;"-"&amp;CG$3,$A9&amp;"-"&amp;CF$3),CoSo1[],CG$38,0),"")</f>
        <v>0</v>
      </c>
      <c r="CH9" s="14">
        <f>IFERROR(VLOOKUP(IF(MOD(COLUMN(CH9),2)=1,$A9&amp;"-"&amp;CH$3,$A9&amp;"-"&amp;CG$3),CoSo1[],CH$38,0),"")</f>
        <v>0</v>
      </c>
      <c r="CI9" s="11">
        <f t="shared" si="9"/>
        <v>0</v>
      </c>
      <c r="CJ9" s="11">
        <f t="shared" si="9"/>
        <v>0</v>
      </c>
      <c r="CK9" s="14"/>
    </row>
    <row r="10" spans="1:89" x14ac:dyDescent="0.25">
      <c r="A10" s="13">
        <v>5</v>
      </c>
      <c r="B10" s="14">
        <f>IFERROR(VLOOKUP(IF(MOD(COLUMN(B10),2)=0,$A10&amp;"-"&amp;B$3,$A10&amp;"-"&amp;A$3),CoSo1[],B$38,0),"")</f>
        <v>391</v>
      </c>
      <c r="C10" s="14">
        <f>IFERROR(VLOOKUP(IF(MOD(COLUMN(C10),2)=0,$A10&amp;"-"&amp;C$3,$A10&amp;"-"&amp;B$3),CoSo1[],C$38,0),"")</f>
        <v>5</v>
      </c>
      <c r="D10" s="14">
        <f>IFERROR(VLOOKUP(IF(MOD(COLUMN(D10),2)=0,$A10&amp;"-"&amp;D$3,$A10&amp;"-"&amp;C$3),CoSo1[],D$38,0),"")</f>
        <v>652</v>
      </c>
      <c r="E10" s="14">
        <f>IFERROR(VLOOKUP(IF(MOD(COLUMN(E10),2)=0,$A10&amp;"-"&amp;E$3,$A10&amp;"-"&amp;D$3),CoSo1[],E$38,0),"")</f>
        <v>10</v>
      </c>
      <c r="F10" s="14">
        <f>IFERROR(VLOOKUP(IF(MOD(COLUMN(F10),2)=0,$A10&amp;"-"&amp;F$3,$A10&amp;"-"&amp;E$3),CoSo1[],F$38,0),"")</f>
        <v>0</v>
      </c>
      <c r="G10" s="14">
        <f>IFERROR(VLOOKUP(IF(MOD(COLUMN(G10),2)=0,$A10&amp;"-"&amp;G$3,$A10&amp;"-"&amp;F$3),CoSo1[],G$38,0),"")</f>
        <v>0</v>
      </c>
      <c r="H10" s="14">
        <f>IFERROR(VLOOKUP(IF(MOD(COLUMN(H10),2)=0,$A10&amp;"-"&amp;H$3,$A10&amp;"-"&amp;G$3),CoSo1[],H$38,0),"")</f>
        <v>258</v>
      </c>
      <c r="I10" s="14">
        <f>IFERROR(VLOOKUP(IF(MOD(COLUMN(I10),2)=0,$A10&amp;"-"&amp;I$3,$A10&amp;"-"&amp;H$3),CoSo1[],I$38,0),"")</f>
        <v>2</v>
      </c>
      <c r="J10" s="14">
        <f>IFERROR(VLOOKUP(IF(MOD(COLUMN(J10),2)=0,$A10&amp;"-"&amp;J$3,$A10&amp;"-"&amp;I$3),CoSo1[],J$38,0),"")</f>
        <v>0</v>
      </c>
      <c r="K10" s="14">
        <f>IFERROR(VLOOKUP(IF(MOD(COLUMN(K10),2)=0,$A10&amp;"-"&amp;K$3,$A10&amp;"-"&amp;J$3),CoSo1[],K$38,0),"")</f>
        <v>0</v>
      </c>
      <c r="L10" s="14">
        <f>IFERROR(VLOOKUP(IF(MOD(COLUMN(L10),2)=0,$A10&amp;"-"&amp;L$3,$A10&amp;"-"&amp;K$3),CoSo1[],L$38,0),"")</f>
        <v>0</v>
      </c>
      <c r="M10" s="14">
        <f>IFERROR(VLOOKUP(IF(MOD(COLUMN(M10),2)=0,$A10&amp;"-"&amp;M$3,$A10&amp;"-"&amp;L$3),CoSo1[],M$38,0),"")</f>
        <v>0</v>
      </c>
      <c r="N10" s="11">
        <f t="shared" si="13"/>
        <v>1301</v>
      </c>
      <c r="O10" s="11">
        <f t="shared" si="14"/>
        <v>17</v>
      </c>
      <c r="P10" s="14"/>
      <c r="Q10" s="14">
        <f>IFERROR(VLOOKUP(IF(MOD(COLUMN(Q10),2)=1,$A10&amp;"-"&amp;Q$3,$A10&amp;"-"&amp;AT$3),CoSo3[],DoanhThuThang!AU$38,0),"")</f>
        <v>94</v>
      </c>
      <c r="R10" s="14">
        <f>IFERROR(VLOOKUP(IF(MOD(COLUMN(R10),2)=1,$A10&amp;"-"&amp;R$3,$A10&amp;"-"&amp;Q$3),CoSo3[],DoanhThuThang!AV$38,0),"")</f>
        <v>1</v>
      </c>
      <c r="S10" s="14">
        <f>IFERROR(VLOOKUP(IF(MOD(COLUMN(S10),2)=1,$A10&amp;"-"&amp;S$3,$A10&amp;"-"&amp;R$3),CoSo3[],DoanhThuThang!AW$38,0),"")</f>
        <v>745</v>
      </c>
      <c r="T10" s="14">
        <f>IFERROR(VLOOKUP(IF(MOD(COLUMN(T10),2)=1,$A10&amp;"-"&amp;T$3,$A10&amp;"-"&amp;S$3),CoSo3[],DoanhThuThang!AX$38,0),"")</f>
        <v>8</v>
      </c>
      <c r="U10" s="11">
        <f t="shared" si="10"/>
        <v>839</v>
      </c>
      <c r="V10" s="11">
        <f t="shared" si="10"/>
        <v>9</v>
      </c>
      <c r="W10" s="14"/>
      <c r="X10" s="14">
        <f>IFERROR(VLOOKUP(IF(MOD(COLUMN(BI10),2)=1,$A10&amp;"-"&amp;BI$3,$A10&amp;"-"&amp;BH$3),CoSo4[],DoanhThuThang!BI$38,0),"")</f>
        <v>6</v>
      </c>
      <c r="Y10" s="14">
        <f>IFERROR(VLOOKUP(IF(MOD(COLUMN(BJ10),2)=1,$A10&amp;"-"&amp;BJ$3,$A10&amp;"-"&amp;BI$3),CoSo4[],DoanhThuThang!BJ$38,0),"")</f>
        <v>1</v>
      </c>
      <c r="Z10" s="14">
        <f>IFERROR(VLOOKUP(IF(MOD(COLUMN(BK10),2)=1,$A10&amp;"-"&amp;BK$3,$A10&amp;"-"&amp;BJ$3),CoSo4[],DoanhThuThang!BK$38,0),"")</f>
        <v>141</v>
      </c>
      <c r="AA10" s="14">
        <f>IFERROR(VLOOKUP(IF(MOD(COLUMN(BL10),2)=1,$A10&amp;"-"&amp;BL$3,$A10&amp;"-"&amp;BK$3),CoSo4[],DoanhThuThang!BL$38,0),"")</f>
        <v>4</v>
      </c>
      <c r="AB10" s="11">
        <f t="shared" si="1"/>
        <v>147</v>
      </c>
      <c r="AC10" s="11">
        <f t="shared" si="2"/>
        <v>5</v>
      </c>
      <c r="AD10" s="14"/>
      <c r="AF10" s="14">
        <f>IFERROR(VLOOKUP(IF(MOD(COLUMN(AF10),2)=0,$A10&amp;"-"&amp;AF$3,$A10&amp;"-"&amp;CK$3),CoSo1[],AF$38,0),"")</f>
        <v>168</v>
      </c>
      <c r="AG10" s="14">
        <f>IFERROR(VLOOKUP(IF(MOD(COLUMN(AG10),2)=0,$A10&amp;"-"&amp;AG$3,$A10&amp;"-"&amp;AF$3),CoSo1[],AG$38,0),"")</f>
        <v>1</v>
      </c>
      <c r="AH10" s="14">
        <f>IFERROR(VLOOKUP(IF(MOD(COLUMN(AH10),2)=0,$A10&amp;"-"&amp;AH$3,$A10&amp;"-"&amp;AG$3),CoSo1[],AH$38,0),"")</f>
        <v>0</v>
      </c>
      <c r="AI10" s="14">
        <f>IFERROR(VLOOKUP(IF(MOD(COLUMN(AI10),2)=0,$A10&amp;"-"&amp;AI$3,$A10&amp;"-"&amp;AH$3),CoSo1[],AI$38,0),"")</f>
        <v>0</v>
      </c>
      <c r="AJ10" s="14">
        <f>IFERROR(VLOOKUP(IF(MOD(COLUMN(AJ10),2)=0,$A10&amp;"-"&amp;AJ$3,$A10&amp;"-"&amp;AI$3),CoSo1[],AJ$38,0),"")</f>
        <v>0</v>
      </c>
      <c r="AK10" s="14">
        <f>IFERROR(VLOOKUP(IF(MOD(COLUMN(AK10),2)=0,$A10&amp;"-"&amp;AK$3,$A10&amp;"-"&amp;AJ$3),CoSo1[],AK$38,0),"")</f>
        <v>0</v>
      </c>
      <c r="AL10" s="14">
        <f>IFERROR(VLOOKUP(IF(MOD(COLUMN(AL10),2)=0,$A10&amp;"-"&amp;AL$3,$A10&amp;"-"&amp;AK$3),CoSo1[],AL$38,0),"")</f>
        <v>0</v>
      </c>
      <c r="AM10" s="14">
        <f>IFERROR(VLOOKUP(IF(MOD(COLUMN(AM10),2)=0,$A10&amp;"-"&amp;AM$3,$A10&amp;"-"&amp;AL$3),CoSo1[],AM$38,0),"")</f>
        <v>0</v>
      </c>
      <c r="AN10" s="14">
        <f>IFERROR(VLOOKUP(IF(MOD(COLUMN(AN10),2)=0,$A10&amp;"-"&amp;AN$3,$A10&amp;"-"&amp;AM$3),CoSo1[],AN$38,0),"")</f>
        <v>0</v>
      </c>
      <c r="AO10" s="14">
        <f>IFERROR(VLOOKUP(IF(MOD(COLUMN(AO10),2)=0,$A10&amp;"-"&amp;AO$3,$A10&amp;"-"&amp;AN$3),CoSo1[],AO$38,0),"")</f>
        <v>0</v>
      </c>
      <c r="AP10" s="14">
        <f>IFERROR(VLOOKUP(IF(MOD(COLUMN(AP10),2)=0,$A10&amp;"-"&amp;AP$3,$A10&amp;"-"&amp;AO$3),CoSo1[],AP$38,0),"")</f>
        <v>0</v>
      </c>
      <c r="AQ10" s="14">
        <f>IFERROR(VLOOKUP(IF(MOD(COLUMN(AQ10),2)=0,$A10&amp;"-"&amp;AQ$3,$A10&amp;"-"&amp;AP$3),CoSo1[],AQ$38,0),"")</f>
        <v>0</v>
      </c>
      <c r="AR10" s="11">
        <f t="shared" si="4"/>
        <v>168</v>
      </c>
      <c r="AS10" s="11">
        <f t="shared" si="4"/>
        <v>1</v>
      </c>
      <c r="AT10" s="14"/>
      <c r="BB10" s="14">
        <f>IFERROR(VLOOKUP(IF(MOD(COLUMN(BB10),2)=0,$A10&amp;"-"&amp;BB$3,$A10&amp;"-"&amp;W$3),CoSo3[],DoanhThuThang!BB$38,0),"")</f>
        <v>0</v>
      </c>
      <c r="BC10" s="14">
        <f>IFERROR(VLOOKUP(IF(MOD(COLUMN(BC10),2)=0,$A10&amp;"-"&amp;BC$3,$A10&amp;"-"&amp;BB$3),CoSo3[],DoanhThuThang!BC$38,0),"")</f>
        <v>0</v>
      </c>
      <c r="BD10" s="14">
        <f>IFERROR(VLOOKUP(IF(MOD(COLUMN(BD10),2)=0,$A10&amp;"-"&amp;BD$3,$A10&amp;"-"&amp;BC$3),CoSo3[],DoanhThuThang!BD$38,0),"")</f>
        <v>0</v>
      </c>
      <c r="BE10" s="14">
        <f>IFERROR(VLOOKUP(IF(MOD(COLUMN(BE10),2)=0,$A10&amp;"-"&amp;BE$3,$A10&amp;"-"&amp;BD$3),CoSo3[],DoanhThuThang!BE$38,0),"")</f>
        <v>0</v>
      </c>
      <c r="BF10" s="11">
        <f t="shared" si="11"/>
        <v>0</v>
      </c>
      <c r="BG10" s="11">
        <f t="shared" si="11"/>
        <v>0</v>
      </c>
      <c r="BH10" s="14"/>
      <c r="BI10" s="14">
        <f>IFERROR(VLOOKUP(IF(MOD(COLUMN(BI10),2)=1,$A10&amp;"-"&amp;BI$3,$A10&amp;"-"&amp;BH$3),CoSo4[],DoanhThuThang!BI$38,0),"")</f>
        <v>6</v>
      </c>
      <c r="BJ10" s="14">
        <f>IFERROR(VLOOKUP(IF(MOD(COLUMN(BJ10),2)=1,$A10&amp;"-"&amp;BJ$3,$A10&amp;"-"&amp;BI$3),CoSo4[],DoanhThuThang!BJ$38,0),"")</f>
        <v>1</v>
      </c>
      <c r="BK10" s="14">
        <f>IFERROR(VLOOKUP(IF(MOD(COLUMN(BK10),2)=1,$A10&amp;"-"&amp;BK$3,$A10&amp;"-"&amp;BJ$3),CoSo4[],DoanhThuThang!BK$38,0),"")</f>
        <v>141</v>
      </c>
      <c r="BL10" s="14">
        <f>IFERROR(VLOOKUP(IF(MOD(COLUMN(BL10),2)=1,$A10&amp;"-"&amp;BL$3,$A10&amp;"-"&amp;BK$3),CoSo4[],DoanhThuThang!BL$38,0),"")</f>
        <v>4</v>
      </c>
      <c r="BM10" s="11">
        <f t="shared" si="6"/>
        <v>147</v>
      </c>
      <c r="BN10" s="11">
        <f t="shared" si="7"/>
        <v>5</v>
      </c>
      <c r="BO10" s="14"/>
      <c r="BP10" s="14">
        <f>IFERROR(VLOOKUP(IF(MOD(COLUMN(BP10),2)=0,$A10&amp;"-"&amp;BP$3,$A10&amp;"-"&amp;BO$3),CoSo4[],DoanhThuThang!BP$38,0),"")</f>
        <v>0</v>
      </c>
      <c r="BQ10" s="14">
        <f>IFERROR(VLOOKUP(IF(MOD(COLUMN(BQ10),2)=0,$A10&amp;"-"&amp;BQ$3,$A10&amp;"-"&amp;BP$3),CoSo4[],DoanhThuThang!BQ$38,0),"")</f>
        <v>0</v>
      </c>
      <c r="BR10" s="14">
        <f>IFERROR(VLOOKUP(IF(MOD(COLUMN(BR10),2)=0,$A10&amp;"-"&amp;BR$3,$A10&amp;"-"&amp;BQ$3),CoSo4[],DoanhThuThang!BR$38,0),"")</f>
        <v>0</v>
      </c>
      <c r="BS10" s="14">
        <f>IFERROR(VLOOKUP(IF(MOD(COLUMN(BS10),2)=0,$A10&amp;"-"&amp;BS$3,$A10&amp;"-"&amp;BR$3),CoSo4[],DoanhThuThang!BS$38,0),"")</f>
        <v>0</v>
      </c>
      <c r="BT10" s="11">
        <f t="shared" si="12"/>
        <v>0</v>
      </c>
      <c r="BU10" s="11">
        <f t="shared" si="12"/>
        <v>0</v>
      </c>
      <c r="BV10" s="14"/>
      <c r="BW10" s="14">
        <f>IFERROR(VLOOKUP(IF(MOD(COLUMN(BW10),2)=1,$A10&amp;"-"&amp;BW$3,$A10&amp;"-"&amp;P$3),CoSo1[],BW$38,0),"")</f>
        <v>0</v>
      </c>
      <c r="BX10" s="14">
        <f>IFERROR(VLOOKUP(IF(MOD(COLUMN(BX10),2)=1,$A10&amp;"-"&amp;BX$3,$A10&amp;"-"&amp;BW$3),CoSo1[],BX$38,0),"")</f>
        <v>0</v>
      </c>
      <c r="BY10" s="14">
        <f>IFERROR(VLOOKUP(IF(MOD(COLUMN(BY10),2)=1,$A10&amp;"-"&amp;BY$3,$A10&amp;"-"&amp;BX$3),CoSo1[],BY$38,0),"")</f>
        <v>25</v>
      </c>
      <c r="BZ10" s="14">
        <f>IFERROR(VLOOKUP(IF(MOD(COLUMN(BZ10),2)=1,$A10&amp;"-"&amp;BZ$3,$A10&amp;"-"&amp;BY$3),CoSo1[],BZ$38,0),"")</f>
        <v>1</v>
      </c>
      <c r="CA10" s="14">
        <f>IFERROR(VLOOKUP(IF(MOD(COLUMN(CA10),2)=1,$A10&amp;"-"&amp;CA$3,$A10&amp;"-"&amp;BZ$3),CoSo1[],CA$38,0),"")</f>
        <v>0</v>
      </c>
      <c r="CB10" s="14">
        <f>IFERROR(VLOOKUP(IF(MOD(COLUMN(CB10),2)=1,$A10&amp;"-"&amp;CB$3,$A10&amp;"-"&amp;CA$3),CoSo1[],CB$38,0),"")</f>
        <v>0</v>
      </c>
      <c r="CC10" s="14">
        <f>IFERROR(VLOOKUP(IF(MOD(COLUMN(CC10),2)=1,$A10&amp;"-"&amp;CC$3,$A10&amp;"-"&amp;CB$3),CoSo1[],CC$38,0),"")</f>
        <v>0</v>
      </c>
      <c r="CD10" s="14">
        <f>IFERROR(VLOOKUP(IF(MOD(COLUMN(CD10),2)=1,$A10&amp;"-"&amp;CD$3,$A10&amp;"-"&amp;CC$3),CoSo1[],CD$38,0),"")</f>
        <v>0</v>
      </c>
      <c r="CE10" s="14">
        <f>IFERROR(VLOOKUP(IF(MOD(COLUMN(CE10),2)=1,$A10&amp;"-"&amp;CE$3,$A10&amp;"-"&amp;CD$3),CoSo1[],CE$38,0),"")</f>
        <v>0</v>
      </c>
      <c r="CF10" s="14">
        <f>IFERROR(VLOOKUP(IF(MOD(COLUMN(CF10),2)=1,$A10&amp;"-"&amp;CF$3,$A10&amp;"-"&amp;CE$3),CoSo1[],CF$38,0),"")</f>
        <v>0</v>
      </c>
      <c r="CG10" s="14">
        <f>IFERROR(VLOOKUP(IF(MOD(COLUMN(CG10),2)=1,$A10&amp;"-"&amp;CG$3,$A10&amp;"-"&amp;CF$3),CoSo1[],CG$38,0),"")</f>
        <v>0</v>
      </c>
      <c r="CH10" s="14">
        <f>IFERROR(VLOOKUP(IF(MOD(COLUMN(CH10),2)=1,$A10&amp;"-"&amp;CH$3,$A10&amp;"-"&amp;CG$3),CoSo1[],CH$38,0),"")</f>
        <v>0</v>
      </c>
      <c r="CI10" s="11">
        <f t="shared" si="9"/>
        <v>25</v>
      </c>
      <c r="CJ10" s="11">
        <f t="shared" si="9"/>
        <v>1</v>
      </c>
      <c r="CK10" s="14"/>
    </row>
    <row r="11" spans="1:89" x14ac:dyDescent="0.25">
      <c r="A11" s="13">
        <v>6</v>
      </c>
      <c r="B11" s="14">
        <f>IFERROR(VLOOKUP(IF(MOD(COLUMN(B11),2)=0,$A11&amp;"-"&amp;B$3,$A11&amp;"-"&amp;A$3),CoSo1[],B$38,0),"")</f>
        <v>397</v>
      </c>
      <c r="C11" s="14">
        <f>IFERROR(VLOOKUP(IF(MOD(COLUMN(C11),2)=0,$A11&amp;"-"&amp;C$3,$A11&amp;"-"&amp;B$3),CoSo1[],C$38,0),"")</f>
        <v>7</v>
      </c>
      <c r="D11" s="14">
        <f>IFERROR(VLOOKUP(IF(MOD(COLUMN(D11),2)=0,$A11&amp;"-"&amp;D$3,$A11&amp;"-"&amp;C$3),CoSo1[],D$38,0),"")</f>
        <v>772</v>
      </c>
      <c r="E11" s="14">
        <f>IFERROR(VLOOKUP(IF(MOD(COLUMN(E11),2)=0,$A11&amp;"-"&amp;E$3,$A11&amp;"-"&amp;D$3),CoSo1[],E$38,0),"")</f>
        <v>9</v>
      </c>
      <c r="F11" s="14">
        <f>IFERROR(VLOOKUP(IF(MOD(COLUMN(F11),2)=0,$A11&amp;"-"&amp;F$3,$A11&amp;"-"&amp;E$3),CoSo1[],F$38,0),"")</f>
        <v>0</v>
      </c>
      <c r="G11" s="14">
        <f>IFERROR(VLOOKUP(IF(MOD(COLUMN(G11),2)=0,$A11&amp;"-"&amp;G$3,$A11&amp;"-"&amp;F$3),CoSo1[],G$38,0),"")</f>
        <v>0</v>
      </c>
      <c r="H11" s="14">
        <f>IFERROR(VLOOKUP(IF(MOD(COLUMN(H11),2)=0,$A11&amp;"-"&amp;H$3,$A11&amp;"-"&amp;G$3),CoSo1[],H$38,0),"")</f>
        <v>224</v>
      </c>
      <c r="I11" s="14">
        <f>IFERROR(VLOOKUP(IF(MOD(COLUMN(I11),2)=0,$A11&amp;"-"&amp;I$3,$A11&amp;"-"&amp;H$3),CoSo1[],I$38,0),"")</f>
        <v>1</v>
      </c>
      <c r="J11" s="14">
        <f>IFERROR(VLOOKUP(IF(MOD(COLUMN(J11),2)=0,$A11&amp;"-"&amp;J$3,$A11&amp;"-"&amp;I$3),CoSo1[],J$38,0),"")</f>
        <v>0</v>
      </c>
      <c r="K11" s="14">
        <f>IFERROR(VLOOKUP(IF(MOD(COLUMN(K11),2)=0,$A11&amp;"-"&amp;K$3,$A11&amp;"-"&amp;J$3),CoSo1[],K$38,0),"")</f>
        <v>0</v>
      </c>
      <c r="L11" s="14">
        <f>IFERROR(VLOOKUP(IF(MOD(COLUMN(L11),2)=0,$A11&amp;"-"&amp;L$3,$A11&amp;"-"&amp;K$3),CoSo1[],L$38,0),"")</f>
        <v>0</v>
      </c>
      <c r="M11" s="14">
        <f>IFERROR(VLOOKUP(IF(MOD(COLUMN(M11),2)=0,$A11&amp;"-"&amp;M$3,$A11&amp;"-"&amp;L$3),CoSo1[],M$38,0),"")</f>
        <v>0</v>
      </c>
      <c r="N11" s="11">
        <f t="shared" si="13"/>
        <v>1393</v>
      </c>
      <c r="O11" s="11">
        <f t="shared" si="14"/>
        <v>17</v>
      </c>
      <c r="P11" s="14"/>
      <c r="Q11" s="14">
        <f>IFERROR(VLOOKUP(IF(MOD(COLUMN(Q11),2)=1,$A11&amp;"-"&amp;Q$3,$A11&amp;"-"&amp;AT$3),CoSo3[],DoanhThuThang!AU$38,0),"")</f>
        <v>198</v>
      </c>
      <c r="R11" s="14">
        <f>IFERROR(VLOOKUP(IF(MOD(COLUMN(R11),2)=1,$A11&amp;"-"&amp;R$3,$A11&amp;"-"&amp;Q$3),CoSo3[],DoanhThuThang!AV$38,0),"")</f>
        <v>2</v>
      </c>
      <c r="S11" s="14">
        <f>IFERROR(VLOOKUP(IF(MOD(COLUMN(S11),2)=1,$A11&amp;"-"&amp;S$3,$A11&amp;"-"&amp;R$3),CoSo3[],DoanhThuThang!AW$38,0),"")</f>
        <v>723</v>
      </c>
      <c r="T11" s="14">
        <f>IFERROR(VLOOKUP(IF(MOD(COLUMN(T11),2)=1,$A11&amp;"-"&amp;T$3,$A11&amp;"-"&amp;S$3),CoSo3[],DoanhThuThang!AX$38,0),"")</f>
        <v>4</v>
      </c>
      <c r="U11" s="11">
        <f t="shared" si="10"/>
        <v>921</v>
      </c>
      <c r="V11" s="11">
        <f t="shared" si="10"/>
        <v>6</v>
      </c>
      <c r="W11" s="14"/>
      <c r="X11" s="14">
        <f>IFERROR(VLOOKUP(IF(MOD(COLUMN(BI11),2)=1,$A11&amp;"-"&amp;BI$3,$A11&amp;"-"&amp;BH$3),CoSo4[],DoanhThuThang!BI$38,0),"")</f>
        <v>57</v>
      </c>
      <c r="Y11" s="14">
        <f>IFERROR(VLOOKUP(IF(MOD(COLUMN(BJ11),2)=1,$A11&amp;"-"&amp;BJ$3,$A11&amp;"-"&amp;BI$3),CoSo4[],DoanhThuThang!BJ$38,0),"")</f>
        <v>2</v>
      </c>
      <c r="Z11" s="14">
        <f>IFERROR(VLOOKUP(IF(MOD(COLUMN(BK11),2)=1,$A11&amp;"-"&amp;BK$3,$A11&amp;"-"&amp;BJ$3),CoSo4[],DoanhThuThang!BK$38,0),"")</f>
        <v>44</v>
      </c>
      <c r="AA11" s="14">
        <f>IFERROR(VLOOKUP(IF(MOD(COLUMN(BL11),2)=1,$A11&amp;"-"&amp;BL$3,$A11&amp;"-"&amp;BK$3),CoSo4[],DoanhThuThang!BL$38,0),"")</f>
        <v>1</v>
      </c>
      <c r="AB11" s="11">
        <f t="shared" si="1"/>
        <v>101</v>
      </c>
      <c r="AC11" s="11">
        <f t="shared" si="2"/>
        <v>3</v>
      </c>
      <c r="AD11" s="14"/>
      <c r="AF11" s="14">
        <f>IFERROR(VLOOKUP(IF(MOD(COLUMN(AF11),2)=0,$A11&amp;"-"&amp;AF$3,$A11&amp;"-"&amp;CK$3),CoSo1[],AF$38,0),"")</f>
        <v>0</v>
      </c>
      <c r="AG11" s="14">
        <f>IFERROR(VLOOKUP(IF(MOD(COLUMN(AG11),2)=0,$A11&amp;"-"&amp;AG$3,$A11&amp;"-"&amp;AF$3),CoSo1[],AG$38,0),"")</f>
        <v>0</v>
      </c>
      <c r="AH11" s="14">
        <f>IFERROR(VLOOKUP(IF(MOD(COLUMN(AH11),2)=0,$A11&amp;"-"&amp;AH$3,$A11&amp;"-"&amp;AG$3),CoSo1[],AH$38,0),"")</f>
        <v>0</v>
      </c>
      <c r="AI11" s="14">
        <f>IFERROR(VLOOKUP(IF(MOD(COLUMN(AI11),2)=0,$A11&amp;"-"&amp;AI$3,$A11&amp;"-"&amp;AH$3),CoSo1[],AI$38,0),"")</f>
        <v>0</v>
      </c>
      <c r="AJ11" s="14">
        <f>IFERROR(VLOOKUP(IF(MOD(COLUMN(AJ11),2)=0,$A11&amp;"-"&amp;AJ$3,$A11&amp;"-"&amp;AI$3),CoSo1[],AJ$38,0),"")</f>
        <v>0</v>
      </c>
      <c r="AK11" s="14">
        <f>IFERROR(VLOOKUP(IF(MOD(COLUMN(AK11),2)=0,$A11&amp;"-"&amp;AK$3,$A11&amp;"-"&amp;AJ$3),CoSo1[],AK$38,0),"")</f>
        <v>0</v>
      </c>
      <c r="AL11" s="14">
        <f>IFERROR(VLOOKUP(IF(MOD(COLUMN(AL11),2)=0,$A11&amp;"-"&amp;AL$3,$A11&amp;"-"&amp;AK$3),CoSo1[],AL$38,0),"")</f>
        <v>0</v>
      </c>
      <c r="AM11" s="14">
        <f>IFERROR(VLOOKUP(IF(MOD(COLUMN(AM11),2)=0,$A11&amp;"-"&amp;AM$3,$A11&amp;"-"&amp;AL$3),CoSo1[],AM$38,0),"")</f>
        <v>0</v>
      </c>
      <c r="AN11" s="14">
        <f>IFERROR(VLOOKUP(IF(MOD(COLUMN(AN11),2)=0,$A11&amp;"-"&amp;AN$3,$A11&amp;"-"&amp;AM$3),CoSo1[],AN$38,0),"")</f>
        <v>0</v>
      </c>
      <c r="AO11" s="14">
        <f>IFERROR(VLOOKUP(IF(MOD(COLUMN(AO11),2)=0,$A11&amp;"-"&amp;AO$3,$A11&amp;"-"&amp;AN$3),CoSo1[],AO$38,0),"")</f>
        <v>0</v>
      </c>
      <c r="AP11" s="14">
        <f>IFERROR(VLOOKUP(IF(MOD(COLUMN(AP11),2)=0,$A11&amp;"-"&amp;AP$3,$A11&amp;"-"&amp;AO$3),CoSo1[],AP$38,0),"")</f>
        <v>0</v>
      </c>
      <c r="AQ11" s="14">
        <f>IFERROR(VLOOKUP(IF(MOD(COLUMN(AQ11),2)=0,$A11&amp;"-"&amp;AQ$3,$A11&amp;"-"&amp;AP$3),CoSo1[],AQ$38,0),"")</f>
        <v>0</v>
      </c>
      <c r="AR11" s="11">
        <f t="shared" si="4"/>
        <v>0</v>
      </c>
      <c r="AS11" s="11">
        <f t="shared" si="4"/>
        <v>0</v>
      </c>
      <c r="AT11" s="14"/>
      <c r="BB11" s="14">
        <f>IFERROR(VLOOKUP(IF(MOD(COLUMN(BB11),2)=0,$A11&amp;"-"&amp;BB$3,$A11&amp;"-"&amp;W$3),CoSo3[],DoanhThuThang!BB$38,0),"")</f>
        <v>0</v>
      </c>
      <c r="BC11" s="14">
        <f>IFERROR(VLOOKUP(IF(MOD(COLUMN(BC11),2)=0,$A11&amp;"-"&amp;BC$3,$A11&amp;"-"&amp;BB$3),CoSo3[],DoanhThuThang!BC$38,0),"")</f>
        <v>0</v>
      </c>
      <c r="BD11" s="14">
        <f>IFERROR(VLOOKUP(IF(MOD(COLUMN(BD11),2)=0,$A11&amp;"-"&amp;BD$3,$A11&amp;"-"&amp;BC$3),CoSo3[],DoanhThuThang!BD$38,0),"")</f>
        <v>0</v>
      </c>
      <c r="BE11" s="14">
        <f>IFERROR(VLOOKUP(IF(MOD(COLUMN(BE11),2)=0,$A11&amp;"-"&amp;BE$3,$A11&amp;"-"&amp;BD$3),CoSo3[],DoanhThuThang!BE$38,0),"")</f>
        <v>0</v>
      </c>
      <c r="BF11" s="11">
        <f t="shared" si="11"/>
        <v>0</v>
      </c>
      <c r="BG11" s="11">
        <f t="shared" si="11"/>
        <v>0</v>
      </c>
      <c r="BH11" s="14"/>
      <c r="BI11" s="14">
        <f>IFERROR(VLOOKUP(IF(MOD(COLUMN(BI11),2)=1,$A11&amp;"-"&amp;BI$3,$A11&amp;"-"&amp;BH$3),CoSo4[],DoanhThuThang!BI$38,0),"")</f>
        <v>57</v>
      </c>
      <c r="BJ11" s="14">
        <f>IFERROR(VLOOKUP(IF(MOD(COLUMN(BJ11),2)=1,$A11&amp;"-"&amp;BJ$3,$A11&amp;"-"&amp;BI$3),CoSo4[],DoanhThuThang!BJ$38,0),"")</f>
        <v>2</v>
      </c>
      <c r="BK11" s="14">
        <f>IFERROR(VLOOKUP(IF(MOD(COLUMN(BK11),2)=1,$A11&amp;"-"&amp;BK$3,$A11&amp;"-"&amp;BJ$3),CoSo4[],DoanhThuThang!BK$38,0),"")</f>
        <v>44</v>
      </c>
      <c r="BL11" s="14">
        <f>IFERROR(VLOOKUP(IF(MOD(COLUMN(BL11),2)=1,$A11&amp;"-"&amp;BL$3,$A11&amp;"-"&amp;BK$3),CoSo4[],DoanhThuThang!BL$38,0),"")</f>
        <v>1</v>
      </c>
      <c r="BM11" s="11">
        <f t="shared" si="6"/>
        <v>101</v>
      </c>
      <c r="BN11" s="11">
        <f t="shared" si="7"/>
        <v>3</v>
      </c>
      <c r="BO11" s="14"/>
      <c r="BP11" s="14">
        <f>IFERROR(VLOOKUP(IF(MOD(COLUMN(BP11),2)=0,$A11&amp;"-"&amp;BP$3,$A11&amp;"-"&amp;BO$3),CoSo4[],DoanhThuThang!BP$38,0),"")</f>
        <v>0</v>
      </c>
      <c r="BQ11" s="14">
        <f>IFERROR(VLOOKUP(IF(MOD(COLUMN(BQ11),2)=0,$A11&amp;"-"&amp;BQ$3,$A11&amp;"-"&amp;BP$3),CoSo4[],DoanhThuThang!BQ$38,0),"")</f>
        <v>0</v>
      </c>
      <c r="BR11" s="14">
        <f>IFERROR(VLOOKUP(IF(MOD(COLUMN(BR11),2)=0,$A11&amp;"-"&amp;BR$3,$A11&amp;"-"&amp;BQ$3),CoSo4[],DoanhThuThang!BR$38,0),"")</f>
        <v>0</v>
      </c>
      <c r="BS11" s="14">
        <f>IFERROR(VLOOKUP(IF(MOD(COLUMN(BS11),2)=0,$A11&amp;"-"&amp;BS$3,$A11&amp;"-"&amp;BR$3),CoSo4[],DoanhThuThang!BS$38,0),"")</f>
        <v>0</v>
      </c>
      <c r="BT11" s="11">
        <f t="shared" si="12"/>
        <v>0</v>
      </c>
      <c r="BU11" s="11">
        <f t="shared" si="12"/>
        <v>0</v>
      </c>
      <c r="BV11" s="14"/>
      <c r="BW11" s="14">
        <f>IFERROR(VLOOKUP(IF(MOD(COLUMN(BW11),2)=1,$A11&amp;"-"&amp;BW$3,$A11&amp;"-"&amp;P$3),CoSo1[],BW$38,0),"")</f>
        <v>0</v>
      </c>
      <c r="BX11" s="14">
        <f>IFERROR(VLOOKUP(IF(MOD(COLUMN(BX11),2)=1,$A11&amp;"-"&amp;BX$3,$A11&amp;"-"&amp;BW$3),CoSo1[],BX$38,0),"")</f>
        <v>0</v>
      </c>
      <c r="BY11" s="14">
        <f>IFERROR(VLOOKUP(IF(MOD(COLUMN(BY11),2)=1,$A11&amp;"-"&amp;BY$3,$A11&amp;"-"&amp;BX$3),CoSo1[],BY$38,0),"")</f>
        <v>108</v>
      </c>
      <c r="BZ11" s="14">
        <f>IFERROR(VLOOKUP(IF(MOD(COLUMN(BZ11),2)=1,$A11&amp;"-"&amp;BZ$3,$A11&amp;"-"&amp;BY$3),CoSo1[],BZ$38,0),"")</f>
        <v>1</v>
      </c>
      <c r="CA11" s="14">
        <f>IFERROR(VLOOKUP(IF(MOD(COLUMN(CA11),2)=1,$A11&amp;"-"&amp;CA$3,$A11&amp;"-"&amp;BZ$3),CoSo1[],CA$38,0),"")</f>
        <v>0</v>
      </c>
      <c r="CB11" s="14">
        <f>IFERROR(VLOOKUP(IF(MOD(COLUMN(CB11),2)=1,$A11&amp;"-"&amp;CB$3,$A11&amp;"-"&amp;CA$3),CoSo1[],CB$38,0),"")</f>
        <v>0</v>
      </c>
      <c r="CC11" s="14">
        <f>IFERROR(VLOOKUP(IF(MOD(COLUMN(CC11),2)=1,$A11&amp;"-"&amp;CC$3,$A11&amp;"-"&amp;CB$3),CoSo1[],CC$38,0),"")</f>
        <v>0</v>
      </c>
      <c r="CD11" s="14">
        <f>IFERROR(VLOOKUP(IF(MOD(COLUMN(CD11),2)=1,$A11&amp;"-"&amp;CD$3,$A11&amp;"-"&amp;CC$3),CoSo1[],CD$38,0),"")</f>
        <v>0</v>
      </c>
      <c r="CE11" s="14">
        <f>IFERROR(VLOOKUP(IF(MOD(COLUMN(CE11),2)=1,$A11&amp;"-"&amp;CE$3,$A11&amp;"-"&amp;CD$3),CoSo1[],CE$38,0),"")</f>
        <v>0</v>
      </c>
      <c r="CF11" s="14">
        <f>IFERROR(VLOOKUP(IF(MOD(COLUMN(CF11),2)=1,$A11&amp;"-"&amp;CF$3,$A11&amp;"-"&amp;CE$3),CoSo1[],CF$38,0),"")</f>
        <v>0</v>
      </c>
      <c r="CG11" s="14">
        <f>IFERROR(VLOOKUP(IF(MOD(COLUMN(CG11),2)=1,$A11&amp;"-"&amp;CG$3,$A11&amp;"-"&amp;CF$3),CoSo1[],CG$38,0),"")</f>
        <v>0</v>
      </c>
      <c r="CH11" s="14">
        <f>IFERROR(VLOOKUP(IF(MOD(COLUMN(CH11),2)=1,$A11&amp;"-"&amp;CH$3,$A11&amp;"-"&amp;CG$3),CoSo1[],CH$38,0),"")</f>
        <v>0</v>
      </c>
      <c r="CI11" s="11">
        <f t="shared" si="9"/>
        <v>108</v>
      </c>
      <c r="CJ11" s="11">
        <f t="shared" si="9"/>
        <v>1</v>
      </c>
      <c r="CK11" s="14"/>
    </row>
    <row r="12" spans="1:89" x14ac:dyDescent="0.25">
      <c r="A12" s="13">
        <v>7</v>
      </c>
      <c r="B12" s="14">
        <f>IFERROR(VLOOKUP(IF(MOD(COLUMN(B12),2)=0,$A12&amp;"-"&amp;B$3,$A12&amp;"-"&amp;A$3),CoSo1[],B$38,0),"")</f>
        <v>151</v>
      </c>
      <c r="C12" s="14">
        <f>IFERROR(VLOOKUP(IF(MOD(COLUMN(C12),2)=0,$A12&amp;"-"&amp;C$3,$A12&amp;"-"&amp;B$3),CoSo1[],C$38,0),"")</f>
        <v>3</v>
      </c>
      <c r="D12" s="14">
        <f>IFERROR(VLOOKUP(IF(MOD(COLUMN(D12),2)=0,$A12&amp;"-"&amp;D$3,$A12&amp;"-"&amp;C$3),CoSo1[],D$38,0),"")</f>
        <v>696</v>
      </c>
      <c r="E12" s="14">
        <f>IFERROR(VLOOKUP(IF(MOD(COLUMN(E12),2)=0,$A12&amp;"-"&amp;E$3,$A12&amp;"-"&amp;D$3),CoSo1[],E$38,0),"")</f>
        <v>10</v>
      </c>
      <c r="F12" s="14">
        <f>IFERROR(VLOOKUP(IF(MOD(COLUMN(F12),2)=0,$A12&amp;"-"&amp;F$3,$A12&amp;"-"&amp;E$3),CoSo1[],F$38,0),"")</f>
        <v>0</v>
      </c>
      <c r="G12" s="14">
        <f>IFERROR(VLOOKUP(IF(MOD(COLUMN(G12),2)=0,$A12&amp;"-"&amp;G$3,$A12&amp;"-"&amp;F$3),CoSo1[],G$38,0),"")</f>
        <v>0</v>
      </c>
      <c r="H12" s="14">
        <f>IFERROR(VLOOKUP(IF(MOD(COLUMN(H12),2)=0,$A12&amp;"-"&amp;H$3,$A12&amp;"-"&amp;G$3),CoSo1[],H$38,0),"")</f>
        <v>135</v>
      </c>
      <c r="I12" s="14">
        <f>IFERROR(VLOOKUP(IF(MOD(COLUMN(I12),2)=0,$A12&amp;"-"&amp;I$3,$A12&amp;"-"&amp;H$3),CoSo1[],I$38,0),"")</f>
        <v>2</v>
      </c>
      <c r="J12" s="14">
        <f>IFERROR(VLOOKUP(IF(MOD(COLUMN(J12),2)=0,$A12&amp;"-"&amp;J$3,$A12&amp;"-"&amp;I$3),CoSo1[],J$38,0),"")</f>
        <v>0</v>
      </c>
      <c r="K12" s="14">
        <f>IFERROR(VLOOKUP(IF(MOD(COLUMN(K12),2)=0,$A12&amp;"-"&amp;K$3,$A12&amp;"-"&amp;J$3),CoSo1[],K$38,0),"")</f>
        <v>0</v>
      </c>
      <c r="L12" s="14">
        <f>IFERROR(VLOOKUP(IF(MOD(COLUMN(L12),2)=0,$A12&amp;"-"&amp;L$3,$A12&amp;"-"&amp;K$3),CoSo1[],L$38,0),"")</f>
        <v>0</v>
      </c>
      <c r="M12" s="14">
        <f>IFERROR(VLOOKUP(IF(MOD(COLUMN(M12),2)=0,$A12&amp;"-"&amp;M$3,$A12&amp;"-"&amp;L$3),CoSo1[],M$38,0),"")</f>
        <v>0</v>
      </c>
      <c r="N12" s="11">
        <f t="shared" si="13"/>
        <v>982</v>
      </c>
      <c r="O12" s="11">
        <f t="shared" si="14"/>
        <v>15</v>
      </c>
      <c r="P12" s="14"/>
      <c r="Q12" s="14">
        <f>IFERROR(VLOOKUP(IF(MOD(COLUMN(Q12),2)=1,$A12&amp;"-"&amp;Q$3,$A12&amp;"-"&amp;AT$3),CoSo3[],DoanhThuThang!AU$38,0),"")</f>
        <v>110</v>
      </c>
      <c r="R12" s="14">
        <f>IFERROR(VLOOKUP(IF(MOD(COLUMN(R12),2)=1,$A12&amp;"-"&amp;R$3,$A12&amp;"-"&amp;Q$3),CoSo3[],DoanhThuThang!AV$38,0),"")</f>
        <v>2</v>
      </c>
      <c r="S12" s="14">
        <f>IFERROR(VLOOKUP(IF(MOD(COLUMN(S12),2)=1,$A12&amp;"-"&amp;S$3,$A12&amp;"-"&amp;R$3),CoSo3[],DoanhThuThang!AW$38,0),"")</f>
        <v>182</v>
      </c>
      <c r="T12" s="14">
        <f>IFERROR(VLOOKUP(IF(MOD(COLUMN(T12),2)=1,$A12&amp;"-"&amp;T$3,$A12&amp;"-"&amp;S$3),CoSo3[],DoanhThuThang!AX$38,0),"")</f>
        <v>5</v>
      </c>
      <c r="U12" s="11">
        <f t="shared" si="10"/>
        <v>292</v>
      </c>
      <c r="V12" s="11">
        <f t="shared" si="10"/>
        <v>7</v>
      </c>
      <c r="W12" s="14"/>
      <c r="X12" s="14">
        <f>IFERROR(VLOOKUP(IF(MOD(COLUMN(BI12),2)=1,$A12&amp;"-"&amp;BI$3,$A12&amp;"-"&amp;BH$3),CoSo4[],DoanhThuThang!BI$38,0),"")</f>
        <v>60</v>
      </c>
      <c r="Y12" s="14">
        <f>IFERROR(VLOOKUP(IF(MOD(COLUMN(BJ12),2)=1,$A12&amp;"-"&amp;BJ$3,$A12&amp;"-"&amp;BI$3),CoSo4[],DoanhThuThang!BJ$38,0),"")</f>
        <v>2</v>
      </c>
      <c r="Z12" s="14">
        <f>IFERROR(VLOOKUP(IF(MOD(COLUMN(BK12),2)=1,$A12&amp;"-"&amp;BK$3,$A12&amp;"-"&amp;BJ$3),CoSo4[],DoanhThuThang!BK$38,0),"")</f>
        <v>247</v>
      </c>
      <c r="AA12" s="14">
        <f>IFERROR(VLOOKUP(IF(MOD(COLUMN(BL12),2)=1,$A12&amp;"-"&amp;BL$3,$A12&amp;"-"&amp;BK$3),CoSo4[],DoanhThuThang!BL$38,0),"")</f>
        <v>2</v>
      </c>
      <c r="AB12" s="11">
        <f t="shared" si="1"/>
        <v>307</v>
      </c>
      <c r="AC12" s="11">
        <f t="shared" si="2"/>
        <v>4</v>
      </c>
      <c r="AD12" s="14"/>
      <c r="AF12" s="14">
        <f>IFERROR(VLOOKUP(IF(MOD(COLUMN(AF12),2)=0,$A12&amp;"-"&amp;AF$3,$A12&amp;"-"&amp;CK$3),CoSo1[],AF$38,0),"")</f>
        <v>0</v>
      </c>
      <c r="AG12" s="14">
        <f>IFERROR(VLOOKUP(IF(MOD(COLUMN(AG12),2)=0,$A12&amp;"-"&amp;AG$3,$A12&amp;"-"&amp;AF$3),CoSo1[],AG$38,0),"")</f>
        <v>0</v>
      </c>
      <c r="AH12" s="14">
        <f>IFERROR(VLOOKUP(IF(MOD(COLUMN(AH12),2)=0,$A12&amp;"-"&amp;AH$3,$A12&amp;"-"&amp;AG$3),CoSo1[],AH$38,0),"")</f>
        <v>18</v>
      </c>
      <c r="AI12" s="14">
        <f>IFERROR(VLOOKUP(IF(MOD(COLUMN(AI12),2)=0,$A12&amp;"-"&amp;AI$3,$A12&amp;"-"&amp;AH$3),CoSo1[],AI$38,0),"")</f>
        <v>1</v>
      </c>
      <c r="AJ12" s="14">
        <f>IFERROR(VLOOKUP(IF(MOD(COLUMN(AJ12),2)=0,$A12&amp;"-"&amp;AJ$3,$A12&amp;"-"&amp;AI$3),CoSo1[],AJ$38,0),"")</f>
        <v>0</v>
      </c>
      <c r="AK12" s="14">
        <f>IFERROR(VLOOKUP(IF(MOD(COLUMN(AK12),2)=0,$A12&amp;"-"&amp;AK$3,$A12&amp;"-"&amp;AJ$3),CoSo1[],AK$38,0),"")</f>
        <v>0</v>
      </c>
      <c r="AL12" s="14">
        <f>IFERROR(VLOOKUP(IF(MOD(COLUMN(AL12),2)=0,$A12&amp;"-"&amp;AL$3,$A12&amp;"-"&amp;AK$3),CoSo1[],AL$38,0),"")</f>
        <v>0</v>
      </c>
      <c r="AM12" s="14">
        <f>IFERROR(VLOOKUP(IF(MOD(COLUMN(AM12),2)=0,$A12&amp;"-"&amp;AM$3,$A12&amp;"-"&amp;AL$3),CoSo1[],AM$38,0),"")</f>
        <v>0</v>
      </c>
      <c r="AN12" s="14">
        <f>IFERROR(VLOOKUP(IF(MOD(COLUMN(AN12),2)=0,$A12&amp;"-"&amp;AN$3,$A12&amp;"-"&amp;AM$3),CoSo1[],AN$38,0),"")</f>
        <v>0</v>
      </c>
      <c r="AO12" s="14">
        <f>IFERROR(VLOOKUP(IF(MOD(COLUMN(AO12),2)=0,$A12&amp;"-"&amp;AO$3,$A12&amp;"-"&amp;AN$3),CoSo1[],AO$38,0),"")</f>
        <v>0</v>
      </c>
      <c r="AP12" s="14">
        <f>IFERROR(VLOOKUP(IF(MOD(COLUMN(AP12),2)=0,$A12&amp;"-"&amp;AP$3,$A12&amp;"-"&amp;AO$3),CoSo1[],AP$38,0),"")</f>
        <v>0</v>
      </c>
      <c r="AQ12" s="14">
        <f>IFERROR(VLOOKUP(IF(MOD(COLUMN(AQ12),2)=0,$A12&amp;"-"&amp;AQ$3,$A12&amp;"-"&amp;AP$3),CoSo1[],AQ$38,0),"")</f>
        <v>0</v>
      </c>
      <c r="AR12" s="11">
        <f t="shared" si="4"/>
        <v>18</v>
      </c>
      <c r="AS12" s="11">
        <f t="shared" si="4"/>
        <v>1</v>
      </c>
      <c r="AT12" s="14"/>
      <c r="BB12" s="14">
        <f>IFERROR(VLOOKUP(IF(MOD(COLUMN(BB12),2)=0,$A12&amp;"-"&amp;BB$3,$A12&amp;"-"&amp;W$3),CoSo3[],DoanhThuThang!BB$38,0),"")</f>
        <v>0</v>
      </c>
      <c r="BC12" s="14">
        <f>IFERROR(VLOOKUP(IF(MOD(COLUMN(BC12),2)=0,$A12&amp;"-"&amp;BC$3,$A12&amp;"-"&amp;BB$3),CoSo3[],DoanhThuThang!BC$38,0),"")</f>
        <v>0</v>
      </c>
      <c r="BD12" s="14">
        <f>IFERROR(VLOOKUP(IF(MOD(COLUMN(BD12),2)=0,$A12&amp;"-"&amp;BD$3,$A12&amp;"-"&amp;BC$3),CoSo3[],DoanhThuThang!BD$38,0),"")</f>
        <v>0</v>
      </c>
      <c r="BE12" s="14">
        <f>IFERROR(VLOOKUP(IF(MOD(COLUMN(BE12),2)=0,$A12&amp;"-"&amp;BE$3,$A12&amp;"-"&amp;BD$3),CoSo3[],DoanhThuThang!BE$38,0),"")</f>
        <v>0</v>
      </c>
      <c r="BF12" s="11">
        <f t="shared" si="11"/>
        <v>0</v>
      </c>
      <c r="BG12" s="11">
        <f t="shared" si="11"/>
        <v>0</v>
      </c>
      <c r="BH12" s="14"/>
      <c r="BI12" s="14">
        <f>IFERROR(VLOOKUP(IF(MOD(COLUMN(BI12),2)=1,$A12&amp;"-"&amp;BI$3,$A12&amp;"-"&amp;BH$3),CoSo4[],DoanhThuThang!BI$38,0),"")</f>
        <v>60</v>
      </c>
      <c r="BJ12" s="14">
        <f>IFERROR(VLOOKUP(IF(MOD(COLUMN(BJ12),2)=1,$A12&amp;"-"&amp;BJ$3,$A12&amp;"-"&amp;BI$3),CoSo4[],DoanhThuThang!BJ$38,0),"")</f>
        <v>2</v>
      </c>
      <c r="BK12" s="14">
        <f>IFERROR(VLOOKUP(IF(MOD(COLUMN(BK12),2)=1,$A12&amp;"-"&amp;BK$3,$A12&amp;"-"&amp;BJ$3),CoSo4[],DoanhThuThang!BK$38,0),"")</f>
        <v>247</v>
      </c>
      <c r="BL12" s="14">
        <f>IFERROR(VLOOKUP(IF(MOD(COLUMN(BL12),2)=1,$A12&amp;"-"&amp;BL$3,$A12&amp;"-"&amp;BK$3),CoSo4[],DoanhThuThang!BL$38,0),"")</f>
        <v>2</v>
      </c>
      <c r="BM12" s="11">
        <f t="shared" si="6"/>
        <v>307</v>
      </c>
      <c r="BN12" s="11">
        <f t="shared" si="7"/>
        <v>4</v>
      </c>
      <c r="BO12" s="14"/>
      <c r="BP12" s="14">
        <f>IFERROR(VLOOKUP(IF(MOD(COLUMN(BP12),2)=0,$A12&amp;"-"&amp;BP$3,$A12&amp;"-"&amp;BO$3),CoSo4[],DoanhThuThang!BP$38,0),"")</f>
        <v>0</v>
      </c>
      <c r="BQ12" s="14">
        <f>IFERROR(VLOOKUP(IF(MOD(COLUMN(BQ12),2)=0,$A12&amp;"-"&amp;BQ$3,$A12&amp;"-"&amp;BP$3),CoSo4[],DoanhThuThang!BQ$38,0),"")</f>
        <v>0</v>
      </c>
      <c r="BR12" s="14">
        <f>IFERROR(VLOOKUP(IF(MOD(COLUMN(BR12),2)=0,$A12&amp;"-"&amp;BR$3,$A12&amp;"-"&amp;BQ$3),CoSo4[],DoanhThuThang!BR$38,0),"")</f>
        <v>0</v>
      </c>
      <c r="BS12" s="14">
        <f>IFERROR(VLOOKUP(IF(MOD(COLUMN(BS12),2)=0,$A12&amp;"-"&amp;BS$3,$A12&amp;"-"&amp;BR$3),CoSo4[],DoanhThuThang!BS$38,0),"")</f>
        <v>0</v>
      </c>
      <c r="BT12" s="11">
        <f t="shared" si="12"/>
        <v>0</v>
      </c>
      <c r="BU12" s="11">
        <f t="shared" si="12"/>
        <v>0</v>
      </c>
      <c r="BV12" s="14"/>
      <c r="BW12" s="14">
        <f>IFERROR(VLOOKUP(IF(MOD(COLUMN(BW12),2)=1,$A12&amp;"-"&amp;BW$3,$A12&amp;"-"&amp;P$3),CoSo1[],BW$38,0),"")</f>
        <v>0</v>
      </c>
      <c r="BX12" s="14">
        <f>IFERROR(VLOOKUP(IF(MOD(COLUMN(BX12),2)=1,$A12&amp;"-"&amp;BX$3,$A12&amp;"-"&amp;BW$3),CoSo1[],BX$38,0),"")</f>
        <v>0</v>
      </c>
      <c r="BY12" s="14">
        <f>IFERROR(VLOOKUP(IF(MOD(COLUMN(BY12),2)=1,$A12&amp;"-"&amp;BY$3,$A12&amp;"-"&amp;BX$3),CoSo1[],BY$38,0),"")</f>
        <v>100</v>
      </c>
      <c r="BZ12" s="14">
        <f>IFERROR(VLOOKUP(IF(MOD(COLUMN(BZ12),2)=1,$A12&amp;"-"&amp;BZ$3,$A12&amp;"-"&amp;BY$3),CoSo1[],BZ$38,0),"")</f>
        <v>3</v>
      </c>
      <c r="CA12" s="14">
        <f>IFERROR(VLOOKUP(IF(MOD(COLUMN(CA12),2)=1,$A12&amp;"-"&amp;CA$3,$A12&amp;"-"&amp;BZ$3),CoSo1[],CA$38,0),"")</f>
        <v>0</v>
      </c>
      <c r="CB12" s="14">
        <f>IFERROR(VLOOKUP(IF(MOD(COLUMN(CB12),2)=1,$A12&amp;"-"&amp;CB$3,$A12&amp;"-"&amp;CA$3),CoSo1[],CB$38,0),"")</f>
        <v>0</v>
      </c>
      <c r="CC12" s="14">
        <f>IFERROR(VLOOKUP(IF(MOD(COLUMN(CC12),2)=1,$A12&amp;"-"&amp;CC$3,$A12&amp;"-"&amp;CB$3),CoSo1[],CC$38,0),"")</f>
        <v>0</v>
      </c>
      <c r="CD12" s="14">
        <f>IFERROR(VLOOKUP(IF(MOD(COLUMN(CD12),2)=1,$A12&amp;"-"&amp;CD$3,$A12&amp;"-"&amp;CC$3),CoSo1[],CD$38,0),"")</f>
        <v>0</v>
      </c>
      <c r="CE12" s="14">
        <f>IFERROR(VLOOKUP(IF(MOD(COLUMN(CE12),2)=1,$A12&amp;"-"&amp;CE$3,$A12&amp;"-"&amp;CD$3),CoSo1[],CE$38,0),"")</f>
        <v>0</v>
      </c>
      <c r="CF12" s="14">
        <f>IFERROR(VLOOKUP(IF(MOD(COLUMN(CF12),2)=1,$A12&amp;"-"&amp;CF$3,$A12&amp;"-"&amp;CE$3),CoSo1[],CF$38,0),"")</f>
        <v>0</v>
      </c>
      <c r="CG12" s="14">
        <f>IFERROR(VLOOKUP(IF(MOD(COLUMN(CG12),2)=1,$A12&amp;"-"&amp;CG$3,$A12&amp;"-"&amp;CF$3),CoSo1[],CG$38,0),"")</f>
        <v>0</v>
      </c>
      <c r="CH12" s="14">
        <f>IFERROR(VLOOKUP(IF(MOD(COLUMN(CH12),2)=1,$A12&amp;"-"&amp;CH$3,$A12&amp;"-"&amp;CG$3),CoSo1[],CH$38,0),"")</f>
        <v>0</v>
      </c>
      <c r="CI12" s="11">
        <f t="shared" si="9"/>
        <v>100</v>
      </c>
      <c r="CJ12" s="11">
        <f t="shared" si="9"/>
        <v>3</v>
      </c>
      <c r="CK12" s="14"/>
    </row>
    <row r="13" spans="1:89" x14ac:dyDescent="0.25">
      <c r="A13" s="13">
        <v>8</v>
      </c>
      <c r="B13" s="14">
        <f>IFERROR(VLOOKUP(IF(MOD(COLUMN(B13),2)=0,$A13&amp;"-"&amp;B$3,$A13&amp;"-"&amp;A$3),CoSo1[],B$38,0),"")</f>
        <v>1513</v>
      </c>
      <c r="C13" s="14">
        <f>IFERROR(VLOOKUP(IF(MOD(COLUMN(C13),2)=0,$A13&amp;"-"&amp;C$3,$A13&amp;"-"&amp;B$3),CoSo1[],C$38,0),"")</f>
        <v>11</v>
      </c>
      <c r="D13" s="14">
        <f>IFERROR(VLOOKUP(IF(MOD(COLUMN(D13),2)=0,$A13&amp;"-"&amp;D$3,$A13&amp;"-"&amp;C$3),CoSo1[],D$38,0),"")</f>
        <v>413</v>
      </c>
      <c r="E13" s="14">
        <f>IFERROR(VLOOKUP(IF(MOD(COLUMN(E13),2)=0,$A13&amp;"-"&amp;E$3,$A13&amp;"-"&amp;D$3),CoSo1[],E$38,0),"")</f>
        <v>9</v>
      </c>
      <c r="F13" s="14">
        <f>IFERROR(VLOOKUP(IF(MOD(COLUMN(F13),2)=0,$A13&amp;"-"&amp;F$3,$A13&amp;"-"&amp;E$3),CoSo1[],F$38,0),"")</f>
        <v>0</v>
      </c>
      <c r="G13" s="14">
        <f>IFERROR(VLOOKUP(IF(MOD(COLUMN(G13),2)=0,$A13&amp;"-"&amp;G$3,$A13&amp;"-"&amp;F$3),CoSo1[],G$38,0),"")</f>
        <v>0</v>
      </c>
      <c r="H13" s="14">
        <f>IFERROR(VLOOKUP(IF(MOD(COLUMN(H13),2)=0,$A13&amp;"-"&amp;H$3,$A13&amp;"-"&amp;G$3),CoSo1[],H$38,0),"")</f>
        <v>0</v>
      </c>
      <c r="I13" s="14">
        <f>IFERROR(VLOOKUP(IF(MOD(COLUMN(I13),2)=0,$A13&amp;"-"&amp;I$3,$A13&amp;"-"&amp;H$3),CoSo1[],I$38,0),"")</f>
        <v>0</v>
      </c>
      <c r="J13" s="14">
        <f>IFERROR(VLOOKUP(IF(MOD(COLUMN(J13),2)=0,$A13&amp;"-"&amp;J$3,$A13&amp;"-"&amp;I$3),CoSo1[],J$38,0),"")</f>
        <v>0</v>
      </c>
      <c r="K13" s="14">
        <f>IFERROR(VLOOKUP(IF(MOD(COLUMN(K13),2)=0,$A13&amp;"-"&amp;K$3,$A13&amp;"-"&amp;J$3),CoSo1[],K$38,0),"")</f>
        <v>0</v>
      </c>
      <c r="L13" s="14">
        <f>IFERROR(VLOOKUP(IF(MOD(COLUMN(L13),2)=0,$A13&amp;"-"&amp;L$3,$A13&amp;"-"&amp;K$3),CoSo1[],L$38,0),"")</f>
        <v>0</v>
      </c>
      <c r="M13" s="14">
        <f>IFERROR(VLOOKUP(IF(MOD(COLUMN(M13),2)=0,$A13&amp;"-"&amp;M$3,$A13&amp;"-"&amp;L$3),CoSo1[],M$38,0),"")</f>
        <v>0</v>
      </c>
      <c r="N13" s="11">
        <f t="shared" si="13"/>
        <v>1926</v>
      </c>
      <c r="O13" s="11">
        <f t="shared" si="14"/>
        <v>20</v>
      </c>
      <c r="P13" s="14"/>
      <c r="Q13" s="14">
        <f>IFERROR(VLOOKUP(IF(MOD(COLUMN(Q13),2)=1,$A13&amp;"-"&amp;Q$3,$A13&amp;"-"&amp;AT$3),CoSo3[],DoanhThuThang!AU$38,0),"")</f>
        <v>127</v>
      </c>
      <c r="R13" s="14">
        <f>IFERROR(VLOOKUP(IF(MOD(COLUMN(R13),2)=1,$A13&amp;"-"&amp;R$3,$A13&amp;"-"&amp;Q$3),CoSo3[],DoanhThuThang!AV$38,0),"")</f>
        <v>3</v>
      </c>
      <c r="S13" s="14">
        <f>IFERROR(VLOOKUP(IF(MOD(COLUMN(S13),2)=1,$A13&amp;"-"&amp;S$3,$A13&amp;"-"&amp;R$3),CoSo3[],DoanhThuThang!AW$38,0),"")</f>
        <v>296.5</v>
      </c>
      <c r="T13" s="14">
        <f>IFERROR(VLOOKUP(IF(MOD(COLUMN(T13),2)=1,$A13&amp;"-"&amp;T$3,$A13&amp;"-"&amp;S$3),CoSo3[],DoanhThuThang!AX$38,0),"")</f>
        <v>7</v>
      </c>
      <c r="U13" s="11">
        <f t="shared" si="10"/>
        <v>423.5</v>
      </c>
      <c r="V13" s="11">
        <f t="shared" si="10"/>
        <v>10</v>
      </c>
      <c r="W13" s="14"/>
      <c r="X13" s="14">
        <f>IFERROR(VLOOKUP(IF(MOD(COLUMN(BI13),2)=1,$A13&amp;"-"&amp;BI$3,$A13&amp;"-"&amp;BH$3),CoSo4[],DoanhThuThang!BI$38,0),"")</f>
        <v>166</v>
      </c>
      <c r="Y13" s="14">
        <f>IFERROR(VLOOKUP(IF(MOD(COLUMN(BJ13),2)=1,$A13&amp;"-"&amp;BJ$3,$A13&amp;"-"&amp;BI$3),CoSo4[],DoanhThuThang!BJ$38,0),"")</f>
        <v>4</v>
      </c>
      <c r="Z13" s="14">
        <f>IFERROR(VLOOKUP(IF(MOD(COLUMN(BK13),2)=1,$A13&amp;"-"&amp;BK$3,$A13&amp;"-"&amp;BJ$3),CoSo4[],DoanhThuThang!BK$38,0),"")</f>
        <v>31.5</v>
      </c>
      <c r="AA13" s="14">
        <f>IFERROR(VLOOKUP(IF(MOD(COLUMN(BL13),2)=1,$A13&amp;"-"&amp;BL$3,$A13&amp;"-"&amp;BK$3),CoSo4[],DoanhThuThang!BL$38,0),"")</f>
        <v>1</v>
      </c>
      <c r="AB13" s="11">
        <f t="shared" si="1"/>
        <v>197.5</v>
      </c>
      <c r="AC13" s="11">
        <f t="shared" si="2"/>
        <v>5</v>
      </c>
      <c r="AD13" s="14"/>
      <c r="AF13" s="14">
        <f>IFERROR(VLOOKUP(IF(MOD(COLUMN(AF13),2)=0,$A13&amp;"-"&amp;AF$3,$A13&amp;"-"&amp;CK$3),CoSo1[],AF$38,0),"")</f>
        <v>0</v>
      </c>
      <c r="AG13" s="14">
        <f>IFERROR(VLOOKUP(IF(MOD(COLUMN(AG13),2)=0,$A13&amp;"-"&amp;AG$3,$A13&amp;"-"&amp;AF$3),CoSo1[],AG$38,0),"")</f>
        <v>0</v>
      </c>
      <c r="AH13" s="14">
        <f>IFERROR(VLOOKUP(IF(MOD(COLUMN(AH13),2)=0,$A13&amp;"-"&amp;AH$3,$A13&amp;"-"&amp;AG$3),CoSo1[],AH$38,0),"")</f>
        <v>0</v>
      </c>
      <c r="AI13" s="14">
        <f>IFERROR(VLOOKUP(IF(MOD(COLUMN(AI13),2)=0,$A13&amp;"-"&amp;AI$3,$A13&amp;"-"&amp;AH$3),CoSo1[],AI$38,0),"")</f>
        <v>0</v>
      </c>
      <c r="AJ13" s="14">
        <f>IFERROR(VLOOKUP(IF(MOD(COLUMN(AJ13),2)=0,$A13&amp;"-"&amp;AJ$3,$A13&amp;"-"&amp;AI$3),CoSo1[],AJ$38,0),"")</f>
        <v>0</v>
      </c>
      <c r="AK13" s="14">
        <f>IFERROR(VLOOKUP(IF(MOD(COLUMN(AK13),2)=0,$A13&amp;"-"&amp;AK$3,$A13&amp;"-"&amp;AJ$3),CoSo1[],AK$38,0),"")</f>
        <v>0</v>
      </c>
      <c r="AL13" s="14">
        <f>IFERROR(VLOOKUP(IF(MOD(COLUMN(AL13),2)=0,$A13&amp;"-"&amp;AL$3,$A13&amp;"-"&amp;AK$3),CoSo1[],AL$38,0),"")</f>
        <v>0</v>
      </c>
      <c r="AM13" s="14">
        <f>IFERROR(VLOOKUP(IF(MOD(COLUMN(AM13),2)=0,$A13&amp;"-"&amp;AM$3,$A13&amp;"-"&amp;AL$3),CoSo1[],AM$38,0),"")</f>
        <v>0</v>
      </c>
      <c r="AN13" s="14">
        <f>IFERROR(VLOOKUP(IF(MOD(COLUMN(AN13),2)=0,$A13&amp;"-"&amp;AN$3,$A13&amp;"-"&amp;AM$3),CoSo1[],AN$38,0),"")</f>
        <v>0</v>
      </c>
      <c r="AO13" s="14">
        <f>IFERROR(VLOOKUP(IF(MOD(COLUMN(AO13),2)=0,$A13&amp;"-"&amp;AO$3,$A13&amp;"-"&amp;AN$3),CoSo1[],AO$38,0),"")</f>
        <v>0</v>
      </c>
      <c r="AP13" s="14">
        <f>IFERROR(VLOOKUP(IF(MOD(COLUMN(AP13),2)=0,$A13&amp;"-"&amp;AP$3,$A13&amp;"-"&amp;AO$3),CoSo1[],AP$38,0),"")</f>
        <v>0</v>
      </c>
      <c r="AQ13" s="14">
        <f>IFERROR(VLOOKUP(IF(MOD(COLUMN(AQ13),2)=0,$A13&amp;"-"&amp;AQ$3,$A13&amp;"-"&amp;AP$3),CoSo1[],AQ$38,0),"")</f>
        <v>0</v>
      </c>
      <c r="AR13" s="11">
        <f t="shared" si="4"/>
        <v>0</v>
      </c>
      <c r="AS13" s="11">
        <f t="shared" si="4"/>
        <v>0</v>
      </c>
      <c r="AT13" s="14"/>
      <c r="BB13" s="14">
        <f>IFERROR(VLOOKUP(IF(MOD(COLUMN(BB13),2)=0,$A13&amp;"-"&amp;BB$3,$A13&amp;"-"&amp;W$3),CoSo3[],DoanhThuThang!BB$38,0),"")</f>
        <v>0</v>
      </c>
      <c r="BC13" s="14">
        <f>IFERROR(VLOOKUP(IF(MOD(COLUMN(BC13),2)=0,$A13&amp;"-"&amp;BC$3,$A13&amp;"-"&amp;BB$3),CoSo3[],DoanhThuThang!BC$38,0),"")</f>
        <v>0</v>
      </c>
      <c r="BD13" s="14">
        <f>IFERROR(VLOOKUP(IF(MOD(COLUMN(BD13),2)=0,$A13&amp;"-"&amp;BD$3,$A13&amp;"-"&amp;BC$3),CoSo3[],DoanhThuThang!BD$38,0),"")</f>
        <v>0</v>
      </c>
      <c r="BE13" s="14">
        <f>IFERROR(VLOOKUP(IF(MOD(COLUMN(BE13),2)=0,$A13&amp;"-"&amp;BE$3,$A13&amp;"-"&amp;BD$3),CoSo3[],DoanhThuThang!BE$38,0),"")</f>
        <v>0</v>
      </c>
      <c r="BF13" s="11">
        <f t="shared" si="11"/>
        <v>0</v>
      </c>
      <c r="BG13" s="11">
        <f t="shared" si="11"/>
        <v>0</v>
      </c>
      <c r="BH13" s="14"/>
      <c r="BI13" s="14">
        <f>IFERROR(VLOOKUP(IF(MOD(COLUMN(BI13),2)=1,$A13&amp;"-"&amp;BI$3,$A13&amp;"-"&amp;BH$3),CoSo4[],DoanhThuThang!BI$38,0),"")</f>
        <v>166</v>
      </c>
      <c r="BJ13" s="14">
        <f>IFERROR(VLOOKUP(IF(MOD(COLUMN(BJ13),2)=1,$A13&amp;"-"&amp;BJ$3,$A13&amp;"-"&amp;BI$3),CoSo4[],DoanhThuThang!BJ$38,0),"")</f>
        <v>4</v>
      </c>
      <c r="BK13" s="14">
        <f>IFERROR(VLOOKUP(IF(MOD(COLUMN(BK13),2)=1,$A13&amp;"-"&amp;BK$3,$A13&amp;"-"&amp;BJ$3),CoSo4[],DoanhThuThang!BK$38,0),"")</f>
        <v>31.5</v>
      </c>
      <c r="BL13" s="14">
        <f>IFERROR(VLOOKUP(IF(MOD(COLUMN(BL13),2)=1,$A13&amp;"-"&amp;BL$3,$A13&amp;"-"&amp;BK$3),CoSo4[],DoanhThuThang!BL$38,0),"")</f>
        <v>1</v>
      </c>
      <c r="BM13" s="11">
        <f t="shared" si="6"/>
        <v>197.5</v>
      </c>
      <c r="BN13" s="11">
        <f t="shared" si="7"/>
        <v>5</v>
      </c>
      <c r="BO13" s="14"/>
      <c r="BP13" s="14">
        <f>IFERROR(VLOOKUP(IF(MOD(COLUMN(BP13),2)=0,$A13&amp;"-"&amp;BP$3,$A13&amp;"-"&amp;BO$3),CoSo4[],DoanhThuThang!BP$38,0),"")</f>
        <v>0</v>
      </c>
      <c r="BQ13" s="14">
        <f>IFERROR(VLOOKUP(IF(MOD(COLUMN(BQ13),2)=0,$A13&amp;"-"&amp;BQ$3,$A13&amp;"-"&amp;BP$3),CoSo4[],DoanhThuThang!BQ$38,0),"")</f>
        <v>0</v>
      </c>
      <c r="BR13" s="14">
        <f>IFERROR(VLOOKUP(IF(MOD(COLUMN(BR13),2)=0,$A13&amp;"-"&amp;BR$3,$A13&amp;"-"&amp;BQ$3),CoSo4[],DoanhThuThang!BR$38,0),"")</f>
        <v>0</v>
      </c>
      <c r="BS13" s="14">
        <f>IFERROR(VLOOKUP(IF(MOD(COLUMN(BS13),2)=0,$A13&amp;"-"&amp;BS$3,$A13&amp;"-"&amp;BR$3),CoSo4[],DoanhThuThang!BS$38,0),"")</f>
        <v>0</v>
      </c>
      <c r="BT13" s="11">
        <f t="shared" si="12"/>
        <v>0</v>
      </c>
      <c r="BU13" s="11">
        <f t="shared" si="12"/>
        <v>0</v>
      </c>
      <c r="BV13" s="14"/>
      <c r="BW13" s="14">
        <f>IFERROR(VLOOKUP(IF(MOD(COLUMN(BW13),2)=1,$A13&amp;"-"&amp;BW$3,$A13&amp;"-"&amp;P$3),CoSo1[],BW$38,0),"")</f>
        <v>0</v>
      </c>
      <c r="BX13" s="14">
        <f>IFERROR(VLOOKUP(IF(MOD(COLUMN(BX13),2)=1,$A13&amp;"-"&amp;BX$3,$A13&amp;"-"&amp;BW$3),CoSo1[],BX$38,0),"")</f>
        <v>0</v>
      </c>
      <c r="BY13" s="14">
        <f>IFERROR(VLOOKUP(IF(MOD(COLUMN(BY13),2)=1,$A13&amp;"-"&amp;BY$3,$A13&amp;"-"&amp;BX$3),CoSo1[],BY$38,0),"")</f>
        <v>22</v>
      </c>
      <c r="BZ13" s="14">
        <f>IFERROR(VLOOKUP(IF(MOD(COLUMN(BZ13),2)=1,$A13&amp;"-"&amp;BZ$3,$A13&amp;"-"&amp;BY$3),CoSo1[],BZ$38,0),"")</f>
        <v>1</v>
      </c>
      <c r="CA13" s="14">
        <f>IFERROR(VLOOKUP(IF(MOD(COLUMN(CA13),2)=1,$A13&amp;"-"&amp;CA$3,$A13&amp;"-"&amp;BZ$3),CoSo1[],CA$38,0),"")</f>
        <v>0</v>
      </c>
      <c r="CB13" s="14">
        <f>IFERROR(VLOOKUP(IF(MOD(COLUMN(CB13),2)=1,$A13&amp;"-"&amp;CB$3,$A13&amp;"-"&amp;CA$3),CoSo1[],CB$38,0),"")</f>
        <v>0</v>
      </c>
      <c r="CC13" s="14">
        <f>IFERROR(VLOOKUP(IF(MOD(COLUMN(CC13),2)=1,$A13&amp;"-"&amp;CC$3,$A13&amp;"-"&amp;CB$3),CoSo1[],CC$38,0),"")</f>
        <v>0</v>
      </c>
      <c r="CD13" s="14">
        <f>IFERROR(VLOOKUP(IF(MOD(COLUMN(CD13),2)=1,$A13&amp;"-"&amp;CD$3,$A13&amp;"-"&amp;CC$3),CoSo1[],CD$38,0),"")</f>
        <v>0</v>
      </c>
      <c r="CE13" s="14">
        <f>IFERROR(VLOOKUP(IF(MOD(COLUMN(CE13),2)=1,$A13&amp;"-"&amp;CE$3,$A13&amp;"-"&amp;CD$3),CoSo1[],CE$38,0),"")</f>
        <v>0</v>
      </c>
      <c r="CF13" s="14">
        <f>IFERROR(VLOOKUP(IF(MOD(COLUMN(CF13),2)=1,$A13&amp;"-"&amp;CF$3,$A13&amp;"-"&amp;CE$3),CoSo1[],CF$38,0),"")</f>
        <v>0</v>
      </c>
      <c r="CG13" s="14">
        <f>IFERROR(VLOOKUP(IF(MOD(COLUMN(CG13),2)=1,$A13&amp;"-"&amp;CG$3,$A13&amp;"-"&amp;CF$3),CoSo1[],CG$38,0),"")</f>
        <v>0</v>
      </c>
      <c r="CH13" s="14">
        <f>IFERROR(VLOOKUP(IF(MOD(COLUMN(CH13),2)=1,$A13&amp;"-"&amp;CH$3,$A13&amp;"-"&amp;CG$3),CoSo1[],CH$38,0),"")</f>
        <v>0</v>
      </c>
      <c r="CI13" s="11">
        <f t="shared" si="9"/>
        <v>22</v>
      </c>
      <c r="CJ13" s="11">
        <f t="shared" si="9"/>
        <v>1</v>
      </c>
      <c r="CK13" s="14"/>
    </row>
    <row r="14" spans="1:89" x14ac:dyDescent="0.25">
      <c r="A14" s="13">
        <v>9</v>
      </c>
      <c r="B14" s="14">
        <f>IFERROR(VLOOKUP(IF(MOD(COLUMN(B14),2)=0,$A14&amp;"-"&amp;B$3,$A14&amp;"-"&amp;A$3),CoSo1[],B$38,0),"")</f>
        <v>348</v>
      </c>
      <c r="C14" s="14">
        <f>IFERROR(VLOOKUP(IF(MOD(COLUMN(C14),2)=0,$A14&amp;"-"&amp;C$3,$A14&amp;"-"&amp;B$3),CoSo1[],C$38,0),"")</f>
        <v>7</v>
      </c>
      <c r="D14" s="14">
        <f>IFERROR(VLOOKUP(IF(MOD(COLUMN(D14),2)=0,$A14&amp;"-"&amp;D$3,$A14&amp;"-"&amp;C$3),CoSo1[],D$38,0),"")</f>
        <v>329</v>
      </c>
      <c r="E14" s="14">
        <f>IFERROR(VLOOKUP(IF(MOD(COLUMN(E14),2)=0,$A14&amp;"-"&amp;E$3,$A14&amp;"-"&amp;D$3),CoSo1[],E$38,0),"")</f>
        <v>7</v>
      </c>
      <c r="F14" s="14">
        <f>IFERROR(VLOOKUP(IF(MOD(COLUMN(F14),2)=0,$A14&amp;"-"&amp;F$3,$A14&amp;"-"&amp;E$3),CoSo1[],F$38,0),"")</f>
        <v>0</v>
      </c>
      <c r="G14" s="14">
        <f>IFERROR(VLOOKUP(IF(MOD(COLUMN(G14),2)=0,$A14&amp;"-"&amp;G$3,$A14&amp;"-"&amp;F$3),CoSo1[],G$38,0),"")</f>
        <v>0</v>
      </c>
      <c r="H14" s="14">
        <f>IFERROR(VLOOKUP(IF(MOD(COLUMN(H14),2)=0,$A14&amp;"-"&amp;H$3,$A14&amp;"-"&amp;G$3),CoSo1[],H$38,0),"")</f>
        <v>409</v>
      </c>
      <c r="I14" s="14">
        <f>IFERROR(VLOOKUP(IF(MOD(COLUMN(I14),2)=0,$A14&amp;"-"&amp;I$3,$A14&amp;"-"&amp;H$3),CoSo1[],I$38,0),"")</f>
        <v>4</v>
      </c>
      <c r="J14" s="14">
        <f>IFERROR(VLOOKUP(IF(MOD(COLUMN(J14),2)=0,$A14&amp;"-"&amp;J$3,$A14&amp;"-"&amp;I$3),CoSo1[],J$38,0),"")</f>
        <v>0</v>
      </c>
      <c r="K14" s="14">
        <f>IFERROR(VLOOKUP(IF(MOD(COLUMN(K14),2)=0,$A14&amp;"-"&amp;K$3,$A14&amp;"-"&amp;J$3),CoSo1[],K$38,0),"")</f>
        <v>0</v>
      </c>
      <c r="L14" s="14">
        <f>IFERROR(VLOOKUP(IF(MOD(COLUMN(L14),2)=0,$A14&amp;"-"&amp;L$3,$A14&amp;"-"&amp;K$3),CoSo1[],L$38,0),"")</f>
        <v>0</v>
      </c>
      <c r="M14" s="14">
        <f>IFERROR(VLOOKUP(IF(MOD(COLUMN(M14),2)=0,$A14&amp;"-"&amp;M$3,$A14&amp;"-"&amp;L$3),CoSo1[],M$38,0),"")</f>
        <v>0</v>
      </c>
      <c r="N14" s="11">
        <f t="shared" si="13"/>
        <v>1086</v>
      </c>
      <c r="O14" s="11">
        <f t="shared" si="14"/>
        <v>18</v>
      </c>
      <c r="P14" s="14"/>
      <c r="Q14" s="14">
        <f>IFERROR(VLOOKUP(IF(MOD(COLUMN(Q14),2)=1,$A14&amp;"-"&amp;Q$3,$A14&amp;"-"&amp;AT$3),CoSo3[],DoanhThuThang!AU$38,0),"")</f>
        <v>251</v>
      </c>
      <c r="R14" s="14">
        <f>IFERROR(VLOOKUP(IF(MOD(COLUMN(R14),2)=1,$A14&amp;"-"&amp;R$3,$A14&amp;"-"&amp;Q$3),CoSo3[],DoanhThuThang!AV$38,0),"")</f>
        <v>3</v>
      </c>
      <c r="S14" s="14">
        <f>IFERROR(VLOOKUP(IF(MOD(COLUMN(S14),2)=1,$A14&amp;"-"&amp;S$3,$A14&amp;"-"&amp;R$3),CoSo3[],DoanhThuThang!AW$38,0),"")</f>
        <v>215</v>
      </c>
      <c r="T14" s="14">
        <f>IFERROR(VLOOKUP(IF(MOD(COLUMN(T14),2)=1,$A14&amp;"-"&amp;T$3,$A14&amp;"-"&amp;S$3),CoSo3[],DoanhThuThang!AX$38,0),"")</f>
        <v>7</v>
      </c>
      <c r="U14" s="11">
        <f t="shared" si="10"/>
        <v>466</v>
      </c>
      <c r="V14" s="11">
        <f t="shared" si="10"/>
        <v>10</v>
      </c>
      <c r="W14" s="14"/>
      <c r="X14" s="14">
        <f>IFERROR(VLOOKUP(IF(MOD(COLUMN(BI14),2)=1,$A14&amp;"-"&amp;BI$3,$A14&amp;"-"&amp;BH$3),CoSo4[],DoanhThuThang!BI$38,0),"")</f>
        <v>6</v>
      </c>
      <c r="Y14" s="14">
        <f>IFERROR(VLOOKUP(IF(MOD(COLUMN(BJ14),2)=1,$A14&amp;"-"&amp;BJ$3,$A14&amp;"-"&amp;BI$3),CoSo4[],DoanhThuThang!BJ$38,0),"")</f>
        <v>1</v>
      </c>
      <c r="Z14" s="14">
        <f>IFERROR(VLOOKUP(IF(MOD(COLUMN(BK14),2)=1,$A14&amp;"-"&amp;BK$3,$A14&amp;"-"&amp;BJ$3),CoSo4[],DoanhThuThang!BK$38,0),"")</f>
        <v>208</v>
      </c>
      <c r="AA14" s="14">
        <f>IFERROR(VLOOKUP(IF(MOD(COLUMN(BL14),2)=1,$A14&amp;"-"&amp;BL$3,$A14&amp;"-"&amp;BK$3),CoSo4[],DoanhThuThang!BL$38,0),"")</f>
        <v>5</v>
      </c>
      <c r="AB14" s="11">
        <f t="shared" si="1"/>
        <v>214</v>
      </c>
      <c r="AC14" s="11">
        <f t="shared" si="2"/>
        <v>6</v>
      </c>
      <c r="AD14" s="14"/>
      <c r="AF14" s="14">
        <f>IFERROR(VLOOKUP(IF(MOD(COLUMN(AF14),2)=0,$A14&amp;"-"&amp;AF$3,$A14&amp;"-"&amp;CK$3),CoSo1[],AF$38,0),"")</f>
        <v>0</v>
      </c>
      <c r="AG14" s="14">
        <f>IFERROR(VLOOKUP(IF(MOD(COLUMN(AG14),2)=0,$A14&amp;"-"&amp;AG$3,$A14&amp;"-"&amp;AF$3),CoSo1[],AG$38,0),"")</f>
        <v>0</v>
      </c>
      <c r="AH14" s="14">
        <f>IFERROR(VLOOKUP(IF(MOD(COLUMN(AH14),2)=0,$A14&amp;"-"&amp;AH$3,$A14&amp;"-"&amp;AG$3),CoSo1[],AH$38,0),"")</f>
        <v>180</v>
      </c>
      <c r="AI14" s="14">
        <f>IFERROR(VLOOKUP(IF(MOD(COLUMN(AI14),2)=0,$A14&amp;"-"&amp;AI$3,$A14&amp;"-"&amp;AH$3),CoSo1[],AI$38,0),"")</f>
        <v>3</v>
      </c>
      <c r="AJ14" s="14">
        <f>IFERROR(VLOOKUP(IF(MOD(COLUMN(AJ14),2)=0,$A14&amp;"-"&amp;AJ$3,$A14&amp;"-"&amp;AI$3),CoSo1[],AJ$38,0),"")</f>
        <v>0</v>
      </c>
      <c r="AK14" s="14">
        <f>IFERROR(VLOOKUP(IF(MOD(COLUMN(AK14),2)=0,$A14&amp;"-"&amp;AK$3,$A14&amp;"-"&amp;AJ$3),CoSo1[],AK$38,0),"")</f>
        <v>0</v>
      </c>
      <c r="AL14" s="14">
        <f>IFERROR(VLOOKUP(IF(MOD(COLUMN(AL14),2)=0,$A14&amp;"-"&amp;AL$3,$A14&amp;"-"&amp;AK$3),CoSo1[],AL$38,0),"")</f>
        <v>0</v>
      </c>
      <c r="AM14" s="14">
        <f>IFERROR(VLOOKUP(IF(MOD(COLUMN(AM14),2)=0,$A14&amp;"-"&amp;AM$3,$A14&amp;"-"&amp;AL$3),CoSo1[],AM$38,0),"")</f>
        <v>0</v>
      </c>
      <c r="AN14" s="14">
        <f>IFERROR(VLOOKUP(IF(MOD(COLUMN(AN14),2)=0,$A14&amp;"-"&amp;AN$3,$A14&amp;"-"&amp;AM$3),CoSo1[],AN$38,0),"")</f>
        <v>0</v>
      </c>
      <c r="AO14" s="14">
        <f>IFERROR(VLOOKUP(IF(MOD(COLUMN(AO14),2)=0,$A14&amp;"-"&amp;AO$3,$A14&amp;"-"&amp;AN$3),CoSo1[],AO$38,0),"")</f>
        <v>0</v>
      </c>
      <c r="AP14" s="14">
        <f>IFERROR(VLOOKUP(IF(MOD(COLUMN(AP14),2)=0,$A14&amp;"-"&amp;AP$3,$A14&amp;"-"&amp;AO$3),CoSo1[],AP$38,0),"")</f>
        <v>0</v>
      </c>
      <c r="AQ14" s="14">
        <f>IFERROR(VLOOKUP(IF(MOD(COLUMN(AQ14),2)=0,$A14&amp;"-"&amp;AQ$3,$A14&amp;"-"&amp;AP$3),CoSo1[],AQ$38,0),"")</f>
        <v>0</v>
      </c>
      <c r="AR14" s="11">
        <f t="shared" si="4"/>
        <v>180</v>
      </c>
      <c r="AS14" s="11">
        <f t="shared" si="4"/>
        <v>3</v>
      </c>
      <c r="AT14" s="14"/>
      <c r="BB14" s="14">
        <f>IFERROR(VLOOKUP(IF(MOD(COLUMN(BB14),2)=0,$A14&amp;"-"&amp;BB$3,$A14&amp;"-"&amp;W$3),CoSo3[],DoanhThuThang!BB$38,0),"")</f>
        <v>0</v>
      </c>
      <c r="BC14" s="14">
        <f>IFERROR(VLOOKUP(IF(MOD(COLUMN(BC14),2)=0,$A14&amp;"-"&amp;BC$3,$A14&amp;"-"&amp;BB$3),CoSo3[],DoanhThuThang!BC$38,0),"")</f>
        <v>0</v>
      </c>
      <c r="BD14" s="14">
        <f>IFERROR(VLOOKUP(IF(MOD(COLUMN(BD14),2)=0,$A14&amp;"-"&amp;BD$3,$A14&amp;"-"&amp;BC$3),CoSo3[],DoanhThuThang!BD$38,0),"")</f>
        <v>0</v>
      </c>
      <c r="BE14" s="14">
        <f>IFERROR(VLOOKUP(IF(MOD(COLUMN(BE14),2)=0,$A14&amp;"-"&amp;BE$3,$A14&amp;"-"&amp;BD$3),CoSo3[],DoanhThuThang!BE$38,0),"")</f>
        <v>0</v>
      </c>
      <c r="BF14" s="11">
        <f t="shared" si="11"/>
        <v>0</v>
      </c>
      <c r="BG14" s="11">
        <f t="shared" si="11"/>
        <v>0</v>
      </c>
      <c r="BH14" s="14"/>
      <c r="BI14" s="14">
        <f>IFERROR(VLOOKUP(IF(MOD(COLUMN(BI14),2)=1,$A14&amp;"-"&amp;BI$3,$A14&amp;"-"&amp;BH$3),CoSo4[],DoanhThuThang!BI$38,0),"")</f>
        <v>6</v>
      </c>
      <c r="BJ14" s="14">
        <f>IFERROR(VLOOKUP(IF(MOD(COLUMN(BJ14),2)=1,$A14&amp;"-"&amp;BJ$3,$A14&amp;"-"&amp;BI$3),CoSo4[],DoanhThuThang!BJ$38,0),"")</f>
        <v>1</v>
      </c>
      <c r="BK14" s="14">
        <f>IFERROR(VLOOKUP(IF(MOD(COLUMN(BK14),2)=1,$A14&amp;"-"&amp;BK$3,$A14&amp;"-"&amp;BJ$3),CoSo4[],DoanhThuThang!BK$38,0),"")</f>
        <v>208</v>
      </c>
      <c r="BL14" s="14">
        <f>IFERROR(VLOOKUP(IF(MOD(COLUMN(BL14),2)=1,$A14&amp;"-"&amp;BL$3,$A14&amp;"-"&amp;BK$3),CoSo4[],DoanhThuThang!BL$38,0),"")</f>
        <v>5</v>
      </c>
      <c r="BM14" s="11">
        <f t="shared" si="6"/>
        <v>214</v>
      </c>
      <c r="BN14" s="11">
        <f t="shared" si="7"/>
        <v>6</v>
      </c>
      <c r="BO14" s="14"/>
      <c r="BP14" s="14">
        <f>IFERROR(VLOOKUP(IF(MOD(COLUMN(BP14),2)=0,$A14&amp;"-"&amp;BP$3,$A14&amp;"-"&amp;BO$3),CoSo4[],DoanhThuThang!BP$38,0),"")</f>
        <v>0</v>
      </c>
      <c r="BQ14" s="14">
        <f>IFERROR(VLOOKUP(IF(MOD(COLUMN(BQ14),2)=0,$A14&amp;"-"&amp;BQ$3,$A14&amp;"-"&amp;BP$3),CoSo4[],DoanhThuThang!BQ$38,0),"")</f>
        <v>0</v>
      </c>
      <c r="BR14" s="14">
        <f>IFERROR(VLOOKUP(IF(MOD(COLUMN(BR14),2)=0,$A14&amp;"-"&amp;BR$3,$A14&amp;"-"&amp;BQ$3),CoSo4[],DoanhThuThang!BR$38,0),"")</f>
        <v>0</v>
      </c>
      <c r="BS14" s="14">
        <f>IFERROR(VLOOKUP(IF(MOD(COLUMN(BS14),2)=0,$A14&amp;"-"&amp;BS$3,$A14&amp;"-"&amp;BR$3),CoSo4[],DoanhThuThang!BS$38,0),"")</f>
        <v>0</v>
      </c>
      <c r="BT14" s="11">
        <f t="shared" si="12"/>
        <v>0</v>
      </c>
      <c r="BU14" s="11">
        <f t="shared" si="12"/>
        <v>0</v>
      </c>
      <c r="BV14" s="14"/>
      <c r="BW14" s="14">
        <f>IFERROR(VLOOKUP(IF(MOD(COLUMN(BW14),2)=1,$A14&amp;"-"&amp;BW$3,$A14&amp;"-"&amp;P$3),CoSo1[],BW$38,0),"")</f>
        <v>0</v>
      </c>
      <c r="BX14" s="14">
        <f>IFERROR(VLOOKUP(IF(MOD(COLUMN(BX14),2)=1,$A14&amp;"-"&amp;BX$3,$A14&amp;"-"&amp;BW$3),CoSo1[],BX$38,0),"")</f>
        <v>0</v>
      </c>
      <c r="BY14" s="14">
        <f>IFERROR(VLOOKUP(IF(MOD(COLUMN(BY14),2)=1,$A14&amp;"-"&amp;BY$3,$A14&amp;"-"&amp;BX$3),CoSo1[],BY$38,0),"")</f>
        <v>0</v>
      </c>
      <c r="BZ14" s="14">
        <f>IFERROR(VLOOKUP(IF(MOD(COLUMN(BZ14),2)=1,$A14&amp;"-"&amp;BZ$3,$A14&amp;"-"&amp;BY$3),CoSo1[],BZ$38,0),"")</f>
        <v>0</v>
      </c>
      <c r="CA14" s="14">
        <f>IFERROR(VLOOKUP(IF(MOD(COLUMN(CA14),2)=1,$A14&amp;"-"&amp;CA$3,$A14&amp;"-"&amp;BZ$3),CoSo1[],CA$38,0),"")</f>
        <v>0</v>
      </c>
      <c r="CB14" s="14">
        <f>IFERROR(VLOOKUP(IF(MOD(COLUMN(CB14),2)=1,$A14&amp;"-"&amp;CB$3,$A14&amp;"-"&amp;CA$3),CoSo1[],CB$38,0),"")</f>
        <v>0</v>
      </c>
      <c r="CC14" s="14">
        <f>IFERROR(VLOOKUP(IF(MOD(COLUMN(CC14),2)=1,$A14&amp;"-"&amp;CC$3,$A14&amp;"-"&amp;CB$3),CoSo1[],CC$38,0),"")</f>
        <v>0</v>
      </c>
      <c r="CD14" s="14">
        <f>IFERROR(VLOOKUP(IF(MOD(COLUMN(CD14),2)=1,$A14&amp;"-"&amp;CD$3,$A14&amp;"-"&amp;CC$3),CoSo1[],CD$38,0),"")</f>
        <v>0</v>
      </c>
      <c r="CE14" s="14">
        <f>IFERROR(VLOOKUP(IF(MOD(COLUMN(CE14),2)=1,$A14&amp;"-"&amp;CE$3,$A14&amp;"-"&amp;CD$3),CoSo1[],CE$38,0),"")</f>
        <v>0</v>
      </c>
      <c r="CF14" s="14">
        <f>IFERROR(VLOOKUP(IF(MOD(COLUMN(CF14),2)=1,$A14&amp;"-"&amp;CF$3,$A14&amp;"-"&amp;CE$3),CoSo1[],CF$38,0),"")</f>
        <v>0</v>
      </c>
      <c r="CG14" s="14">
        <f>IFERROR(VLOOKUP(IF(MOD(COLUMN(CG14),2)=1,$A14&amp;"-"&amp;CG$3,$A14&amp;"-"&amp;CF$3),CoSo1[],CG$38,0),"")</f>
        <v>0</v>
      </c>
      <c r="CH14" s="14">
        <f>IFERROR(VLOOKUP(IF(MOD(COLUMN(CH14),2)=1,$A14&amp;"-"&amp;CH$3,$A14&amp;"-"&amp;CG$3),CoSo1[],CH$38,0),"")</f>
        <v>0</v>
      </c>
      <c r="CI14" s="11">
        <f t="shared" si="9"/>
        <v>0</v>
      </c>
      <c r="CJ14" s="11">
        <f t="shared" si="9"/>
        <v>0</v>
      </c>
      <c r="CK14" s="14"/>
    </row>
    <row r="15" spans="1:89" x14ac:dyDescent="0.25">
      <c r="A15" s="13">
        <v>10</v>
      </c>
      <c r="B15" s="14">
        <f>IFERROR(VLOOKUP(IF(MOD(COLUMN(B15),2)=0,$A15&amp;"-"&amp;B$3,$A15&amp;"-"&amp;A$3),CoSo1[],B$38,0),"")</f>
        <v>279</v>
      </c>
      <c r="C15" s="14">
        <f>IFERROR(VLOOKUP(IF(MOD(COLUMN(C15),2)=0,$A15&amp;"-"&amp;C$3,$A15&amp;"-"&amp;B$3),CoSo1[],C$38,0),"")</f>
        <v>3</v>
      </c>
      <c r="D15" s="14">
        <f>IFERROR(VLOOKUP(IF(MOD(COLUMN(D15),2)=0,$A15&amp;"-"&amp;D$3,$A15&amp;"-"&amp;C$3),CoSo1[],D$38,0),"")</f>
        <v>876</v>
      </c>
      <c r="E15" s="14">
        <f>IFERROR(VLOOKUP(IF(MOD(COLUMN(E15),2)=0,$A15&amp;"-"&amp;E$3,$A15&amp;"-"&amp;D$3),CoSo1[],E$38,0),"")</f>
        <v>8</v>
      </c>
      <c r="F15" s="14">
        <f>IFERROR(VLOOKUP(IF(MOD(COLUMN(F15),2)=0,$A15&amp;"-"&amp;F$3,$A15&amp;"-"&amp;E$3),CoSo1[],F$38,0),"")</f>
        <v>0</v>
      </c>
      <c r="G15" s="14">
        <f>IFERROR(VLOOKUP(IF(MOD(COLUMN(G15),2)=0,$A15&amp;"-"&amp;G$3,$A15&amp;"-"&amp;F$3),CoSo1[],G$38,0),"")</f>
        <v>0</v>
      </c>
      <c r="H15" s="14">
        <f>IFERROR(VLOOKUP(IF(MOD(COLUMN(H15),2)=0,$A15&amp;"-"&amp;H$3,$A15&amp;"-"&amp;G$3),CoSo1[],H$38,0),"")</f>
        <v>261</v>
      </c>
      <c r="I15" s="14">
        <f>IFERROR(VLOOKUP(IF(MOD(COLUMN(I15),2)=0,$A15&amp;"-"&amp;I$3,$A15&amp;"-"&amp;H$3),CoSo1[],I$38,0),"")</f>
        <v>3</v>
      </c>
      <c r="J15" s="14">
        <f>IFERROR(VLOOKUP(IF(MOD(COLUMN(J15),2)=0,$A15&amp;"-"&amp;J$3,$A15&amp;"-"&amp;I$3),CoSo1[],J$38,0),"")</f>
        <v>0</v>
      </c>
      <c r="K15" s="14">
        <f>IFERROR(VLOOKUP(IF(MOD(COLUMN(K15),2)=0,$A15&amp;"-"&amp;K$3,$A15&amp;"-"&amp;J$3),CoSo1[],K$38,0),"")</f>
        <v>0</v>
      </c>
      <c r="L15" s="14">
        <f>IFERROR(VLOOKUP(IF(MOD(COLUMN(L15),2)=0,$A15&amp;"-"&amp;L$3,$A15&amp;"-"&amp;K$3),CoSo1[],L$38,0),"")</f>
        <v>420</v>
      </c>
      <c r="M15" s="14">
        <f>IFERROR(VLOOKUP(IF(MOD(COLUMN(M15),2)=0,$A15&amp;"-"&amp;M$3,$A15&amp;"-"&amp;L$3),CoSo1[],M$38,0),"")</f>
        <v>2</v>
      </c>
      <c r="N15" s="11">
        <f t="shared" si="13"/>
        <v>1836</v>
      </c>
      <c r="O15" s="11">
        <f t="shared" si="14"/>
        <v>16</v>
      </c>
      <c r="P15" s="14"/>
      <c r="Q15" s="14">
        <f>IFERROR(VLOOKUP(IF(MOD(COLUMN(Q15),2)=1,$A15&amp;"-"&amp;Q$3,$A15&amp;"-"&amp;AT$3),CoSo3[],DoanhThuThang!AU$38,0),"")</f>
        <v>293</v>
      </c>
      <c r="R15" s="14">
        <f>IFERROR(VLOOKUP(IF(MOD(COLUMN(R15),2)=1,$A15&amp;"-"&amp;R$3,$A15&amp;"-"&amp;Q$3),CoSo3[],DoanhThuThang!AV$38,0),"")</f>
        <v>4</v>
      </c>
      <c r="S15" s="14">
        <f>IFERROR(VLOOKUP(IF(MOD(COLUMN(S15),2)=1,$A15&amp;"-"&amp;S$3,$A15&amp;"-"&amp;R$3),CoSo3[],DoanhThuThang!AW$38,0),"")</f>
        <v>170</v>
      </c>
      <c r="T15" s="14">
        <f>IFERROR(VLOOKUP(IF(MOD(COLUMN(T15),2)=1,$A15&amp;"-"&amp;T$3,$A15&amp;"-"&amp;S$3),CoSo3[],DoanhThuThang!AX$38,0),"")</f>
        <v>3</v>
      </c>
      <c r="U15" s="11">
        <f t="shared" si="10"/>
        <v>463</v>
      </c>
      <c r="V15" s="11">
        <f t="shared" si="10"/>
        <v>7</v>
      </c>
      <c r="W15" s="14"/>
      <c r="X15" s="14">
        <f>IFERROR(VLOOKUP(IF(MOD(COLUMN(BI15),2)=1,$A15&amp;"-"&amp;BI$3,$A15&amp;"-"&amp;BH$3),CoSo4[],DoanhThuThang!BI$38,0),"")</f>
        <v>0</v>
      </c>
      <c r="Y15" s="14">
        <f>IFERROR(VLOOKUP(IF(MOD(COLUMN(BJ15),2)=1,$A15&amp;"-"&amp;BJ$3,$A15&amp;"-"&amp;BI$3),CoSo4[],DoanhThuThang!BJ$38,0),"")</f>
        <v>0</v>
      </c>
      <c r="Z15" s="14">
        <f>IFERROR(VLOOKUP(IF(MOD(COLUMN(BK15),2)=1,$A15&amp;"-"&amp;BK$3,$A15&amp;"-"&amp;BJ$3),CoSo4[],DoanhThuThang!BK$38,0),"")</f>
        <v>234</v>
      </c>
      <c r="AA15" s="14">
        <f>IFERROR(VLOOKUP(IF(MOD(COLUMN(BL15),2)=1,$A15&amp;"-"&amp;BL$3,$A15&amp;"-"&amp;BK$3),CoSo4[],DoanhThuThang!BL$38,0),"")</f>
        <v>4</v>
      </c>
      <c r="AB15" s="11">
        <f t="shared" si="1"/>
        <v>234</v>
      </c>
      <c r="AC15" s="11">
        <f t="shared" si="2"/>
        <v>4</v>
      </c>
      <c r="AD15" s="14"/>
      <c r="AF15" s="14">
        <f>IFERROR(VLOOKUP(IF(MOD(COLUMN(AF15),2)=0,$A15&amp;"-"&amp;AF$3,$A15&amp;"-"&amp;CK$3),CoSo1[],AF$38,0),"")</f>
        <v>35</v>
      </c>
      <c r="AG15" s="14">
        <f>IFERROR(VLOOKUP(IF(MOD(COLUMN(AG15),2)=0,$A15&amp;"-"&amp;AG$3,$A15&amp;"-"&amp;AF$3),CoSo1[],AG$38,0),"")</f>
        <v>1</v>
      </c>
      <c r="AH15" s="14">
        <f>IFERROR(VLOOKUP(IF(MOD(COLUMN(AH15),2)=0,$A15&amp;"-"&amp;AH$3,$A15&amp;"-"&amp;AG$3),CoSo1[],AH$38,0),"")</f>
        <v>0</v>
      </c>
      <c r="AI15" s="14">
        <f>IFERROR(VLOOKUP(IF(MOD(COLUMN(AI15),2)=0,$A15&amp;"-"&amp;AI$3,$A15&amp;"-"&amp;AH$3),CoSo1[],AI$38,0),"")</f>
        <v>0</v>
      </c>
      <c r="AJ15" s="14">
        <f>IFERROR(VLOOKUP(IF(MOD(COLUMN(AJ15),2)=0,$A15&amp;"-"&amp;AJ$3,$A15&amp;"-"&amp;AI$3),CoSo1[],AJ$38,0),"")</f>
        <v>0</v>
      </c>
      <c r="AK15" s="14">
        <f>IFERROR(VLOOKUP(IF(MOD(COLUMN(AK15),2)=0,$A15&amp;"-"&amp;AK$3,$A15&amp;"-"&amp;AJ$3),CoSo1[],AK$38,0),"")</f>
        <v>0</v>
      </c>
      <c r="AL15" s="14">
        <f>IFERROR(VLOOKUP(IF(MOD(COLUMN(AL15),2)=0,$A15&amp;"-"&amp;AL$3,$A15&amp;"-"&amp;AK$3),CoSo1[],AL$38,0),"")</f>
        <v>0</v>
      </c>
      <c r="AM15" s="14">
        <f>IFERROR(VLOOKUP(IF(MOD(COLUMN(AM15),2)=0,$A15&amp;"-"&amp;AM$3,$A15&amp;"-"&amp;AL$3),CoSo1[],AM$38,0),"")</f>
        <v>0</v>
      </c>
      <c r="AN15" s="14">
        <f>IFERROR(VLOOKUP(IF(MOD(COLUMN(AN15),2)=0,$A15&amp;"-"&amp;AN$3,$A15&amp;"-"&amp;AM$3),CoSo1[],AN$38,0),"")</f>
        <v>0</v>
      </c>
      <c r="AO15" s="14">
        <f>IFERROR(VLOOKUP(IF(MOD(COLUMN(AO15),2)=0,$A15&amp;"-"&amp;AO$3,$A15&amp;"-"&amp;AN$3),CoSo1[],AO$38,0),"")</f>
        <v>0</v>
      </c>
      <c r="AP15" s="14">
        <f>IFERROR(VLOOKUP(IF(MOD(COLUMN(AP15),2)=0,$A15&amp;"-"&amp;AP$3,$A15&amp;"-"&amp;AO$3),CoSo1[],AP$38,0),"")</f>
        <v>0</v>
      </c>
      <c r="AQ15" s="14">
        <f>IFERROR(VLOOKUP(IF(MOD(COLUMN(AQ15),2)=0,$A15&amp;"-"&amp;AQ$3,$A15&amp;"-"&amp;AP$3),CoSo1[],AQ$38,0),"")</f>
        <v>0</v>
      </c>
      <c r="AR15" s="11">
        <f t="shared" si="4"/>
        <v>35</v>
      </c>
      <c r="AS15" s="11">
        <f t="shared" si="4"/>
        <v>1</v>
      </c>
      <c r="AT15" s="14"/>
      <c r="BB15" s="14">
        <f>IFERROR(VLOOKUP(IF(MOD(COLUMN(BB15),2)=0,$A15&amp;"-"&amp;BB$3,$A15&amp;"-"&amp;W$3),CoSo3[],DoanhThuThang!BB$38,0),"")</f>
        <v>0</v>
      </c>
      <c r="BC15" s="14">
        <f>IFERROR(VLOOKUP(IF(MOD(COLUMN(BC15),2)=0,$A15&amp;"-"&amp;BC$3,$A15&amp;"-"&amp;BB$3),CoSo3[],DoanhThuThang!BC$38,0),"")</f>
        <v>0</v>
      </c>
      <c r="BD15" s="14">
        <f>IFERROR(VLOOKUP(IF(MOD(COLUMN(BD15),2)=0,$A15&amp;"-"&amp;BD$3,$A15&amp;"-"&amp;BC$3),CoSo3[],DoanhThuThang!BD$38,0),"")</f>
        <v>0</v>
      </c>
      <c r="BE15" s="14">
        <f>IFERROR(VLOOKUP(IF(MOD(COLUMN(BE15),2)=0,$A15&amp;"-"&amp;BE$3,$A15&amp;"-"&amp;BD$3),CoSo3[],DoanhThuThang!BE$38,0),"")</f>
        <v>0</v>
      </c>
      <c r="BF15" s="11">
        <f t="shared" si="11"/>
        <v>0</v>
      </c>
      <c r="BG15" s="11">
        <f t="shared" si="11"/>
        <v>0</v>
      </c>
      <c r="BH15" s="14"/>
      <c r="BI15" s="14">
        <f>IFERROR(VLOOKUP(IF(MOD(COLUMN(BI15),2)=1,$A15&amp;"-"&amp;BI$3,$A15&amp;"-"&amp;BH$3),CoSo4[],DoanhThuThang!BI$38,0),"")</f>
        <v>0</v>
      </c>
      <c r="BJ15" s="14">
        <f>IFERROR(VLOOKUP(IF(MOD(COLUMN(BJ15),2)=1,$A15&amp;"-"&amp;BJ$3,$A15&amp;"-"&amp;BI$3),CoSo4[],DoanhThuThang!BJ$38,0),"")</f>
        <v>0</v>
      </c>
      <c r="BK15" s="14">
        <f>IFERROR(VLOOKUP(IF(MOD(COLUMN(BK15),2)=1,$A15&amp;"-"&amp;BK$3,$A15&amp;"-"&amp;BJ$3),CoSo4[],DoanhThuThang!BK$38,0),"")</f>
        <v>234</v>
      </c>
      <c r="BL15" s="14">
        <f>IFERROR(VLOOKUP(IF(MOD(COLUMN(BL15),2)=1,$A15&amp;"-"&amp;BL$3,$A15&amp;"-"&amp;BK$3),CoSo4[],DoanhThuThang!BL$38,0),"")</f>
        <v>4</v>
      </c>
      <c r="BM15" s="11">
        <f t="shared" si="6"/>
        <v>234</v>
      </c>
      <c r="BN15" s="11">
        <f t="shared" si="7"/>
        <v>4</v>
      </c>
      <c r="BO15" s="14"/>
      <c r="BP15" s="14">
        <f>IFERROR(VLOOKUP(IF(MOD(COLUMN(BP15),2)=0,$A15&amp;"-"&amp;BP$3,$A15&amp;"-"&amp;BO$3),CoSo4[],DoanhThuThang!BP$38,0),"")</f>
        <v>0</v>
      </c>
      <c r="BQ15" s="14">
        <f>IFERROR(VLOOKUP(IF(MOD(COLUMN(BQ15),2)=0,$A15&amp;"-"&amp;BQ$3,$A15&amp;"-"&amp;BP$3),CoSo4[],DoanhThuThang!BQ$38,0),"")</f>
        <v>0</v>
      </c>
      <c r="BR15" s="14">
        <f>IFERROR(VLOOKUP(IF(MOD(COLUMN(BR15),2)=0,$A15&amp;"-"&amp;BR$3,$A15&amp;"-"&amp;BQ$3),CoSo4[],DoanhThuThang!BR$38,0),"")</f>
        <v>0</v>
      </c>
      <c r="BS15" s="14">
        <f>IFERROR(VLOOKUP(IF(MOD(COLUMN(BS15),2)=0,$A15&amp;"-"&amp;BS$3,$A15&amp;"-"&amp;BR$3),CoSo4[],DoanhThuThang!BS$38,0),"")</f>
        <v>0</v>
      </c>
      <c r="BT15" s="11">
        <f t="shared" si="12"/>
        <v>0</v>
      </c>
      <c r="BU15" s="11">
        <f t="shared" si="12"/>
        <v>0</v>
      </c>
      <c r="BV15" s="14"/>
      <c r="BW15" s="14">
        <f>IFERROR(VLOOKUP(IF(MOD(COLUMN(BW15),2)=1,$A15&amp;"-"&amp;BW$3,$A15&amp;"-"&amp;P$3),CoSo1[],BW$38,0),"")</f>
        <v>50</v>
      </c>
      <c r="BX15" s="14">
        <f>IFERROR(VLOOKUP(IF(MOD(COLUMN(BX15),2)=1,$A15&amp;"-"&amp;BX$3,$A15&amp;"-"&amp;BW$3),CoSo1[],BX$38,0),"")</f>
        <v>1</v>
      </c>
      <c r="BY15" s="14">
        <f>IFERROR(VLOOKUP(IF(MOD(COLUMN(BY15),2)=1,$A15&amp;"-"&amp;BY$3,$A15&amp;"-"&amp;BX$3),CoSo1[],BY$38,0),"")</f>
        <v>40</v>
      </c>
      <c r="BZ15" s="14">
        <f>IFERROR(VLOOKUP(IF(MOD(COLUMN(BZ15),2)=1,$A15&amp;"-"&amp;BZ$3,$A15&amp;"-"&amp;BY$3),CoSo1[],BZ$38,0),"")</f>
        <v>1</v>
      </c>
      <c r="CA15" s="14">
        <f>IFERROR(VLOOKUP(IF(MOD(COLUMN(CA15),2)=1,$A15&amp;"-"&amp;CA$3,$A15&amp;"-"&amp;BZ$3),CoSo1[],CA$38,0),"")</f>
        <v>0</v>
      </c>
      <c r="CB15" s="14">
        <f>IFERROR(VLOOKUP(IF(MOD(COLUMN(CB15),2)=1,$A15&amp;"-"&amp;CB$3,$A15&amp;"-"&amp;CA$3),CoSo1[],CB$38,0),"")</f>
        <v>0</v>
      </c>
      <c r="CC15" s="14">
        <f>IFERROR(VLOOKUP(IF(MOD(COLUMN(CC15),2)=1,$A15&amp;"-"&amp;CC$3,$A15&amp;"-"&amp;CB$3),CoSo1[],CC$38,0),"")</f>
        <v>0</v>
      </c>
      <c r="CD15" s="14">
        <f>IFERROR(VLOOKUP(IF(MOD(COLUMN(CD15),2)=1,$A15&amp;"-"&amp;CD$3,$A15&amp;"-"&amp;CC$3),CoSo1[],CD$38,0),"")</f>
        <v>0</v>
      </c>
      <c r="CE15" s="14">
        <f>IFERROR(VLOOKUP(IF(MOD(COLUMN(CE15),2)=1,$A15&amp;"-"&amp;CE$3,$A15&amp;"-"&amp;CD$3),CoSo1[],CE$38,0),"")</f>
        <v>0</v>
      </c>
      <c r="CF15" s="14">
        <f>IFERROR(VLOOKUP(IF(MOD(COLUMN(CF15),2)=1,$A15&amp;"-"&amp;CF$3,$A15&amp;"-"&amp;CE$3),CoSo1[],CF$38,0),"")</f>
        <v>0</v>
      </c>
      <c r="CG15" s="14">
        <f>IFERROR(VLOOKUP(IF(MOD(COLUMN(CG15),2)=1,$A15&amp;"-"&amp;CG$3,$A15&amp;"-"&amp;CF$3),CoSo1[],CG$38,0),"")</f>
        <v>0</v>
      </c>
      <c r="CH15" s="14">
        <f>IFERROR(VLOOKUP(IF(MOD(COLUMN(CH15),2)=1,$A15&amp;"-"&amp;CH$3,$A15&amp;"-"&amp;CG$3),CoSo1[],CH$38,0),"")</f>
        <v>0</v>
      </c>
      <c r="CI15" s="11">
        <f t="shared" si="9"/>
        <v>90</v>
      </c>
      <c r="CJ15" s="11">
        <f t="shared" si="9"/>
        <v>2</v>
      </c>
      <c r="CK15" s="14"/>
    </row>
    <row r="16" spans="1:89" x14ac:dyDescent="0.25">
      <c r="A16" s="13">
        <v>11</v>
      </c>
      <c r="B16" s="14">
        <f>IFERROR(VLOOKUP(IF(MOD(COLUMN(B16),2)=0,$A16&amp;"-"&amp;B$3,$A16&amp;"-"&amp;A$3),CoSo1[],B$38,0),"")</f>
        <v>531</v>
      </c>
      <c r="C16" s="14">
        <f>IFERROR(VLOOKUP(IF(MOD(COLUMN(C16),2)=0,$A16&amp;"-"&amp;C$3,$A16&amp;"-"&amp;B$3),CoSo1[],C$38,0),"")</f>
        <v>7</v>
      </c>
      <c r="D16" s="14">
        <f>IFERROR(VLOOKUP(IF(MOD(COLUMN(D16),2)=0,$A16&amp;"-"&amp;D$3,$A16&amp;"-"&amp;C$3),CoSo1[],D$38,0),"")</f>
        <v>298</v>
      </c>
      <c r="E16" s="14">
        <f>IFERROR(VLOOKUP(IF(MOD(COLUMN(E16),2)=0,$A16&amp;"-"&amp;E$3,$A16&amp;"-"&amp;D$3),CoSo1[],E$38,0),"")</f>
        <v>8</v>
      </c>
      <c r="F16" s="14">
        <f>IFERROR(VLOOKUP(IF(MOD(COLUMN(F16),2)=0,$A16&amp;"-"&amp;F$3,$A16&amp;"-"&amp;E$3),CoSo1[],F$38,0),"")</f>
        <v>128</v>
      </c>
      <c r="G16" s="14">
        <f>IFERROR(VLOOKUP(IF(MOD(COLUMN(G16),2)=0,$A16&amp;"-"&amp;G$3,$A16&amp;"-"&amp;F$3),CoSo1[],G$38,0),"")</f>
        <v>1</v>
      </c>
      <c r="H16" s="14">
        <f>IFERROR(VLOOKUP(IF(MOD(COLUMN(H16),2)=0,$A16&amp;"-"&amp;H$3,$A16&amp;"-"&amp;G$3),CoSo1[],H$38,0),"")</f>
        <v>200</v>
      </c>
      <c r="I16" s="14">
        <f>IFERROR(VLOOKUP(IF(MOD(COLUMN(I16),2)=0,$A16&amp;"-"&amp;I$3,$A16&amp;"-"&amp;H$3),CoSo1[],I$38,0),"")</f>
        <v>3</v>
      </c>
      <c r="J16" s="14">
        <f>IFERROR(VLOOKUP(IF(MOD(COLUMN(J16),2)=0,$A16&amp;"-"&amp;J$3,$A16&amp;"-"&amp;I$3),CoSo1[],J$38,0),"")</f>
        <v>0</v>
      </c>
      <c r="K16" s="14">
        <f>IFERROR(VLOOKUP(IF(MOD(COLUMN(K16),2)=0,$A16&amp;"-"&amp;K$3,$A16&amp;"-"&amp;J$3),CoSo1[],K$38,0),"")</f>
        <v>0</v>
      </c>
      <c r="L16" s="14">
        <f>IFERROR(VLOOKUP(IF(MOD(COLUMN(L16),2)=0,$A16&amp;"-"&amp;L$3,$A16&amp;"-"&amp;K$3),CoSo1[],L$38,0),"")</f>
        <v>0</v>
      </c>
      <c r="M16" s="14">
        <f>IFERROR(VLOOKUP(IF(MOD(COLUMN(M16),2)=0,$A16&amp;"-"&amp;M$3,$A16&amp;"-"&amp;L$3),CoSo1[],M$38,0),"")</f>
        <v>0</v>
      </c>
      <c r="N16" s="11">
        <f t="shared" si="13"/>
        <v>1157</v>
      </c>
      <c r="O16" s="11">
        <f t="shared" si="14"/>
        <v>19</v>
      </c>
      <c r="P16" s="14"/>
      <c r="Q16" s="14">
        <f>IFERROR(VLOOKUP(IF(MOD(COLUMN(Q16),2)=1,$A16&amp;"-"&amp;Q$3,$A16&amp;"-"&amp;AT$3),CoSo3[],DoanhThuThang!AU$38,0),"")</f>
        <v>291.5</v>
      </c>
      <c r="R16" s="14">
        <f>IFERROR(VLOOKUP(IF(MOD(COLUMN(R16),2)=1,$A16&amp;"-"&amp;R$3,$A16&amp;"-"&amp;Q$3),CoSo3[],DoanhThuThang!AV$38,0),"")</f>
        <v>5</v>
      </c>
      <c r="S16" s="14">
        <f>IFERROR(VLOOKUP(IF(MOD(COLUMN(S16),2)=1,$A16&amp;"-"&amp;S$3,$A16&amp;"-"&amp;R$3),CoSo3[],DoanhThuThang!AW$38,0),"")</f>
        <v>874</v>
      </c>
      <c r="T16" s="14">
        <f>IFERROR(VLOOKUP(IF(MOD(COLUMN(T16),2)=1,$A16&amp;"-"&amp;T$3,$A16&amp;"-"&amp;S$3),CoSo3[],DoanhThuThang!AX$38,0),"")</f>
        <v>8</v>
      </c>
      <c r="U16" s="11">
        <f t="shared" si="10"/>
        <v>1165.5</v>
      </c>
      <c r="V16" s="11">
        <f t="shared" si="10"/>
        <v>13</v>
      </c>
      <c r="W16" s="14"/>
      <c r="X16" s="14">
        <f>IFERROR(VLOOKUP(IF(MOD(COLUMN(BI16),2)=1,$A16&amp;"-"&amp;BI$3,$A16&amp;"-"&amp;BH$3),CoSo4[],DoanhThuThang!BI$38,0),"")</f>
        <v>55</v>
      </c>
      <c r="Y16" s="14">
        <f>IFERROR(VLOOKUP(IF(MOD(COLUMN(BJ16),2)=1,$A16&amp;"-"&amp;BJ$3,$A16&amp;"-"&amp;BI$3),CoSo4[],DoanhThuThang!BJ$38,0),"")</f>
        <v>1</v>
      </c>
      <c r="Z16" s="14">
        <f>IFERROR(VLOOKUP(IF(MOD(COLUMN(BK16),2)=1,$A16&amp;"-"&amp;BK$3,$A16&amp;"-"&amp;BJ$3),CoSo4[],DoanhThuThang!BK$38,0),"")</f>
        <v>169</v>
      </c>
      <c r="AA16" s="14">
        <f>IFERROR(VLOOKUP(IF(MOD(COLUMN(BL16),2)=1,$A16&amp;"-"&amp;BL$3,$A16&amp;"-"&amp;BK$3),CoSo4[],DoanhThuThang!BL$38,0),"")</f>
        <v>3</v>
      </c>
      <c r="AB16" s="11">
        <f t="shared" si="1"/>
        <v>224</v>
      </c>
      <c r="AC16" s="11">
        <f t="shared" si="2"/>
        <v>4</v>
      </c>
      <c r="AD16" s="14"/>
      <c r="AF16" s="14">
        <f>IFERROR(VLOOKUP(IF(MOD(COLUMN(AF16),2)=0,$A16&amp;"-"&amp;AF$3,$A16&amp;"-"&amp;CK$3),CoSo1[],AF$38,0),"")</f>
        <v>100</v>
      </c>
      <c r="AG16" s="14">
        <f>IFERROR(VLOOKUP(IF(MOD(COLUMN(AG16),2)=0,$A16&amp;"-"&amp;AG$3,$A16&amp;"-"&amp;AF$3),CoSo1[],AG$38,0),"")</f>
        <v>1</v>
      </c>
      <c r="AH16" s="14">
        <f>IFERROR(VLOOKUP(IF(MOD(COLUMN(AH16),2)=0,$A16&amp;"-"&amp;AH$3,$A16&amp;"-"&amp;AG$3),CoSo1[],AH$38,0),"")</f>
        <v>70</v>
      </c>
      <c r="AI16" s="14">
        <f>IFERROR(VLOOKUP(IF(MOD(COLUMN(AI16),2)=0,$A16&amp;"-"&amp;AI$3,$A16&amp;"-"&amp;AH$3),CoSo1[],AI$38,0),"")</f>
        <v>1</v>
      </c>
      <c r="AJ16" s="14">
        <f>IFERROR(VLOOKUP(IF(MOD(COLUMN(AJ16),2)=0,$A16&amp;"-"&amp;AJ$3,$A16&amp;"-"&amp;AI$3),CoSo1[],AJ$38,0),"")</f>
        <v>0</v>
      </c>
      <c r="AK16" s="14">
        <f>IFERROR(VLOOKUP(IF(MOD(COLUMN(AK16),2)=0,$A16&amp;"-"&amp;AK$3,$A16&amp;"-"&amp;AJ$3),CoSo1[],AK$38,0),"")</f>
        <v>0</v>
      </c>
      <c r="AL16" s="14">
        <f>IFERROR(VLOOKUP(IF(MOD(COLUMN(AL16),2)=0,$A16&amp;"-"&amp;AL$3,$A16&amp;"-"&amp;AK$3),CoSo1[],AL$38,0),"")</f>
        <v>0</v>
      </c>
      <c r="AM16" s="14">
        <f>IFERROR(VLOOKUP(IF(MOD(COLUMN(AM16),2)=0,$A16&amp;"-"&amp;AM$3,$A16&amp;"-"&amp;AL$3),CoSo1[],AM$38,0),"")</f>
        <v>0</v>
      </c>
      <c r="AN16" s="14">
        <f>IFERROR(VLOOKUP(IF(MOD(COLUMN(AN16),2)=0,$A16&amp;"-"&amp;AN$3,$A16&amp;"-"&amp;AM$3),CoSo1[],AN$38,0),"")</f>
        <v>0</v>
      </c>
      <c r="AO16" s="14">
        <f>IFERROR(VLOOKUP(IF(MOD(COLUMN(AO16),2)=0,$A16&amp;"-"&amp;AO$3,$A16&amp;"-"&amp;AN$3),CoSo1[],AO$38,0),"")</f>
        <v>0</v>
      </c>
      <c r="AP16" s="14">
        <f>IFERROR(VLOOKUP(IF(MOD(COLUMN(AP16),2)=0,$A16&amp;"-"&amp;AP$3,$A16&amp;"-"&amp;AO$3),CoSo1[],AP$38,0),"")</f>
        <v>0</v>
      </c>
      <c r="AQ16" s="14">
        <f>IFERROR(VLOOKUP(IF(MOD(COLUMN(AQ16),2)=0,$A16&amp;"-"&amp;AQ$3,$A16&amp;"-"&amp;AP$3),CoSo1[],AQ$38,0),"")</f>
        <v>0</v>
      </c>
      <c r="AR16" s="11">
        <f t="shared" si="4"/>
        <v>170</v>
      </c>
      <c r="AS16" s="11">
        <f t="shared" si="4"/>
        <v>2</v>
      </c>
      <c r="AT16" s="14"/>
      <c r="BB16" s="14">
        <f>IFERROR(VLOOKUP(IF(MOD(COLUMN(BB16),2)=0,$A16&amp;"-"&amp;BB$3,$A16&amp;"-"&amp;W$3),CoSo3[],DoanhThuThang!BB$38,0),"")</f>
        <v>0</v>
      </c>
      <c r="BC16" s="14">
        <f>IFERROR(VLOOKUP(IF(MOD(COLUMN(BC16),2)=0,$A16&amp;"-"&amp;BC$3,$A16&amp;"-"&amp;BB$3),CoSo3[],DoanhThuThang!BC$38,0),"")</f>
        <v>0</v>
      </c>
      <c r="BD16" s="14">
        <f>IFERROR(VLOOKUP(IF(MOD(COLUMN(BD16),2)=0,$A16&amp;"-"&amp;BD$3,$A16&amp;"-"&amp;BC$3),CoSo3[],DoanhThuThang!BD$38,0),"")</f>
        <v>0</v>
      </c>
      <c r="BE16" s="14">
        <f>IFERROR(VLOOKUP(IF(MOD(COLUMN(BE16),2)=0,$A16&amp;"-"&amp;BE$3,$A16&amp;"-"&amp;BD$3),CoSo3[],DoanhThuThang!BE$38,0),"")</f>
        <v>0</v>
      </c>
      <c r="BF16" s="11">
        <f t="shared" si="11"/>
        <v>0</v>
      </c>
      <c r="BG16" s="11">
        <f t="shared" si="11"/>
        <v>0</v>
      </c>
      <c r="BH16" s="14"/>
      <c r="BI16" s="14">
        <f>IFERROR(VLOOKUP(IF(MOD(COLUMN(BI16),2)=1,$A16&amp;"-"&amp;BI$3,$A16&amp;"-"&amp;BH$3),CoSo4[],DoanhThuThang!BI$38,0),"")</f>
        <v>55</v>
      </c>
      <c r="BJ16" s="14">
        <f>IFERROR(VLOOKUP(IF(MOD(COLUMN(BJ16),2)=1,$A16&amp;"-"&amp;BJ$3,$A16&amp;"-"&amp;BI$3),CoSo4[],DoanhThuThang!BJ$38,0),"")</f>
        <v>1</v>
      </c>
      <c r="BK16" s="14">
        <f>IFERROR(VLOOKUP(IF(MOD(COLUMN(BK16),2)=1,$A16&amp;"-"&amp;BK$3,$A16&amp;"-"&amp;BJ$3),CoSo4[],DoanhThuThang!BK$38,0),"")</f>
        <v>169</v>
      </c>
      <c r="BL16" s="14">
        <f>IFERROR(VLOOKUP(IF(MOD(COLUMN(BL16),2)=1,$A16&amp;"-"&amp;BL$3,$A16&amp;"-"&amp;BK$3),CoSo4[],DoanhThuThang!BL$38,0),"")</f>
        <v>3</v>
      </c>
      <c r="BM16" s="11">
        <f t="shared" si="6"/>
        <v>224</v>
      </c>
      <c r="BN16" s="11">
        <f t="shared" si="7"/>
        <v>4</v>
      </c>
      <c r="BO16" s="14"/>
      <c r="BP16" s="14">
        <f>IFERROR(VLOOKUP(IF(MOD(COLUMN(BP16),2)=0,$A16&amp;"-"&amp;BP$3,$A16&amp;"-"&amp;BO$3),CoSo4[],DoanhThuThang!BP$38,0),"")</f>
        <v>0</v>
      </c>
      <c r="BQ16" s="14">
        <f>IFERROR(VLOOKUP(IF(MOD(COLUMN(BQ16),2)=0,$A16&amp;"-"&amp;BQ$3,$A16&amp;"-"&amp;BP$3),CoSo4[],DoanhThuThang!BQ$38,0),"")</f>
        <v>0</v>
      </c>
      <c r="BR16" s="14">
        <f>IFERROR(VLOOKUP(IF(MOD(COLUMN(BR16),2)=0,$A16&amp;"-"&amp;BR$3,$A16&amp;"-"&amp;BQ$3),CoSo4[],DoanhThuThang!BR$38,0),"")</f>
        <v>0</v>
      </c>
      <c r="BS16" s="14">
        <f>IFERROR(VLOOKUP(IF(MOD(COLUMN(BS16),2)=0,$A16&amp;"-"&amp;BS$3,$A16&amp;"-"&amp;BR$3),CoSo4[],DoanhThuThang!BS$38,0),"")</f>
        <v>0</v>
      </c>
      <c r="BT16" s="11">
        <f t="shared" si="12"/>
        <v>0</v>
      </c>
      <c r="BU16" s="11">
        <f t="shared" si="12"/>
        <v>0</v>
      </c>
      <c r="BV16" s="14"/>
      <c r="BW16" s="14">
        <f>IFERROR(VLOOKUP(IF(MOD(COLUMN(BW16),2)=1,$A16&amp;"-"&amp;BW$3,$A16&amp;"-"&amp;P$3),CoSo1[],BW$38,0),"")</f>
        <v>59</v>
      </c>
      <c r="BX16" s="14">
        <f>IFERROR(VLOOKUP(IF(MOD(COLUMN(BX16),2)=1,$A16&amp;"-"&amp;BX$3,$A16&amp;"-"&amp;BW$3),CoSo1[],BX$38,0),"")</f>
        <v>1</v>
      </c>
      <c r="BY16" s="14">
        <f>IFERROR(VLOOKUP(IF(MOD(COLUMN(BY16),2)=1,$A16&amp;"-"&amp;BY$3,$A16&amp;"-"&amp;BX$3),CoSo1[],BY$38,0),"")</f>
        <v>0</v>
      </c>
      <c r="BZ16" s="14">
        <f>IFERROR(VLOOKUP(IF(MOD(COLUMN(BZ16),2)=1,$A16&amp;"-"&amp;BZ$3,$A16&amp;"-"&amp;BY$3),CoSo1[],BZ$38,0),"")</f>
        <v>0</v>
      </c>
      <c r="CA16" s="14">
        <f>IFERROR(VLOOKUP(IF(MOD(COLUMN(CA16),2)=1,$A16&amp;"-"&amp;CA$3,$A16&amp;"-"&amp;BZ$3),CoSo1[],CA$38,0),"")</f>
        <v>0</v>
      </c>
      <c r="CB16" s="14">
        <f>IFERROR(VLOOKUP(IF(MOD(COLUMN(CB16),2)=1,$A16&amp;"-"&amp;CB$3,$A16&amp;"-"&amp;CA$3),CoSo1[],CB$38,0),"")</f>
        <v>0</v>
      </c>
      <c r="CC16" s="14">
        <f>IFERROR(VLOOKUP(IF(MOD(COLUMN(CC16),2)=1,$A16&amp;"-"&amp;CC$3,$A16&amp;"-"&amp;CB$3),CoSo1[],CC$38,0),"")</f>
        <v>0</v>
      </c>
      <c r="CD16" s="14">
        <f>IFERROR(VLOOKUP(IF(MOD(COLUMN(CD16),2)=1,$A16&amp;"-"&amp;CD$3,$A16&amp;"-"&amp;CC$3),CoSo1[],CD$38,0),"")</f>
        <v>0</v>
      </c>
      <c r="CE16" s="14">
        <f>IFERROR(VLOOKUP(IF(MOD(COLUMN(CE16),2)=1,$A16&amp;"-"&amp;CE$3,$A16&amp;"-"&amp;CD$3),CoSo1[],CE$38,0),"")</f>
        <v>0</v>
      </c>
      <c r="CF16" s="14">
        <f>IFERROR(VLOOKUP(IF(MOD(COLUMN(CF16),2)=1,$A16&amp;"-"&amp;CF$3,$A16&amp;"-"&amp;CE$3),CoSo1[],CF$38,0),"")</f>
        <v>0</v>
      </c>
      <c r="CG16" s="14">
        <f>IFERROR(VLOOKUP(IF(MOD(COLUMN(CG16),2)=1,$A16&amp;"-"&amp;CG$3,$A16&amp;"-"&amp;CF$3),CoSo1[],CG$38,0),"")</f>
        <v>0</v>
      </c>
      <c r="CH16" s="14">
        <f>IFERROR(VLOOKUP(IF(MOD(COLUMN(CH16),2)=1,$A16&amp;"-"&amp;CH$3,$A16&amp;"-"&amp;CG$3),CoSo1[],CH$38,0),"")</f>
        <v>0</v>
      </c>
      <c r="CI16" s="11">
        <f t="shared" si="9"/>
        <v>59</v>
      </c>
      <c r="CJ16" s="11">
        <f t="shared" si="9"/>
        <v>1</v>
      </c>
      <c r="CK16" s="14"/>
    </row>
    <row r="17" spans="1:89" x14ac:dyDescent="0.25">
      <c r="A17" s="13">
        <v>12</v>
      </c>
      <c r="B17" s="14">
        <f>IFERROR(VLOOKUP(IF(MOD(COLUMN(B17),2)=0,$A17&amp;"-"&amp;B$3,$A17&amp;"-"&amp;A$3),CoSo1[],B$38,0),"")</f>
        <v>216</v>
      </c>
      <c r="C17" s="14">
        <f>IFERROR(VLOOKUP(IF(MOD(COLUMN(C17),2)=0,$A17&amp;"-"&amp;C$3,$A17&amp;"-"&amp;B$3),CoSo1[],C$38,0),"")</f>
        <v>6</v>
      </c>
      <c r="D17" s="14">
        <f>IFERROR(VLOOKUP(IF(MOD(COLUMN(D17),2)=0,$A17&amp;"-"&amp;D$3,$A17&amp;"-"&amp;C$3),CoSo1[],D$38,0),"")</f>
        <v>1314</v>
      </c>
      <c r="E17" s="14">
        <f>IFERROR(VLOOKUP(IF(MOD(COLUMN(E17),2)=0,$A17&amp;"-"&amp;E$3,$A17&amp;"-"&amp;D$3),CoSo1[],E$38,0),"")</f>
        <v>15</v>
      </c>
      <c r="F17" s="14">
        <f>IFERROR(VLOOKUP(IF(MOD(COLUMN(F17),2)=0,$A17&amp;"-"&amp;F$3,$A17&amp;"-"&amp;E$3),CoSo1[],F$38,0),"")</f>
        <v>0</v>
      </c>
      <c r="G17" s="14">
        <f>IFERROR(VLOOKUP(IF(MOD(COLUMN(G17),2)=0,$A17&amp;"-"&amp;G$3,$A17&amp;"-"&amp;F$3),CoSo1[],G$38,0),"")</f>
        <v>0</v>
      </c>
      <c r="H17" s="14">
        <f>IFERROR(VLOOKUP(IF(MOD(COLUMN(H17),2)=0,$A17&amp;"-"&amp;H$3,$A17&amp;"-"&amp;G$3),CoSo1[],H$38,0),"")</f>
        <v>322</v>
      </c>
      <c r="I17" s="14">
        <f>IFERROR(VLOOKUP(IF(MOD(COLUMN(I17),2)=0,$A17&amp;"-"&amp;I$3,$A17&amp;"-"&amp;H$3),CoSo1[],I$38,0),"")</f>
        <v>4</v>
      </c>
      <c r="J17" s="14">
        <f>IFERROR(VLOOKUP(IF(MOD(COLUMN(J17),2)=0,$A17&amp;"-"&amp;J$3,$A17&amp;"-"&amp;I$3),CoSo1[],J$38,0),"")</f>
        <v>0</v>
      </c>
      <c r="K17" s="14">
        <f>IFERROR(VLOOKUP(IF(MOD(COLUMN(K17),2)=0,$A17&amp;"-"&amp;K$3,$A17&amp;"-"&amp;J$3),CoSo1[],K$38,0),"")</f>
        <v>0</v>
      </c>
      <c r="L17" s="14">
        <f>IFERROR(VLOOKUP(IF(MOD(COLUMN(L17),2)=0,$A17&amp;"-"&amp;L$3,$A17&amp;"-"&amp;K$3),CoSo1[],L$38,0),"")</f>
        <v>136</v>
      </c>
      <c r="M17" s="14">
        <f>IFERROR(VLOOKUP(IF(MOD(COLUMN(M17),2)=0,$A17&amp;"-"&amp;M$3,$A17&amp;"-"&amp;L$3),CoSo1[],M$38,0),"")</f>
        <v>1</v>
      </c>
      <c r="N17" s="11">
        <f t="shared" si="13"/>
        <v>1988</v>
      </c>
      <c r="O17" s="11">
        <f t="shared" si="14"/>
        <v>26</v>
      </c>
      <c r="P17" s="14"/>
      <c r="Q17" s="14">
        <f>IFERROR(VLOOKUP(IF(MOD(COLUMN(Q17),2)=1,$A17&amp;"-"&amp;Q$3,$A17&amp;"-"&amp;AT$3),CoSo3[],DoanhThuThang!AU$38,0),"")</f>
        <v>103</v>
      </c>
      <c r="R17" s="14">
        <f>IFERROR(VLOOKUP(IF(MOD(COLUMN(R17),2)=1,$A17&amp;"-"&amp;R$3,$A17&amp;"-"&amp;Q$3),CoSo3[],DoanhThuThang!AV$38,0),"")</f>
        <v>2</v>
      </c>
      <c r="S17" s="14">
        <f>IFERROR(VLOOKUP(IF(MOD(COLUMN(S17),2)=1,$A17&amp;"-"&amp;S$3,$A17&amp;"-"&amp;R$3),CoSo3[],DoanhThuThang!AW$38,0),"")</f>
        <v>455</v>
      </c>
      <c r="T17" s="14">
        <f>IFERROR(VLOOKUP(IF(MOD(COLUMN(T17),2)=1,$A17&amp;"-"&amp;T$3,$A17&amp;"-"&amp;S$3),CoSo3[],DoanhThuThang!AX$38,0),"")</f>
        <v>6</v>
      </c>
      <c r="U17" s="11">
        <f t="shared" si="10"/>
        <v>558</v>
      </c>
      <c r="V17" s="11">
        <f t="shared" si="10"/>
        <v>8</v>
      </c>
      <c r="W17" s="14"/>
      <c r="X17" s="14">
        <f>IFERROR(VLOOKUP(IF(MOD(COLUMN(BI17),2)=1,$A17&amp;"-"&amp;BI$3,$A17&amp;"-"&amp;BH$3),CoSo4[],DoanhThuThang!BI$38,0),"")</f>
        <v>42</v>
      </c>
      <c r="Y17" s="14">
        <f>IFERROR(VLOOKUP(IF(MOD(COLUMN(BJ17),2)=1,$A17&amp;"-"&amp;BJ$3,$A17&amp;"-"&amp;BI$3),CoSo4[],DoanhThuThang!BJ$38,0),"")</f>
        <v>2</v>
      </c>
      <c r="Z17" s="14">
        <f>IFERROR(VLOOKUP(IF(MOD(COLUMN(BK17),2)=1,$A17&amp;"-"&amp;BK$3,$A17&amp;"-"&amp;BJ$3),CoSo4[],DoanhThuThang!BK$38,0),"")</f>
        <v>273</v>
      </c>
      <c r="AA17" s="14">
        <f>IFERROR(VLOOKUP(IF(MOD(COLUMN(BL17),2)=1,$A17&amp;"-"&amp;BL$3,$A17&amp;"-"&amp;BK$3),CoSo4[],DoanhThuThang!BL$38,0),"")</f>
        <v>7</v>
      </c>
      <c r="AB17" s="11">
        <f t="shared" si="1"/>
        <v>315</v>
      </c>
      <c r="AC17" s="11">
        <f t="shared" si="2"/>
        <v>9</v>
      </c>
      <c r="AD17" s="14"/>
      <c r="AF17" s="14">
        <f>IFERROR(VLOOKUP(IF(MOD(COLUMN(AF17),2)=0,$A17&amp;"-"&amp;AF$3,$A17&amp;"-"&amp;CK$3),CoSo1[],AF$38,0),"")</f>
        <v>0</v>
      </c>
      <c r="AG17" s="14">
        <f>IFERROR(VLOOKUP(IF(MOD(COLUMN(AG17),2)=0,$A17&amp;"-"&amp;AG$3,$A17&amp;"-"&amp;AF$3),CoSo1[],AG$38,0),"")</f>
        <v>0</v>
      </c>
      <c r="AH17" s="14">
        <f>IFERROR(VLOOKUP(IF(MOD(COLUMN(AH17),2)=0,$A17&amp;"-"&amp;AH$3,$A17&amp;"-"&amp;AG$3),CoSo1[],AH$38,0),"")</f>
        <v>20</v>
      </c>
      <c r="AI17" s="14">
        <f>IFERROR(VLOOKUP(IF(MOD(COLUMN(AI17),2)=0,$A17&amp;"-"&amp;AI$3,$A17&amp;"-"&amp;AH$3),CoSo1[],AI$38,0),"")</f>
        <v>1</v>
      </c>
      <c r="AJ17" s="14">
        <f>IFERROR(VLOOKUP(IF(MOD(COLUMN(AJ17),2)=0,$A17&amp;"-"&amp;AJ$3,$A17&amp;"-"&amp;AI$3),CoSo1[],AJ$38,0),"")</f>
        <v>0</v>
      </c>
      <c r="AK17" s="14">
        <f>IFERROR(VLOOKUP(IF(MOD(COLUMN(AK17),2)=0,$A17&amp;"-"&amp;AK$3,$A17&amp;"-"&amp;AJ$3),CoSo1[],AK$38,0),"")</f>
        <v>0</v>
      </c>
      <c r="AL17" s="14">
        <f>IFERROR(VLOOKUP(IF(MOD(COLUMN(AL17),2)=0,$A17&amp;"-"&amp;AL$3,$A17&amp;"-"&amp;AK$3),CoSo1[],AL$38,0),"")</f>
        <v>0</v>
      </c>
      <c r="AM17" s="14">
        <f>IFERROR(VLOOKUP(IF(MOD(COLUMN(AM17),2)=0,$A17&amp;"-"&amp;AM$3,$A17&amp;"-"&amp;AL$3),CoSo1[],AM$38,0),"")</f>
        <v>0</v>
      </c>
      <c r="AN17" s="14">
        <f>IFERROR(VLOOKUP(IF(MOD(COLUMN(AN17),2)=0,$A17&amp;"-"&amp;AN$3,$A17&amp;"-"&amp;AM$3),CoSo1[],AN$38,0),"")</f>
        <v>0</v>
      </c>
      <c r="AO17" s="14">
        <f>IFERROR(VLOOKUP(IF(MOD(COLUMN(AO17),2)=0,$A17&amp;"-"&amp;AO$3,$A17&amp;"-"&amp;AN$3),CoSo1[],AO$38,0),"")</f>
        <v>0</v>
      </c>
      <c r="AP17" s="14">
        <f>IFERROR(VLOOKUP(IF(MOD(COLUMN(AP17),2)=0,$A17&amp;"-"&amp;AP$3,$A17&amp;"-"&amp;AO$3),CoSo1[],AP$38,0),"")</f>
        <v>0</v>
      </c>
      <c r="AQ17" s="14">
        <f>IFERROR(VLOOKUP(IF(MOD(COLUMN(AQ17),2)=0,$A17&amp;"-"&amp;AQ$3,$A17&amp;"-"&amp;AP$3),CoSo1[],AQ$38,0),"")</f>
        <v>0</v>
      </c>
      <c r="AR17" s="11">
        <f t="shared" si="4"/>
        <v>20</v>
      </c>
      <c r="AS17" s="11">
        <f t="shared" si="4"/>
        <v>1</v>
      </c>
      <c r="AT17" s="14"/>
      <c r="BB17" s="14">
        <f>IFERROR(VLOOKUP(IF(MOD(COLUMN(BB17),2)=0,$A17&amp;"-"&amp;BB$3,$A17&amp;"-"&amp;W$3),CoSo3[],DoanhThuThang!BB$38,0),"")</f>
        <v>0</v>
      </c>
      <c r="BC17" s="14">
        <f>IFERROR(VLOOKUP(IF(MOD(COLUMN(BC17),2)=0,$A17&amp;"-"&amp;BC$3,$A17&amp;"-"&amp;BB$3),CoSo3[],DoanhThuThang!BC$38,0),"")</f>
        <v>0</v>
      </c>
      <c r="BD17" s="14">
        <f>IFERROR(VLOOKUP(IF(MOD(COLUMN(BD17),2)=0,$A17&amp;"-"&amp;BD$3,$A17&amp;"-"&amp;BC$3),CoSo3[],DoanhThuThang!BD$38,0),"")</f>
        <v>0</v>
      </c>
      <c r="BE17" s="14">
        <f>IFERROR(VLOOKUP(IF(MOD(COLUMN(BE17),2)=0,$A17&amp;"-"&amp;BE$3,$A17&amp;"-"&amp;BD$3),CoSo3[],DoanhThuThang!BE$38,0),"")</f>
        <v>0</v>
      </c>
      <c r="BF17" s="11">
        <f t="shared" si="11"/>
        <v>0</v>
      </c>
      <c r="BG17" s="11">
        <f t="shared" si="11"/>
        <v>0</v>
      </c>
      <c r="BH17" s="14"/>
      <c r="BI17" s="14">
        <f>IFERROR(VLOOKUP(IF(MOD(COLUMN(BI17),2)=1,$A17&amp;"-"&amp;BI$3,$A17&amp;"-"&amp;BH$3),CoSo4[],DoanhThuThang!BI$38,0),"")</f>
        <v>42</v>
      </c>
      <c r="BJ17" s="14">
        <f>IFERROR(VLOOKUP(IF(MOD(COLUMN(BJ17),2)=1,$A17&amp;"-"&amp;BJ$3,$A17&amp;"-"&amp;BI$3),CoSo4[],DoanhThuThang!BJ$38,0),"")</f>
        <v>2</v>
      </c>
      <c r="BK17" s="14">
        <f>IFERROR(VLOOKUP(IF(MOD(COLUMN(BK17),2)=1,$A17&amp;"-"&amp;BK$3,$A17&amp;"-"&amp;BJ$3),CoSo4[],DoanhThuThang!BK$38,0),"")</f>
        <v>273</v>
      </c>
      <c r="BL17" s="14">
        <f>IFERROR(VLOOKUP(IF(MOD(COLUMN(BL17),2)=1,$A17&amp;"-"&amp;BL$3,$A17&amp;"-"&amp;BK$3),CoSo4[],DoanhThuThang!BL$38,0),"")</f>
        <v>7</v>
      </c>
      <c r="BM17" s="11">
        <f t="shared" si="6"/>
        <v>315</v>
      </c>
      <c r="BN17" s="11">
        <f t="shared" si="7"/>
        <v>9</v>
      </c>
      <c r="BO17" s="14"/>
      <c r="BP17" s="14">
        <f>IFERROR(VLOOKUP(IF(MOD(COLUMN(BP17),2)=0,$A17&amp;"-"&amp;BP$3,$A17&amp;"-"&amp;BO$3),CoSo4[],DoanhThuThang!BP$38,0),"")</f>
        <v>0</v>
      </c>
      <c r="BQ17" s="14">
        <f>IFERROR(VLOOKUP(IF(MOD(COLUMN(BQ17),2)=0,$A17&amp;"-"&amp;BQ$3,$A17&amp;"-"&amp;BP$3),CoSo4[],DoanhThuThang!BQ$38,0),"")</f>
        <v>0</v>
      </c>
      <c r="BR17" s="14">
        <f>IFERROR(VLOOKUP(IF(MOD(COLUMN(BR17),2)=0,$A17&amp;"-"&amp;BR$3,$A17&amp;"-"&amp;BQ$3),CoSo4[],DoanhThuThang!BR$38,0),"")</f>
        <v>0</v>
      </c>
      <c r="BS17" s="14">
        <f>IFERROR(VLOOKUP(IF(MOD(COLUMN(BS17),2)=0,$A17&amp;"-"&amp;BS$3,$A17&amp;"-"&amp;BR$3),CoSo4[],DoanhThuThang!BS$38,0),"")</f>
        <v>0</v>
      </c>
      <c r="BT17" s="11">
        <f t="shared" si="12"/>
        <v>0</v>
      </c>
      <c r="BU17" s="11">
        <f t="shared" si="12"/>
        <v>0</v>
      </c>
      <c r="BV17" s="14"/>
      <c r="BW17" s="14">
        <f>IFERROR(VLOOKUP(IF(MOD(COLUMN(BW17),2)=1,$A17&amp;"-"&amp;BW$3,$A17&amp;"-"&amp;P$3),CoSo1[],BW$38,0),"")</f>
        <v>0</v>
      </c>
      <c r="BX17" s="14">
        <f>IFERROR(VLOOKUP(IF(MOD(COLUMN(BX17),2)=1,$A17&amp;"-"&amp;BX$3,$A17&amp;"-"&amp;BW$3),CoSo1[],BX$38,0),"")</f>
        <v>0</v>
      </c>
      <c r="BY17" s="14">
        <f>IFERROR(VLOOKUP(IF(MOD(COLUMN(BY17),2)=1,$A17&amp;"-"&amp;BY$3,$A17&amp;"-"&amp;BX$3),CoSo1[],BY$38,0),"")</f>
        <v>36</v>
      </c>
      <c r="BZ17" s="14">
        <f>IFERROR(VLOOKUP(IF(MOD(COLUMN(BZ17),2)=1,$A17&amp;"-"&amp;BZ$3,$A17&amp;"-"&amp;BY$3),CoSo1[],BZ$38,0),"")</f>
        <v>1</v>
      </c>
      <c r="CA17" s="14">
        <f>IFERROR(VLOOKUP(IF(MOD(COLUMN(CA17),2)=1,$A17&amp;"-"&amp;CA$3,$A17&amp;"-"&amp;BZ$3),CoSo1[],CA$38,0),"")</f>
        <v>0</v>
      </c>
      <c r="CB17" s="14">
        <f>IFERROR(VLOOKUP(IF(MOD(COLUMN(CB17),2)=1,$A17&amp;"-"&amp;CB$3,$A17&amp;"-"&amp;CA$3),CoSo1[],CB$38,0),"")</f>
        <v>0</v>
      </c>
      <c r="CC17" s="14">
        <f>IFERROR(VLOOKUP(IF(MOD(COLUMN(CC17),2)=1,$A17&amp;"-"&amp;CC$3,$A17&amp;"-"&amp;CB$3),CoSo1[],CC$38,0),"")</f>
        <v>0</v>
      </c>
      <c r="CD17" s="14">
        <f>IFERROR(VLOOKUP(IF(MOD(COLUMN(CD17),2)=1,$A17&amp;"-"&amp;CD$3,$A17&amp;"-"&amp;CC$3),CoSo1[],CD$38,0),"")</f>
        <v>0</v>
      </c>
      <c r="CE17" s="14">
        <f>IFERROR(VLOOKUP(IF(MOD(COLUMN(CE17),2)=1,$A17&amp;"-"&amp;CE$3,$A17&amp;"-"&amp;CD$3),CoSo1[],CE$38,0),"")</f>
        <v>0</v>
      </c>
      <c r="CF17" s="14">
        <f>IFERROR(VLOOKUP(IF(MOD(COLUMN(CF17),2)=1,$A17&amp;"-"&amp;CF$3,$A17&amp;"-"&amp;CE$3),CoSo1[],CF$38,0),"")</f>
        <v>0</v>
      </c>
      <c r="CG17" s="14">
        <f>IFERROR(VLOOKUP(IF(MOD(COLUMN(CG17),2)=1,$A17&amp;"-"&amp;CG$3,$A17&amp;"-"&amp;CF$3),CoSo1[],CG$38,0),"")</f>
        <v>0</v>
      </c>
      <c r="CH17" s="14">
        <f>IFERROR(VLOOKUP(IF(MOD(COLUMN(CH17),2)=1,$A17&amp;"-"&amp;CH$3,$A17&amp;"-"&amp;CG$3),CoSo1[],CH$38,0),"")</f>
        <v>0</v>
      </c>
      <c r="CI17" s="11">
        <f t="shared" si="9"/>
        <v>36</v>
      </c>
      <c r="CJ17" s="11">
        <f t="shared" si="9"/>
        <v>1</v>
      </c>
      <c r="CK17" s="14">
        <f>SUM(CI11:CI17)</f>
        <v>415</v>
      </c>
    </row>
    <row r="18" spans="1:89" x14ac:dyDescent="0.25">
      <c r="A18" s="13">
        <v>13</v>
      </c>
      <c r="B18" s="14">
        <f>IFERROR(VLOOKUP(IF(MOD(COLUMN(B18),2)=0,$A18&amp;"-"&amp;B$3,$A18&amp;"-"&amp;A$3),CoSo1[],B$38,0),"")</f>
        <v>412</v>
      </c>
      <c r="C18" s="14">
        <f>IFERROR(VLOOKUP(IF(MOD(COLUMN(C18),2)=0,$A18&amp;"-"&amp;C$3,$A18&amp;"-"&amp;B$3),CoSo1[],C$38,0),"")</f>
        <v>5</v>
      </c>
      <c r="D18" s="14">
        <f>IFERROR(VLOOKUP(IF(MOD(COLUMN(D18),2)=0,$A18&amp;"-"&amp;D$3,$A18&amp;"-"&amp;C$3),CoSo1[],D$38,0),"")</f>
        <v>821</v>
      </c>
      <c r="E18" s="14">
        <f>IFERROR(VLOOKUP(IF(MOD(COLUMN(E18),2)=0,$A18&amp;"-"&amp;E$3,$A18&amp;"-"&amp;D$3),CoSo1[],E$38,0),"")</f>
        <v>14</v>
      </c>
      <c r="F18" s="14">
        <f>IFERROR(VLOOKUP(IF(MOD(COLUMN(F18),2)=0,$A18&amp;"-"&amp;F$3,$A18&amp;"-"&amp;E$3),CoSo1[],F$38,0),"")</f>
        <v>54</v>
      </c>
      <c r="G18" s="14">
        <f>IFERROR(VLOOKUP(IF(MOD(COLUMN(G18),2)=0,$A18&amp;"-"&amp;G$3,$A18&amp;"-"&amp;F$3),CoSo1[],G$38,0),"")</f>
        <v>1</v>
      </c>
      <c r="H18" s="14">
        <f>IFERROR(VLOOKUP(IF(MOD(COLUMN(H18),2)=0,$A18&amp;"-"&amp;H$3,$A18&amp;"-"&amp;G$3),CoSo1[],H$38,0),"")</f>
        <v>0</v>
      </c>
      <c r="I18" s="14">
        <f>IFERROR(VLOOKUP(IF(MOD(COLUMN(I18),2)=0,$A18&amp;"-"&amp;I$3,$A18&amp;"-"&amp;H$3),CoSo1[],I$38,0),"")</f>
        <v>0</v>
      </c>
      <c r="J18" s="14">
        <f>IFERROR(VLOOKUP(IF(MOD(COLUMN(J18),2)=0,$A18&amp;"-"&amp;J$3,$A18&amp;"-"&amp;I$3),CoSo1[],J$38,0),"")</f>
        <v>0</v>
      </c>
      <c r="K18" s="14">
        <f>IFERROR(VLOOKUP(IF(MOD(COLUMN(K18),2)=0,$A18&amp;"-"&amp;K$3,$A18&amp;"-"&amp;J$3),CoSo1[],K$38,0),"")</f>
        <v>0</v>
      </c>
      <c r="L18" s="14">
        <f>IFERROR(VLOOKUP(IF(MOD(COLUMN(L18),2)=0,$A18&amp;"-"&amp;L$3,$A18&amp;"-"&amp;K$3),CoSo1[],L$38,0),"")</f>
        <v>0</v>
      </c>
      <c r="M18" s="14">
        <f>IFERROR(VLOOKUP(IF(MOD(COLUMN(M18),2)=0,$A18&amp;"-"&amp;M$3,$A18&amp;"-"&amp;L$3),CoSo1[],M$38,0),"")</f>
        <v>0</v>
      </c>
      <c r="N18" s="11">
        <f t="shared" si="13"/>
        <v>1287</v>
      </c>
      <c r="O18" s="11">
        <f t="shared" si="14"/>
        <v>20</v>
      </c>
      <c r="P18" s="14"/>
      <c r="Q18" s="14">
        <f>IFERROR(VLOOKUP(IF(MOD(COLUMN(Q18),2)=1,$A18&amp;"-"&amp;Q$3,$A18&amp;"-"&amp;AT$3),CoSo3[],DoanhThuThang!AU$38,0),"")</f>
        <v>181</v>
      </c>
      <c r="R18" s="14">
        <f>IFERROR(VLOOKUP(IF(MOD(COLUMN(R18),2)=1,$A18&amp;"-"&amp;R$3,$A18&amp;"-"&amp;Q$3),CoSo3[],DoanhThuThang!AV$38,0),"")</f>
        <v>2</v>
      </c>
      <c r="S18" s="14">
        <f>IFERROR(VLOOKUP(IF(MOD(COLUMN(S18),2)=1,$A18&amp;"-"&amp;S$3,$A18&amp;"-"&amp;R$3),CoSo3[],DoanhThuThang!AW$38,0),"")</f>
        <v>1083</v>
      </c>
      <c r="T18" s="14">
        <f>IFERROR(VLOOKUP(IF(MOD(COLUMN(T18),2)=1,$A18&amp;"-"&amp;T$3,$A18&amp;"-"&amp;S$3),CoSo3[],DoanhThuThang!AX$38,0),"")</f>
        <v>14</v>
      </c>
      <c r="U18" s="11">
        <f t="shared" si="10"/>
        <v>1264</v>
      </c>
      <c r="V18" s="11">
        <f t="shared" si="10"/>
        <v>16</v>
      </c>
      <c r="W18" s="14"/>
      <c r="X18" s="14">
        <f>IFERROR(VLOOKUP(IF(MOD(COLUMN(BI18),2)=1,$A18&amp;"-"&amp;BI$3,$A18&amp;"-"&amp;BH$3),CoSo4[],DoanhThuThang!BI$38,0),"")</f>
        <v>53</v>
      </c>
      <c r="Y18" s="14">
        <f>IFERROR(VLOOKUP(IF(MOD(COLUMN(BJ18),2)=1,$A18&amp;"-"&amp;BJ$3,$A18&amp;"-"&amp;BI$3),CoSo4[],DoanhThuThang!BJ$38,0),"")</f>
        <v>2</v>
      </c>
      <c r="Z18" s="14">
        <f>IFERROR(VLOOKUP(IF(MOD(COLUMN(BK18),2)=1,$A18&amp;"-"&amp;BK$3,$A18&amp;"-"&amp;BJ$3),CoSo4[],DoanhThuThang!BK$38,0),"")</f>
        <v>413</v>
      </c>
      <c r="AA18" s="14">
        <f>IFERROR(VLOOKUP(IF(MOD(COLUMN(BL18),2)=1,$A18&amp;"-"&amp;BL$3,$A18&amp;"-"&amp;BK$3),CoSo4[],DoanhThuThang!BL$38,0),"")</f>
        <v>6</v>
      </c>
      <c r="AB18" s="11">
        <f t="shared" si="1"/>
        <v>466</v>
      </c>
      <c r="AC18" s="11">
        <f t="shared" si="2"/>
        <v>8</v>
      </c>
      <c r="AD18" s="14"/>
      <c r="AF18" s="14">
        <f>IFERROR(VLOOKUP(IF(MOD(COLUMN(AF18),2)=0,$A18&amp;"-"&amp;AF$3,$A18&amp;"-"&amp;CK$3),CoSo1[],AF$38,0),"")</f>
        <v>0</v>
      </c>
      <c r="AG18" s="14">
        <f>IFERROR(VLOOKUP(IF(MOD(COLUMN(AG18),2)=0,$A18&amp;"-"&amp;AG$3,$A18&amp;"-"&amp;AF$3),CoSo1[],AG$38,0),"")</f>
        <v>0</v>
      </c>
      <c r="AH18" s="14">
        <f>IFERROR(VLOOKUP(IF(MOD(COLUMN(AH18),2)=0,$A18&amp;"-"&amp;AH$3,$A18&amp;"-"&amp;AG$3),CoSo1[],AH$38,0),"")</f>
        <v>240</v>
      </c>
      <c r="AI18" s="14">
        <f>IFERROR(VLOOKUP(IF(MOD(COLUMN(AI18),2)=0,$A18&amp;"-"&amp;AI$3,$A18&amp;"-"&amp;AH$3),CoSo1[],AI$38,0),"")</f>
        <v>1</v>
      </c>
      <c r="AJ18" s="14">
        <f>IFERROR(VLOOKUP(IF(MOD(COLUMN(AJ18),2)=0,$A18&amp;"-"&amp;AJ$3,$A18&amp;"-"&amp;AI$3),CoSo1[],AJ$38,0),"")</f>
        <v>0</v>
      </c>
      <c r="AK18" s="14">
        <f>IFERROR(VLOOKUP(IF(MOD(COLUMN(AK18),2)=0,$A18&amp;"-"&amp;AK$3,$A18&amp;"-"&amp;AJ$3),CoSo1[],AK$38,0),"")</f>
        <v>0</v>
      </c>
      <c r="AL18" s="14">
        <f>IFERROR(VLOOKUP(IF(MOD(COLUMN(AL18),2)=0,$A18&amp;"-"&amp;AL$3,$A18&amp;"-"&amp;AK$3),CoSo1[],AL$38,0),"")</f>
        <v>0</v>
      </c>
      <c r="AM18" s="14">
        <f>IFERROR(VLOOKUP(IF(MOD(COLUMN(AM18),2)=0,$A18&amp;"-"&amp;AM$3,$A18&amp;"-"&amp;AL$3),CoSo1[],AM$38,0),"")</f>
        <v>0</v>
      </c>
      <c r="AN18" s="14">
        <f>IFERROR(VLOOKUP(IF(MOD(COLUMN(AN18),2)=0,$A18&amp;"-"&amp;AN$3,$A18&amp;"-"&amp;AM$3),CoSo1[],AN$38,0),"")</f>
        <v>0</v>
      </c>
      <c r="AO18" s="14">
        <f>IFERROR(VLOOKUP(IF(MOD(COLUMN(AO18),2)=0,$A18&amp;"-"&amp;AO$3,$A18&amp;"-"&amp;AN$3),CoSo1[],AO$38,0),"")</f>
        <v>0</v>
      </c>
      <c r="AP18" s="14">
        <f>IFERROR(VLOOKUP(IF(MOD(COLUMN(AP18),2)=0,$A18&amp;"-"&amp;AP$3,$A18&amp;"-"&amp;AO$3),CoSo1[],AP$38,0),"")</f>
        <v>0</v>
      </c>
      <c r="AQ18" s="14">
        <f>IFERROR(VLOOKUP(IF(MOD(COLUMN(AQ18),2)=0,$A18&amp;"-"&amp;AQ$3,$A18&amp;"-"&amp;AP$3),CoSo1[],AQ$38,0),"")</f>
        <v>0</v>
      </c>
      <c r="AR18" s="11">
        <f t="shared" si="4"/>
        <v>240</v>
      </c>
      <c r="AS18" s="11">
        <f t="shared" si="4"/>
        <v>1</v>
      </c>
      <c r="AT18" s="14"/>
      <c r="BB18" s="14">
        <f>IFERROR(VLOOKUP(IF(MOD(COLUMN(BB18),2)=0,$A18&amp;"-"&amp;BB$3,$A18&amp;"-"&amp;W$3),CoSo3[],DoanhThuThang!BB$38,0),"")</f>
        <v>0</v>
      </c>
      <c r="BC18" s="14">
        <f>IFERROR(VLOOKUP(IF(MOD(COLUMN(BC18),2)=0,$A18&amp;"-"&amp;BC$3,$A18&amp;"-"&amp;BB$3),CoSo3[],DoanhThuThang!BC$38,0),"")</f>
        <v>0</v>
      </c>
      <c r="BD18" s="14">
        <f>IFERROR(VLOOKUP(IF(MOD(COLUMN(BD18),2)=0,$A18&amp;"-"&amp;BD$3,$A18&amp;"-"&amp;BC$3),CoSo3[],DoanhThuThang!BD$38,0),"")</f>
        <v>0</v>
      </c>
      <c r="BE18" s="14">
        <f>IFERROR(VLOOKUP(IF(MOD(COLUMN(BE18),2)=0,$A18&amp;"-"&amp;BE$3,$A18&amp;"-"&amp;BD$3),CoSo3[],DoanhThuThang!BE$38,0),"")</f>
        <v>0</v>
      </c>
      <c r="BF18" s="11">
        <f t="shared" si="11"/>
        <v>0</v>
      </c>
      <c r="BG18" s="11">
        <f t="shared" si="11"/>
        <v>0</v>
      </c>
      <c r="BH18" s="14"/>
      <c r="BI18" s="14">
        <f>IFERROR(VLOOKUP(IF(MOD(COLUMN(BI18),2)=1,$A18&amp;"-"&amp;BI$3,$A18&amp;"-"&amp;BH$3),CoSo4[],DoanhThuThang!BI$38,0),"")</f>
        <v>53</v>
      </c>
      <c r="BJ18" s="14">
        <f>IFERROR(VLOOKUP(IF(MOD(COLUMN(BJ18),2)=1,$A18&amp;"-"&amp;BJ$3,$A18&amp;"-"&amp;BI$3),CoSo4[],DoanhThuThang!BJ$38,0),"")</f>
        <v>2</v>
      </c>
      <c r="BK18" s="14">
        <f>IFERROR(VLOOKUP(IF(MOD(COLUMN(BK18),2)=1,$A18&amp;"-"&amp;BK$3,$A18&amp;"-"&amp;BJ$3),CoSo4[],DoanhThuThang!BK$38,0),"")</f>
        <v>413</v>
      </c>
      <c r="BL18" s="14">
        <f>IFERROR(VLOOKUP(IF(MOD(COLUMN(BL18),2)=1,$A18&amp;"-"&amp;BL$3,$A18&amp;"-"&amp;BK$3),CoSo4[],DoanhThuThang!BL$38,0),"")</f>
        <v>6</v>
      </c>
      <c r="BM18" s="11">
        <f t="shared" si="6"/>
        <v>466</v>
      </c>
      <c r="BN18" s="11">
        <f t="shared" si="7"/>
        <v>8</v>
      </c>
      <c r="BO18" s="14"/>
      <c r="BP18" s="14">
        <f>IFERROR(VLOOKUP(IF(MOD(COLUMN(BP18),2)=0,$A18&amp;"-"&amp;BP$3,$A18&amp;"-"&amp;BO$3),CoSo4[],DoanhThuThang!BP$38,0),"")</f>
        <v>0</v>
      </c>
      <c r="BQ18" s="14">
        <f>IFERROR(VLOOKUP(IF(MOD(COLUMN(BQ18),2)=0,$A18&amp;"-"&amp;BQ$3,$A18&amp;"-"&amp;BP$3),CoSo4[],DoanhThuThang!BQ$38,0),"")</f>
        <v>0</v>
      </c>
      <c r="BR18" s="14">
        <f>IFERROR(VLOOKUP(IF(MOD(COLUMN(BR18),2)=0,$A18&amp;"-"&amp;BR$3,$A18&amp;"-"&amp;BQ$3),CoSo4[],DoanhThuThang!BR$38,0),"")</f>
        <v>0</v>
      </c>
      <c r="BS18" s="14">
        <f>IFERROR(VLOOKUP(IF(MOD(COLUMN(BS18),2)=0,$A18&amp;"-"&amp;BS$3,$A18&amp;"-"&amp;BR$3),CoSo4[],DoanhThuThang!BS$38,0),"")</f>
        <v>0</v>
      </c>
      <c r="BT18" s="11">
        <f t="shared" si="12"/>
        <v>0</v>
      </c>
      <c r="BU18" s="11">
        <f t="shared" si="12"/>
        <v>0</v>
      </c>
      <c r="BV18" s="14"/>
      <c r="BW18" s="14">
        <f>IFERROR(VLOOKUP(IF(MOD(COLUMN(BW18),2)=1,$A18&amp;"-"&amp;BW$3,$A18&amp;"-"&amp;P$3),CoSo1[],BW$38,0),"")</f>
        <v>16</v>
      </c>
      <c r="BX18" s="14">
        <f>IFERROR(VLOOKUP(IF(MOD(COLUMN(BX18),2)=1,$A18&amp;"-"&amp;BX$3,$A18&amp;"-"&amp;BW$3),CoSo1[],BX$38,0),"")</f>
        <v>1</v>
      </c>
      <c r="BY18" s="14">
        <f>IFERROR(VLOOKUP(IF(MOD(COLUMN(BY18),2)=1,$A18&amp;"-"&amp;BY$3,$A18&amp;"-"&amp;BX$3),CoSo1[],BY$38,0),"")</f>
        <v>0</v>
      </c>
      <c r="BZ18" s="14">
        <f>IFERROR(VLOOKUP(IF(MOD(COLUMN(BZ18),2)=1,$A18&amp;"-"&amp;BZ$3,$A18&amp;"-"&amp;BY$3),CoSo1[],BZ$38,0),"")</f>
        <v>0</v>
      </c>
      <c r="CA18" s="14">
        <f>IFERROR(VLOOKUP(IF(MOD(COLUMN(CA18),2)=1,$A18&amp;"-"&amp;CA$3,$A18&amp;"-"&amp;BZ$3),CoSo1[],CA$38,0),"")</f>
        <v>0</v>
      </c>
      <c r="CB18" s="14">
        <f>IFERROR(VLOOKUP(IF(MOD(COLUMN(CB18),2)=1,$A18&amp;"-"&amp;CB$3,$A18&amp;"-"&amp;CA$3),CoSo1[],CB$38,0),"")</f>
        <v>0</v>
      </c>
      <c r="CC18" s="14">
        <f>IFERROR(VLOOKUP(IF(MOD(COLUMN(CC18),2)=1,$A18&amp;"-"&amp;CC$3,$A18&amp;"-"&amp;CB$3),CoSo1[],CC$38,0),"")</f>
        <v>0</v>
      </c>
      <c r="CD18" s="14">
        <f>IFERROR(VLOOKUP(IF(MOD(COLUMN(CD18),2)=1,$A18&amp;"-"&amp;CD$3,$A18&amp;"-"&amp;CC$3),CoSo1[],CD$38,0),"")</f>
        <v>0</v>
      </c>
      <c r="CE18" s="14">
        <f>IFERROR(VLOOKUP(IF(MOD(COLUMN(CE18),2)=1,$A18&amp;"-"&amp;CE$3,$A18&amp;"-"&amp;CD$3),CoSo1[],CE$38,0),"")</f>
        <v>0</v>
      </c>
      <c r="CF18" s="14">
        <f>IFERROR(VLOOKUP(IF(MOD(COLUMN(CF18),2)=1,$A18&amp;"-"&amp;CF$3,$A18&amp;"-"&amp;CE$3),CoSo1[],CF$38,0),"")</f>
        <v>0</v>
      </c>
      <c r="CG18" s="14">
        <f>IFERROR(VLOOKUP(IF(MOD(COLUMN(CG18),2)=1,$A18&amp;"-"&amp;CG$3,$A18&amp;"-"&amp;CF$3),CoSo1[],CG$38,0),"")</f>
        <v>0</v>
      </c>
      <c r="CH18" s="14">
        <f>IFERROR(VLOOKUP(IF(MOD(COLUMN(CH18),2)=1,$A18&amp;"-"&amp;CH$3,$A18&amp;"-"&amp;CG$3),CoSo1[],CH$38,0),"")</f>
        <v>0</v>
      </c>
      <c r="CI18" s="11">
        <f t="shared" si="9"/>
        <v>16</v>
      </c>
      <c r="CJ18" s="11">
        <f t="shared" si="9"/>
        <v>1</v>
      </c>
      <c r="CK18" s="14"/>
    </row>
    <row r="19" spans="1:89" x14ac:dyDescent="0.25">
      <c r="A19" s="13">
        <v>14</v>
      </c>
      <c r="B19" s="14">
        <f>IFERROR(VLOOKUP(IF(MOD(COLUMN(B19),2)=0,$A19&amp;"-"&amp;B$3,$A19&amp;"-"&amp;A$3),CoSo1[],B$38,0),"")</f>
        <v>190</v>
      </c>
      <c r="C19" s="14">
        <f>IFERROR(VLOOKUP(IF(MOD(COLUMN(C19),2)=0,$A19&amp;"-"&amp;C$3,$A19&amp;"-"&amp;B$3),CoSo1[],C$38,0),"")</f>
        <v>6</v>
      </c>
      <c r="D19" s="14">
        <f>IFERROR(VLOOKUP(IF(MOD(COLUMN(D19),2)=0,$A19&amp;"-"&amp;D$3,$A19&amp;"-"&amp;C$3),CoSo1[],D$38,0),"")</f>
        <v>749</v>
      </c>
      <c r="E19" s="14">
        <f>IFERROR(VLOOKUP(IF(MOD(COLUMN(E19),2)=0,$A19&amp;"-"&amp;E$3,$A19&amp;"-"&amp;D$3),CoSo1[],E$38,0),"")</f>
        <v>12</v>
      </c>
      <c r="F19" s="14">
        <f>IFERROR(VLOOKUP(IF(MOD(COLUMN(F19),2)=0,$A19&amp;"-"&amp;F$3,$A19&amp;"-"&amp;E$3),CoSo1[],F$38,0),"")</f>
        <v>0</v>
      </c>
      <c r="G19" s="14">
        <f>IFERROR(VLOOKUP(IF(MOD(COLUMN(G19),2)=0,$A19&amp;"-"&amp;G$3,$A19&amp;"-"&amp;F$3),CoSo1[],G$38,0),"")</f>
        <v>0</v>
      </c>
      <c r="H19" s="14">
        <f>IFERROR(VLOOKUP(IF(MOD(COLUMN(H19),2)=0,$A19&amp;"-"&amp;H$3,$A19&amp;"-"&amp;G$3),CoSo1[],H$38,0),"")</f>
        <v>179</v>
      </c>
      <c r="I19" s="14">
        <f>IFERROR(VLOOKUP(IF(MOD(COLUMN(I19),2)=0,$A19&amp;"-"&amp;I$3,$A19&amp;"-"&amp;H$3),CoSo1[],I$38,0),"")</f>
        <v>2</v>
      </c>
      <c r="J19" s="14">
        <f>IFERROR(VLOOKUP(IF(MOD(COLUMN(J19),2)=0,$A19&amp;"-"&amp;J$3,$A19&amp;"-"&amp;I$3),CoSo1[],J$38,0),"")</f>
        <v>0</v>
      </c>
      <c r="K19" s="14">
        <f>IFERROR(VLOOKUP(IF(MOD(COLUMN(K19),2)=0,$A19&amp;"-"&amp;K$3,$A19&amp;"-"&amp;J$3),CoSo1[],K$38,0),"")</f>
        <v>0</v>
      </c>
      <c r="L19" s="14">
        <f>IFERROR(VLOOKUP(IF(MOD(COLUMN(L19),2)=0,$A19&amp;"-"&amp;L$3,$A19&amp;"-"&amp;K$3),CoSo1[],L$38,0),"")</f>
        <v>500</v>
      </c>
      <c r="M19" s="14">
        <f>IFERROR(VLOOKUP(IF(MOD(COLUMN(M19),2)=0,$A19&amp;"-"&amp;M$3,$A19&amp;"-"&amp;L$3),CoSo1[],M$38,0),"")</f>
        <v>1</v>
      </c>
      <c r="N19" s="11">
        <f t="shared" si="13"/>
        <v>1618</v>
      </c>
      <c r="O19" s="11">
        <f t="shared" si="14"/>
        <v>21</v>
      </c>
      <c r="P19" s="14"/>
      <c r="Q19" s="14">
        <f>IFERROR(VLOOKUP(IF(MOD(COLUMN(Q19),2)=1,$A19&amp;"-"&amp;Q$3,$A19&amp;"-"&amp;AT$3),CoSo3[],DoanhThuThang!AU$38,0),"")</f>
        <v>4</v>
      </c>
      <c r="R19" s="14">
        <f>IFERROR(VLOOKUP(IF(MOD(COLUMN(R19),2)=1,$A19&amp;"-"&amp;R$3,$A19&amp;"-"&amp;Q$3),CoSo3[],DoanhThuThang!AV$38,0),"")</f>
        <v>1</v>
      </c>
      <c r="S19" s="14">
        <f>IFERROR(VLOOKUP(IF(MOD(COLUMN(S19),2)=1,$A19&amp;"-"&amp;S$3,$A19&amp;"-"&amp;R$3),CoSo3[],DoanhThuThang!AW$38,0),"")</f>
        <v>592</v>
      </c>
      <c r="T19" s="14">
        <f>IFERROR(VLOOKUP(IF(MOD(COLUMN(T19),2)=1,$A19&amp;"-"&amp;T$3,$A19&amp;"-"&amp;S$3),CoSo3[],DoanhThuThang!AX$38,0),"")</f>
        <v>6</v>
      </c>
      <c r="U19" s="11">
        <f t="shared" si="10"/>
        <v>596</v>
      </c>
      <c r="V19" s="11">
        <f t="shared" si="10"/>
        <v>7</v>
      </c>
      <c r="W19" s="14"/>
      <c r="X19" s="14">
        <f>IFERROR(VLOOKUP(IF(MOD(COLUMN(BI19),2)=1,$A19&amp;"-"&amp;BI$3,$A19&amp;"-"&amp;BH$3),CoSo4[],DoanhThuThang!BI$38,0),"")</f>
        <v>250</v>
      </c>
      <c r="Y19" s="14">
        <f>IFERROR(VLOOKUP(IF(MOD(COLUMN(BJ19),2)=1,$A19&amp;"-"&amp;BJ$3,$A19&amp;"-"&amp;BI$3),CoSo4[],DoanhThuThang!BJ$38,0),"")</f>
        <v>2</v>
      </c>
      <c r="Z19" s="14">
        <f>IFERROR(VLOOKUP(IF(MOD(COLUMN(BK19),2)=1,$A19&amp;"-"&amp;BK$3,$A19&amp;"-"&amp;BJ$3),CoSo4[],DoanhThuThang!BK$38,0),"")</f>
        <v>484</v>
      </c>
      <c r="AA19" s="14">
        <f>IFERROR(VLOOKUP(IF(MOD(COLUMN(BL19),2)=1,$A19&amp;"-"&amp;BL$3,$A19&amp;"-"&amp;BK$3),CoSo4[],DoanhThuThang!BL$38,0),"")</f>
        <v>6</v>
      </c>
      <c r="AB19" s="11">
        <f t="shared" si="1"/>
        <v>734</v>
      </c>
      <c r="AC19" s="11">
        <f t="shared" si="2"/>
        <v>8</v>
      </c>
      <c r="AD19" s="14"/>
      <c r="AF19" s="14">
        <f>IFERROR(VLOOKUP(IF(MOD(COLUMN(AF19),2)=0,$A19&amp;"-"&amp;AF$3,$A19&amp;"-"&amp;CK$3),CoSo1[],AF$38,0),"")</f>
        <v>0</v>
      </c>
      <c r="AG19" s="14">
        <f>IFERROR(VLOOKUP(IF(MOD(COLUMN(AG19),2)=0,$A19&amp;"-"&amp;AG$3,$A19&amp;"-"&amp;AF$3),CoSo1[],AG$38,0),"")</f>
        <v>0</v>
      </c>
      <c r="AH19" s="14">
        <f>IFERROR(VLOOKUP(IF(MOD(COLUMN(AH19),2)=0,$A19&amp;"-"&amp;AH$3,$A19&amp;"-"&amp;AG$3),CoSo1[],AH$38,0),"")</f>
        <v>45</v>
      </c>
      <c r="AI19" s="14">
        <f>IFERROR(VLOOKUP(IF(MOD(COLUMN(AI19),2)=0,$A19&amp;"-"&amp;AI$3,$A19&amp;"-"&amp;AH$3),CoSo1[],AI$38,0),"")</f>
        <v>1</v>
      </c>
      <c r="AJ19" s="14">
        <f>IFERROR(VLOOKUP(IF(MOD(COLUMN(AJ19),2)=0,$A19&amp;"-"&amp;AJ$3,$A19&amp;"-"&amp;AI$3),CoSo1[],AJ$38,0),"")</f>
        <v>0</v>
      </c>
      <c r="AK19" s="14">
        <f>IFERROR(VLOOKUP(IF(MOD(COLUMN(AK19),2)=0,$A19&amp;"-"&amp;AK$3,$A19&amp;"-"&amp;AJ$3),CoSo1[],AK$38,0),"")</f>
        <v>0</v>
      </c>
      <c r="AL19" s="14">
        <f>IFERROR(VLOOKUP(IF(MOD(COLUMN(AL19),2)=0,$A19&amp;"-"&amp;AL$3,$A19&amp;"-"&amp;AK$3),CoSo1[],AL$38,0),"")</f>
        <v>0</v>
      </c>
      <c r="AM19" s="14">
        <f>IFERROR(VLOOKUP(IF(MOD(COLUMN(AM19),2)=0,$A19&amp;"-"&amp;AM$3,$A19&amp;"-"&amp;AL$3),CoSo1[],AM$38,0),"")</f>
        <v>0</v>
      </c>
      <c r="AN19" s="14">
        <f>IFERROR(VLOOKUP(IF(MOD(COLUMN(AN19),2)=0,$A19&amp;"-"&amp;AN$3,$A19&amp;"-"&amp;AM$3),CoSo1[],AN$38,0),"")</f>
        <v>0</v>
      </c>
      <c r="AO19" s="14">
        <f>IFERROR(VLOOKUP(IF(MOD(COLUMN(AO19),2)=0,$A19&amp;"-"&amp;AO$3,$A19&amp;"-"&amp;AN$3),CoSo1[],AO$38,0),"")</f>
        <v>0</v>
      </c>
      <c r="AP19" s="14">
        <f>IFERROR(VLOOKUP(IF(MOD(COLUMN(AP19),2)=0,$A19&amp;"-"&amp;AP$3,$A19&amp;"-"&amp;AO$3),CoSo1[],AP$38,0),"")</f>
        <v>0</v>
      </c>
      <c r="AQ19" s="14">
        <f>IFERROR(VLOOKUP(IF(MOD(COLUMN(AQ19),2)=0,$A19&amp;"-"&amp;AQ$3,$A19&amp;"-"&amp;AP$3),CoSo1[],AQ$38,0),"")</f>
        <v>0</v>
      </c>
      <c r="AR19" s="11">
        <f t="shared" si="4"/>
        <v>45</v>
      </c>
      <c r="AS19" s="11">
        <f t="shared" si="4"/>
        <v>1</v>
      </c>
      <c r="AT19" s="14"/>
      <c r="BB19" s="14">
        <f>IFERROR(VLOOKUP(IF(MOD(COLUMN(BB19),2)=0,$A19&amp;"-"&amp;BB$3,$A19&amp;"-"&amp;W$3),CoSo3[],DoanhThuThang!BB$38,0),"")</f>
        <v>0</v>
      </c>
      <c r="BC19" s="14">
        <f>IFERROR(VLOOKUP(IF(MOD(COLUMN(BC19),2)=0,$A19&amp;"-"&amp;BC$3,$A19&amp;"-"&amp;BB$3),CoSo3[],DoanhThuThang!BC$38,0),"")</f>
        <v>0</v>
      </c>
      <c r="BD19" s="14">
        <f>IFERROR(VLOOKUP(IF(MOD(COLUMN(BD19),2)=0,$A19&amp;"-"&amp;BD$3,$A19&amp;"-"&amp;BC$3),CoSo3[],DoanhThuThang!BD$38,0),"")</f>
        <v>0</v>
      </c>
      <c r="BE19" s="14">
        <f>IFERROR(VLOOKUP(IF(MOD(COLUMN(BE19),2)=0,$A19&amp;"-"&amp;BE$3,$A19&amp;"-"&amp;BD$3),CoSo3[],DoanhThuThang!BE$38,0),"")</f>
        <v>0</v>
      </c>
      <c r="BF19" s="11">
        <f t="shared" si="11"/>
        <v>0</v>
      </c>
      <c r="BG19" s="11">
        <f t="shared" si="11"/>
        <v>0</v>
      </c>
      <c r="BH19" s="57"/>
      <c r="BI19" s="14">
        <f>IFERROR(VLOOKUP(IF(MOD(COLUMN(BI19),2)=1,$A19&amp;"-"&amp;BI$3,$A19&amp;"-"&amp;BH$3),CoSo4[],DoanhThuThang!BI$38,0),"")</f>
        <v>250</v>
      </c>
      <c r="BJ19" s="14">
        <f>IFERROR(VLOOKUP(IF(MOD(COLUMN(BJ19),2)=1,$A19&amp;"-"&amp;BJ$3,$A19&amp;"-"&amp;BI$3),CoSo4[],DoanhThuThang!BJ$38,0),"")</f>
        <v>2</v>
      </c>
      <c r="BK19" s="14">
        <f>IFERROR(VLOOKUP(IF(MOD(COLUMN(BK19),2)=1,$A19&amp;"-"&amp;BK$3,$A19&amp;"-"&amp;BJ$3),CoSo4[],DoanhThuThang!BK$38,0),"")</f>
        <v>484</v>
      </c>
      <c r="BL19" s="14">
        <f>IFERROR(VLOOKUP(IF(MOD(COLUMN(BL19),2)=1,$A19&amp;"-"&amp;BL$3,$A19&amp;"-"&amp;BK$3),CoSo4[],DoanhThuThang!BL$38,0),"")</f>
        <v>6</v>
      </c>
      <c r="BM19" s="11">
        <f t="shared" si="6"/>
        <v>734</v>
      </c>
      <c r="BN19" s="11">
        <f t="shared" si="7"/>
        <v>8</v>
      </c>
      <c r="BO19" s="14"/>
      <c r="BP19" s="14">
        <f>IFERROR(VLOOKUP(IF(MOD(COLUMN(BP19),2)=0,$A19&amp;"-"&amp;BP$3,$A19&amp;"-"&amp;BO$3),CoSo4[],DoanhThuThang!BP$38,0),"")</f>
        <v>0</v>
      </c>
      <c r="BQ19" s="14">
        <f>IFERROR(VLOOKUP(IF(MOD(COLUMN(BQ19),2)=0,$A19&amp;"-"&amp;BQ$3,$A19&amp;"-"&amp;BP$3),CoSo4[],DoanhThuThang!BQ$38,0),"")</f>
        <v>0</v>
      </c>
      <c r="BR19" s="14">
        <f>IFERROR(VLOOKUP(IF(MOD(COLUMN(BR19),2)=0,$A19&amp;"-"&amp;BR$3,$A19&amp;"-"&amp;BQ$3),CoSo4[],DoanhThuThang!BR$38,0),"")</f>
        <v>0</v>
      </c>
      <c r="BS19" s="14">
        <f>IFERROR(VLOOKUP(IF(MOD(COLUMN(BS19),2)=0,$A19&amp;"-"&amp;BS$3,$A19&amp;"-"&amp;BR$3),CoSo4[],DoanhThuThang!BS$38,0),"")</f>
        <v>0</v>
      </c>
      <c r="BT19" s="11">
        <f t="shared" si="12"/>
        <v>0</v>
      </c>
      <c r="BU19" s="11">
        <f t="shared" si="12"/>
        <v>0</v>
      </c>
      <c r="BV19" s="14"/>
      <c r="BW19" s="14">
        <f>IFERROR(VLOOKUP(IF(MOD(COLUMN(BW19),2)=1,$A19&amp;"-"&amp;BW$3,$A19&amp;"-"&amp;P$3),CoSo1[],BW$38,0),"")</f>
        <v>35</v>
      </c>
      <c r="BX19" s="14">
        <f>IFERROR(VLOOKUP(IF(MOD(COLUMN(BX19),2)=1,$A19&amp;"-"&amp;BX$3,$A19&amp;"-"&amp;BW$3),CoSo1[],BX$38,0),"")</f>
        <v>1</v>
      </c>
      <c r="BY19" s="14">
        <f>IFERROR(VLOOKUP(IF(MOD(COLUMN(BY19),2)=1,$A19&amp;"-"&amp;BY$3,$A19&amp;"-"&amp;BX$3),CoSo1[],BY$38,0),"")</f>
        <v>129</v>
      </c>
      <c r="BZ19" s="14">
        <f>IFERROR(VLOOKUP(IF(MOD(COLUMN(BZ19),2)=1,$A19&amp;"-"&amp;BZ$3,$A19&amp;"-"&amp;BY$3),CoSo1[],BZ$38,0),"")</f>
        <v>2</v>
      </c>
      <c r="CA19" s="14">
        <f>IFERROR(VLOOKUP(IF(MOD(COLUMN(CA19),2)=1,$A19&amp;"-"&amp;CA$3,$A19&amp;"-"&amp;BZ$3),CoSo1[],CA$38,0),"")</f>
        <v>0</v>
      </c>
      <c r="CB19" s="14">
        <f>IFERROR(VLOOKUP(IF(MOD(COLUMN(CB19),2)=1,$A19&amp;"-"&amp;CB$3,$A19&amp;"-"&amp;CA$3),CoSo1[],CB$38,0),"")</f>
        <v>0</v>
      </c>
      <c r="CC19" s="14">
        <f>IFERROR(VLOOKUP(IF(MOD(COLUMN(CC19),2)=1,$A19&amp;"-"&amp;CC$3,$A19&amp;"-"&amp;CB$3),CoSo1[],CC$38,0),"")</f>
        <v>0</v>
      </c>
      <c r="CD19" s="14">
        <f>IFERROR(VLOOKUP(IF(MOD(COLUMN(CD19),2)=1,$A19&amp;"-"&amp;CD$3,$A19&amp;"-"&amp;CC$3),CoSo1[],CD$38,0),"")</f>
        <v>0</v>
      </c>
      <c r="CE19" s="14">
        <f>IFERROR(VLOOKUP(IF(MOD(COLUMN(CE19),2)=1,$A19&amp;"-"&amp;CE$3,$A19&amp;"-"&amp;CD$3),CoSo1[],CE$38,0),"")</f>
        <v>0</v>
      </c>
      <c r="CF19" s="14">
        <f>IFERROR(VLOOKUP(IF(MOD(COLUMN(CF19),2)=1,$A19&amp;"-"&amp;CF$3,$A19&amp;"-"&amp;CE$3),CoSo1[],CF$38,0),"")</f>
        <v>0</v>
      </c>
      <c r="CG19" s="14">
        <f>IFERROR(VLOOKUP(IF(MOD(COLUMN(CG19),2)=1,$A19&amp;"-"&amp;CG$3,$A19&amp;"-"&amp;CF$3),CoSo1[],CG$38,0),"")</f>
        <v>0</v>
      </c>
      <c r="CH19" s="14">
        <f>IFERROR(VLOOKUP(IF(MOD(COLUMN(CH19),2)=1,$A19&amp;"-"&amp;CH$3,$A19&amp;"-"&amp;CG$3),CoSo1[],CH$38,0),"")</f>
        <v>0</v>
      </c>
      <c r="CI19" s="11">
        <f t="shared" si="9"/>
        <v>164</v>
      </c>
      <c r="CJ19" s="11">
        <f t="shared" si="9"/>
        <v>3</v>
      </c>
      <c r="CK19" s="14"/>
    </row>
    <row r="20" spans="1:89" x14ac:dyDescent="0.25">
      <c r="A20" s="13">
        <v>15</v>
      </c>
      <c r="B20" s="14">
        <f>IFERROR(VLOOKUP(IF(MOD(COLUMN(B20),2)=0,$A20&amp;"-"&amp;B$3,$A20&amp;"-"&amp;A$3),CoSo1[],B$38,0),"")</f>
        <v>286</v>
      </c>
      <c r="C20" s="14">
        <f>IFERROR(VLOOKUP(IF(MOD(COLUMN(C20),2)=0,$A20&amp;"-"&amp;C$3,$A20&amp;"-"&amp;B$3),CoSo1[],C$38,0),"")</f>
        <v>4</v>
      </c>
      <c r="D20" s="14">
        <f>IFERROR(VLOOKUP(IF(MOD(COLUMN(D20),2)=0,$A20&amp;"-"&amp;D$3,$A20&amp;"-"&amp;C$3),CoSo1[],D$38,0),"")</f>
        <v>1131</v>
      </c>
      <c r="E20" s="14">
        <f>IFERROR(VLOOKUP(IF(MOD(COLUMN(E20),2)=0,$A20&amp;"-"&amp;E$3,$A20&amp;"-"&amp;D$3),CoSo1[],E$38,0),"")</f>
        <v>12</v>
      </c>
      <c r="F20" s="14">
        <f>IFERROR(VLOOKUP(IF(MOD(COLUMN(F20),2)=0,$A20&amp;"-"&amp;F$3,$A20&amp;"-"&amp;E$3),CoSo1[],F$38,0),"")</f>
        <v>0</v>
      </c>
      <c r="G20" s="14">
        <f>IFERROR(VLOOKUP(IF(MOD(COLUMN(G20),2)=0,$A20&amp;"-"&amp;G$3,$A20&amp;"-"&amp;F$3),CoSo1[],G$38,0),"")</f>
        <v>0</v>
      </c>
      <c r="H20" s="14">
        <f>IFERROR(VLOOKUP(IF(MOD(COLUMN(H20),2)=0,$A20&amp;"-"&amp;H$3,$A20&amp;"-"&amp;G$3),CoSo1[],H$38,0),"")</f>
        <v>0</v>
      </c>
      <c r="I20" s="14">
        <f>IFERROR(VLOOKUP(IF(MOD(COLUMN(I20),2)=0,$A20&amp;"-"&amp;I$3,$A20&amp;"-"&amp;H$3),CoSo1[],I$38,0),"")</f>
        <v>0</v>
      </c>
      <c r="J20" s="14">
        <f>IFERROR(VLOOKUP(IF(MOD(COLUMN(J20),2)=0,$A20&amp;"-"&amp;J$3,$A20&amp;"-"&amp;I$3),CoSo1[],J$38,0),"")</f>
        <v>0</v>
      </c>
      <c r="K20" s="14">
        <f>IFERROR(VLOOKUP(IF(MOD(COLUMN(K20),2)=0,$A20&amp;"-"&amp;K$3,$A20&amp;"-"&amp;J$3),CoSo1[],K$38,0),"")</f>
        <v>0</v>
      </c>
      <c r="L20" s="14">
        <f>IFERROR(VLOOKUP(IF(MOD(COLUMN(L20),2)=0,$A20&amp;"-"&amp;L$3,$A20&amp;"-"&amp;K$3),CoSo1[],L$38,0),"")</f>
        <v>0</v>
      </c>
      <c r="M20" s="14">
        <f>IFERROR(VLOOKUP(IF(MOD(COLUMN(M20),2)=0,$A20&amp;"-"&amp;M$3,$A20&amp;"-"&amp;L$3),CoSo1[],M$38,0),"")</f>
        <v>0</v>
      </c>
      <c r="N20" s="11">
        <f t="shared" si="13"/>
        <v>1417</v>
      </c>
      <c r="O20" s="11">
        <f t="shared" si="14"/>
        <v>16</v>
      </c>
      <c r="P20" s="14"/>
      <c r="Q20" s="14">
        <f>IFERROR(VLOOKUP(IF(MOD(COLUMN(Q20),2)=1,$A20&amp;"-"&amp;Q$3,$A20&amp;"-"&amp;AT$3),CoSo3[],DoanhThuThang!AU$38,0),"")</f>
        <v>225</v>
      </c>
      <c r="R20" s="14">
        <f>IFERROR(VLOOKUP(IF(MOD(COLUMN(R20),2)=1,$A20&amp;"-"&amp;R$3,$A20&amp;"-"&amp;Q$3),CoSo3[],DoanhThuThang!AV$38,0),"")</f>
        <v>4</v>
      </c>
      <c r="S20" s="14">
        <f>IFERROR(VLOOKUP(IF(MOD(COLUMN(S20),2)=1,$A20&amp;"-"&amp;S$3,$A20&amp;"-"&amp;R$3),CoSo3[],DoanhThuThang!AW$38,0),"")</f>
        <v>263</v>
      </c>
      <c r="T20" s="14">
        <f>IFERROR(VLOOKUP(IF(MOD(COLUMN(T20),2)=1,$A20&amp;"-"&amp;T$3,$A20&amp;"-"&amp;S$3),CoSo3[],DoanhThuThang!AX$38,0),"")</f>
        <v>6</v>
      </c>
      <c r="U20" s="11">
        <f t="shared" si="10"/>
        <v>488</v>
      </c>
      <c r="V20" s="11">
        <f t="shared" si="10"/>
        <v>10</v>
      </c>
      <c r="W20" s="14"/>
      <c r="X20" s="14">
        <f>IFERROR(VLOOKUP(IF(MOD(COLUMN(BI20),2)=1,$A20&amp;"-"&amp;BI$3,$A20&amp;"-"&amp;BH$3),CoSo4[],DoanhThuThang!BI$38,0),"")</f>
        <v>24</v>
      </c>
      <c r="Y20" s="14">
        <f>IFERROR(VLOOKUP(IF(MOD(COLUMN(BJ20),2)=1,$A20&amp;"-"&amp;BJ$3,$A20&amp;"-"&amp;BI$3),CoSo4[],DoanhThuThang!BJ$38,0),"")</f>
        <v>1</v>
      </c>
      <c r="Z20" s="14">
        <f>IFERROR(VLOOKUP(IF(MOD(COLUMN(BK20),2)=1,$A20&amp;"-"&amp;BK$3,$A20&amp;"-"&amp;BJ$3),CoSo4[],DoanhThuThang!BK$38,0),"")</f>
        <v>140</v>
      </c>
      <c r="AA20" s="14">
        <f>IFERROR(VLOOKUP(IF(MOD(COLUMN(BL20),2)=1,$A20&amp;"-"&amp;BL$3,$A20&amp;"-"&amp;BK$3),CoSo4[],DoanhThuThang!BL$38,0),"")</f>
        <v>3</v>
      </c>
      <c r="AB20" s="11">
        <f t="shared" si="1"/>
        <v>164</v>
      </c>
      <c r="AC20" s="11">
        <f t="shared" si="2"/>
        <v>4</v>
      </c>
      <c r="AD20" s="14"/>
      <c r="AF20" s="14">
        <f>IFERROR(VLOOKUP(IF(MOD(COLUMN(AF20),2)=0,$A20&amp;"-"&amp;AF$3,$A20&amp;"-"&amp;CK$3),CoSo1[],AF$38,0),"")</f>
        <v>0</v>
      </c>
      <c r="AG20" s="14">
        <f>IFERROR(VLOOKUP(IF(MOD(COLUMN(AG20),2)=0,$A20&amp;"-"&amp;AG$3,$A20&amp;"-"&amp;AF$3),CoSo1[],AG$38,0),"")</f>
        <v>0</v>
      </c>
      <c r="AH20" s="14">
        <f>IFERROR(VLOOKUP(IF(MOD(COLUMN(AH20),2)=0,$A20&amp;"-"&amp;AH$3,$A20&amp;"-"&amp;AG$3),CoSo1[],AH$38,0),"")</f>
        <v>0</v>
      </c>
      <c r="AI20" s="14">
        <f>IFERROR(VLOOKUP(IF(MOD(COLUMN(AI20),2)=0,$A20&amp;"-"&amp;AI$3,$A20&amp;"-"&amp;AH$3),CoSo1[],AI$38,0),"")</f>
        <v>0</v>
      </c>
      <c r="AJ20" s="14">
        <f>IFERROR(VLOOKUP(IF(MOD(COLUMN(AJ20),2)=0,$A20&amp;"-"&amp;AJ$3,$A20&amp;"-"&amp;AI$3),CoSo1[],AJ$38,0),"")</f>
        <v>0</v>
      </c>
      <c r="AK20" s="14">
        <f>IFERROR(VLOOKUP(IF(MOD(COLUMN(AK20),2)=0,$A20&amp;"-"&amp;AK$3,$A20&amp;"-"&amp;AJ$3),CoSo1[],AK$38,0),"")</f>
        <v>0</v>
      </c>
      <c r="AL20" s="14">
        <f>IFERROR(VLOOKUP(IF(MOD(COLUMN(AL20),2)=0,$A20&amp;"-"&amp;AL$3,$A20&amp;"-"&amp;AK$3),CoSo1[],AL$38,0),"")</f>
        <v>0</v>
      </c>
      <c r="AM20" s="14">
        <f>IFERROR(VLOOKUP(IF(MOD(COLUMN(AM20),2)=0,$A20&amp;"-"&amp;AM$3,$A20&amp;"-"&amp;AL$3),CoSo1[],AM$38,0),"")</f>
        <v>0</v>
      </c>
      <c r="AN20" s="14">
        <f>IFERROR(VLOOKUP(IF(MOD(COLUMN(AN20),2)=0,$A20&amp;"-"&amp;AN$3,$A20&amp;"-"&amp;AM$3),CoSo1[],AN$38,0),"")</f>
        <v>0</v>
      </c>
      <c r="AO20" s="14">
        <f>IFERROR(VLOOKUP(IF(MOD(COLUMN(AO20),2)=0,$A20&amp;"-"&amp;AO$3,$A20&amp;"-"&amp;AN$3),CoSo1[],AO$38,0),"")</f>
        <v>0</v>
      </c>
      <c r="AP20" s="14">
        <f>IFERROR(VLOOKUP(IF(MOD(COLUMN(AP20),2)=0,$A20&amp;"-"&amp;AP$3,$A20&amp;"-"&amp;AO$3),CoSo1[],AP$38,0),"")</f>
        <v>0</v>
      </c>
      <c r="AQ20" s="14">
        <f>IFERROR(VLOOKUP(IF(MOD(COLUMN(AQ20),2)=0,$A20&amp;"-"&amp;AQ$3,$A20&amp;"-"&amp;AP$3),CoSo1[],AQ$38,0),"")</f>
        <v>0</v>
      </c>
      <c r="AR20" s="11">
        <f t="shared" si="4"/>
        <v>0</v>
      </c>
      <c r="AS20" s="11">
        <f t="shared" si="4"/>
        <v>0</v>
      </c>
      <c r="AT20" s="14"/>
      <c r="BB20" s="14">
        <f>IFERROR(VLOOKUP(IF(MOD(COLUMN(BB20),2)=0,$A20&amp;"-"&amp;BB$3,$A20&amp;"-"&amp;W$3),CoSo3[],DoanhThuThang!BB$38,0),"")</f>
        <v>0</v>
      </c>
      <c r="BC20" s="14">
        <f>IFERROR(VLOOKUP(IF(MOD(COLUMN(BC20),2)=0,$A20&amp;"-"&amp;BC$3,$A20&amp;"-"&amp;BB$3),CoSo3[],DoanhThuThang!BC$38,0),"")</f>
        <v>0</v>
      </c>
      <c r="BD20" s="14">
        <f>IFERROR(VLOOKUP(IF(MOD(COLUMN(BD20),2)=0,$A20&amp;"-"&amp;BD$3,$A20&amp;"-"&amp;BC$3),CoSo3[],DoanhThuThang!BD$38,0),"")</f>
        <v>60</v>
      </c>
      <c r="BE20" s="14">
        <f>IFERROR(VLOOKUP(IF(MOD(COLUMN(BE20),2)=0,$A20&amp;"-"&amp;BE$3,$A20&amp;"-"&amp;BD$3),CoSo3[],DoanhThuThang!BE$38,0),"")</f>
        <v>1</v>
      </c>
      <c r="BF20" s="11">
        <f t="shared" si="11"/>
        <v>60</v>
      </c>
      <c r="BG20" s="11">
        <f t="shared" si="11"/>
        <v>1</v>
      </c>
      <c r="BH20" s="14"/>
      <c r="BI20" s="14">
        <f>IFERROR(VLOOKUP(IF(MOD(COLUMN(BI20),2)=1,$A20&amp;"-"&amp;BI$3,$A20&amp;"-"&amp;BH$3),CoSo4[],DoanhThuThang!BI$38,0),"")</f>
        <v>24</v>
      </c>
      <c r="BJ20" s="14">
        <f>IFERROR(VLOOKUP(IF(MOD(COLUMN(BJ20),2)=1,$A20&amp;"-"&amp;BJ$3,$A20&amp;"-"&amp;BI$3),CoSo4[],DoanhThuThang!BJ$38,0),"")</f>
        <v>1</v>
      </c>
      <c r="BK20" s="14">
        <f>IFERROR(VLOOKUP(IF(MOD(COLUMN(BK20),2)=1,$A20&amp;"-"&amp;BK$3,$A20&amp;"-"&amp;BJ$3),CoSo4[],DoanhThuThang!BK$38,0),"")</f>
        <v>140</v>
      </c>
      <c r="BL20" s="14">
        <f>IFERROR(VLOOKUP(IF(MOD(COLUMN(BL20),2)=1,$A20&amp;"-"&amp;BL$3,$A20&amp;"-"&amp;BK$3),CoSo4[],DoanhThuThang!BL$38,0),"")</f>
        <v>3</v>
      </c>
      <c r="BM20" s="11">
        <f t="shared" si="6"/>
        <v>164</v>
      </c>
      <c r="BN20" s="11">
        <f t="shared" si="7"/>
        <v>4</v>
      </c>
      <c r="BO20" s="14"/>
      <c r="BP20" s="14">
        <f>IFERROR(VLOOKUP(IF(MOD(COLUMN(BP20),2)=0,$A20&amp;"-"&amp;BP$3,$A20&amp;"-"&amp;BO$3),CoSo4[],DoanhThuThang!BP$38,0),"")</f>
        <v>0</v>
      </c>
      <c r="BQ20" s="14">
        <f>IFERROR(VLOOKUP(IF(MOD(COLUMN(BQ20),2)=0,$A20&amp;"-"&amp;BQ$3,$A20&amp;"-"&amp;BP$3),CoSo4[],DoanhThuThang!BQ$38,0),"")</f>
        <v>0</v>
      </c>
      <c r="BR20" s="14">
        <f>IFERROR(VLOOKUP(IF(MOD(COLUMN(BR20),2)=0,$A20&amp;"-"&amp;BR$3,$A20&amp;"-"&amp;BQ$3),CoSo4[],DoanhThuThang!BR$38,0),"")</f>
        <v>0</v>
      </c>
      <c r="BS20" s="14">
        <f>IFERROR(VLOOKUP(IF(MOD(COLUMN(BS20),2)=0,$A20&amp;"-"&amp;BS$3,$A20&amp;"-"&amp;BR$3),CoSo4[],DoanhThuThang!BS$38,0),"")</f>
        <v>0</v>
      </c>
      <c r="BT20" s="11">
        <f t="shared" si="12"/>
        <v>0</v>
      </c>
      <c r="BU20" s="11">
        <f t="shared" si="12"/>
        <v>0</v>
      </c>
      <c r="BV20" s="14"/>
      <c r="BW20" s="14">
        <f>IFERROR(VLOOKUP(IF(MOD(COLUMN(BW20),2)=1,$A20&amp;"-"&amp;BW$3,$A20&amp;"-"&amp;P$3),CoSo1[],BW$38,0),"")</f>
        <v>0</v>
      </c>
      <c r="BX20" s="14">
        <f>IFERROR(VLOOKUP(IF(MOD(COLUMN(BX20),2)=1,$A20&amp;"-"&amp;BX$3,$A20&amp;"-"&amp;BW$3),CoSo1[],BX$38,0),"")</f>
        <v>0</v>
      </c>
      <c r="BY20" s="14">
        <f>IFERROR(VLOOKUP(IF(MOD(COLUMN(BY20),2)=1,$A20&amp;"-"&amp;BY$3,$A20&amp;"-"&amp;BX$3),CoSo1[],BY$38,0),"")</f>
        <v>234</v>
      </c>
      <c r="BZ20" s="14">
        <f>IFERROR(VLOOKUP(IF(MOD(COLUMN(BZ20),2)=1,$A20&amp;"-"&amp;BZ$3,$A20&amp;"-"&amp;BY$3),CoSo1[],BZ$38,0),"")</f>
        <v>3</v>
      </c>
      <c r="CA20" s="14">
        <f>IFERROR(VLOOKUP(IF(MOD(COLUMN(CA20),2)=1,$A20&amp;"-"&amp;CA$3,$A20&amp;"-"&amp;BZ$3),CoSo1[],CA$38,0),"")</f>
        <v>0</v>
      </c>
      <c r="CB20" s="14">
        <f>IFERROR(VLOOKUP(IF(MOD(COLUMN(CB20),2)=1,$A20&amp;"-"&amp;CB$3,$A20&amp;"-"&amp;CA$3),CoSo1[],CB$38,0),"")</f>
        <v>0</v>
      </c>
      <c r="CC20" s="14">
        <f>IFERROR(VLOOKUP(IF(MOD(COLUMN(CC20),2)=1,$A20&amp;"-"&amp;CC$3,$A20&amp;"-"&amp;CB$3),CoSo1[],CC$38,0),"")</f>
        <v>0</v>
      </c>
      <c r="CD20" s="14">
        <f>IFERROR(VLOOKUP(IF(MOD(COLUMN(CD20),2)=1,$A20&amp;"-"&amp;CD$3,$A20&amp;"-"&amp;CC$3),CoSo1[],CD$38,0),"")</f>
        <v>0</v>
      </c>
      <c r="CE20" s="14">
        <f>IFERROR(VLOOKUP(IF(MOD(COLUMN(CE20),2)=1,$A20&amp;"-"&amp;CE$3,$A20&amp;"-"&amp;CD$3),CoSo1[],CE$38,0),"")</f>
        <v>0</v>
      </c>
      <c r="CF20" s="14">
        <f>IFERROR(VLOOKUP(IF(MOD(COLUMN(CF20),2)=1,$A20&amp;"-"&amp;CF$3,$A20&amp;"-"&amp;CE$3),CoSo1[],CF$38,0),"")</f>
        <v>0</v>
      </c>
      <c r="CG20" s="14">
        <f>IFERROR(VLOOKUP(IF(MOD(COLUMN(CG20),2)=1,$A20&amp;"-"&amp;CG$3,$A20&amp;"-"&amp;CF$3),CoSo1[],CG$38,0),"")</f>
        <v>0</v>
      </c>
      <c r="CH20" s="14">
        <f>IFERROR(VLOOKUP(IF(MOD(COLUMN(CH20),2)=1,$A20&amp;"-"&amp;CH$3,$A20&amp;"-"&amp;CG$3),CoSo1[],CH$38,0),"")</f>
        <v>0</v>
      </c>
      <c r="CI20" s="11">
        <f t="shared" si="9"/>
        <v>234</v>
      </c>
      <c r="CJ20" s="11">
        <f t="shared" si="9"/>
        <v>3</v>
      </c>
      <c r="CK20" s="14"/>
    </row>
    <row r="21" spans="1:89" x14ac:dyDescent="0.25">
      <c r="A21" s="13">
        <v>16</v>
      </c>
      <c r="B21" s="14">
        <f>IFERROR(VLOOKUP(IF(MOD(COLUMN(B21),2)=0,$A21&amp;"-"&amp;B$3,$A21&amp;"-"&amp;A$3),CoSo1[],B$38,0),"")</f>
        <v>574</v>
      </c>
      <c r="C21" s="14">
        <f>IFERROR(VLOOKUP(IF(MOD(COLUMN(C21),2)=0,$A21&amp;"-"&amp;C$3,$A21&amp;"-"&amp;B$3),CoSo1[],C$38,0),"")</f>
        <v>8</v>
      </c>
      <c r="D21" s="14">
        <f>IFERROR(VLOOKUP(IF(MOD(COLUMN(D21),2)=0,$A21&amp;"-"&amp;D$3,$A21&amp;"-"&amp;C$3),CoSo1[],D$38,0),"")</f>
        <v>1352</v>
      </c>
      <c r="E21" s="14">
        <f>IFERROR(VLOOKUP(IF(MOD(COLUMN(E21),2)=0,$A21&amp;"-"&amp;E$3,$A21&amp;"-"&amp;D$3),CoSo1[],E$38,0),"")</f>
        <v>7</v>
      </c>
      <c r="F21" s="14">
        <f>IFERROR(VLOOKUP(IF(MOD(COLUMN(F21),2)=0,$A21&amp;"-"&amp;F$3,$A21&amp;"-"&amp;E$3),CoSo1[],F$38,0),"")</f>
        <v>0</v>
      </c>
      <c r="G21" s="14">
        <f>IFERROR(VLOOKUP(IF(MOD(COLUMN(G21),2)=0,$A21&amp;"-"&amp;G$3,$A21&amp;"-"&amp;F$3),CoSo1[],G$38,0),"")</f>
        <v>0</v>
      </c>
      <c r="H21" s="14">
        <f>IFERROR(VLOOKUP(IF(MOD(COLUMN(H21),2)=0,$A21&amp;"-"&amp;H$3,$A21&amp;"-"&amp;G$3),CoSo1[],H$38,0),"")</f>
        <v>202</v>
      </c>
      <c r="I21" s="14">
        <f>IFERROR(VLOOKUP(IF(MOD(COLUMN(I21),2)=0,$A21&amp;"-"&amp;I$3,$A21&amp;"-"&amp;H$3),CoSo1[],I$38,0),"")</f>
        <v>1</v>
      </c>
      <c r="J21" s="14">
        <f>IFERROR(VLOOKUP(IF(MOD(COLUMN(J21),2)=0,$A21&amp;"-"&amp;J$3,$A21&amp;"-"&amp;I$3),CoSo1[],J$38,0),"")</f>
        <v>0</v>
      </c>
      <c r="K21" s="14">
        <f>IFERROR(VLOOKUP(IF(MOD(COLUMN(K21),2)=0,$A21&amp;"-"&amp;K$3,$A21&amp;"-"&amp;J$3),CoSo1[],K$38,0),"")</f>
        <v>0</v>
      </c>
      <c r="L21" s="14">
        <f>IFERROR(VLOOKUP(IF(MOD(COLUMN(L21),2)=0,$A21&amp;"-"&amp;L$3,$A21&amp;"-"&amp;K$3),CoSo1[],L$38,0),"")</f>
        <v>843</v>
      </c>
      <c r="M21" s="14">
        <f>IFERROR(VLOOKUP(IF(MOD(COLUMN(M21),2)=0,$A21&amp;"-"&amp;M$3,$A21&amp;"-"&amp;L$3),CoSo1[],M$38,0),"")</f>
        <v>2</v>
      </c>
      <c r="N21" s="11">
        <f t="shared" si="13"/>
        <v>2971</v>
      </c>
      <c r="O21" s="11">
        <f t="shared" si="14"/>
        <v>18</v>
      </c>
      <c r="P21" s="14"/>
      <c r="Q21" s="14">
        <f>IFERROR(VLOOKUP(IF(MOD(COLUMN(Q21),2)=1,$A21&amp;"-"&amp;Q$3,$A21&amp;"-"&amp;AT$3),CoSo3[],DoanhThuThang!AU$38,0),"")</f>
        <v>46</v>
      </c>
      <c r="R21" s="14">
        <f>IFERROR(VLOOKUP(IF(MOD(COLUMN(R21),2)=1,$A21&amp;"-"&amp;R$3,$A21&amp;"-"&amp;Q$3),CoSo3[],DoanhThuThang!AV$38,0),"")</f>
        <v>2</v>
      </c>
      <c r="S21" s="14">
        <f>IFERROR(VLOOKUP(IF(MOD(COLUMN(S21),2)=1,$A21&amp;"-"&amp;S$3,$A21&amp;"-"&amp;R$3),CoSo3[],DoanhThuThang!AW$38,0),"")</f>
        <v>497</v>
      </c>
      <c r="T21" s="14">
        <f>IFERROR(VLOOKUP(IF(MOD(COLUMN(T21),2)=1,$A21&amp;"-"&amp;T$3,$A21&amp;"-"&amp;S$3),CoSo3[],DoanhThuThang!AX$38,0),"")</f>
        <v>6</v>
      </c>
      <c r="U21" s="11">
        <f t="shared" si="10"/>
        <v>543</v>
      </c>
      <c r="V21" s="11">
        <f t="shared" si="10"/>
        <v>8</v>
      </c>
      <c r="W21" s="14"/>
      <c r="X21" s="14">
        <f>IFERROR(VLOOKUP(IF(MOD(COLUMN(BI21),2)=1,$A21&amp;"-"&amp;BI$3,$A21&amp;"-"&amp;BH$3),CoSo4[],DoanhThuThang!BI$38,0),"")</f>
        <v>44</v>
      </c>
      <c r="Y21" s="14">
        <f>IFERROR(VLOOKUP(IF(MOD(COLUMN(BJ21),2)=1,$A21&amp;"-"&amp;BJ$3,$A21&amp;"-"&amp;BI$3),CoSo4[],DoanhThuThang!BJ$38,0),"")</f>
        <v>1</v>
      </c>
      <c r="Z21" s="14">
        <f>IFERROR(VLOOKUP(IF(MOD(COLUMN(BK21),2)=1,$A21&amp;"-"&amp;BK$3,$A21&amp;"-"&amp;BJ$3),CoSo4[],DoanhThuThang!BK$38,0),"")</f>
        <v>133</v>
      </c>
      <c r="AA21" s="14">
        <f>IFERROR(VLOOKUP(IF(MOD(COLUMN(BL21),2)=1,$A21&amp;"-"&amp;BL$3,$A21&amp;"-"&amp;BK$3),CoSo4[],DoanhThuThang!BL$38,0),"")</f>
        <v>2</v>
      </c>
      <c r="AB21" s="11">
        <f t="shared" si="1"/>
        <v>177</v>
      </c>
      <c r="AC21" s="11">
        <f t="shared" si="2"/>
        <v>3</v>
      </c>
      <c r="AD21" s="14"/>
      <c r="AF21" s="14">
        <f>IFERROR(VLOOKUP(IF(MOD(COLUMN(AF21),2)=0,$A21&amp;"-"&amp;AF$3,$A21&amp;"-"&amp;CK$3),CoSo1[],AF$38,0),"")</f>
        <v>0</v>
      </c>
      <c r="AG21" s="14">
        <f>IFERROR(VLOOKUP(IF(MOD(COLUMN(AG21),2)=0,$A21&amp;"-"&amp;AG$3,$A21&amp;"-"&amp;AF$3),CoSo1[],AG$38,0),"")</f>
        <v>0</v>
      </c>
      <c r="AH21" s="14">
        <f>IFERROR(VLOOKUP(IF(MOD(COLUMN(AH21),2)=0,$A21&amp;"-"&amp;AH$3,$A21&amp;"-"&amp;AG$3),CoSo1[],AH$38,0),"")</f>
        <v>129</v>
      </c>
      <c r="AI21" s="14">
        <f>IFERROR(VLOOKUP(IF(MOD(COLUMN(AI21),2)=0,$A21&amp;"-"&amp;AI$3,$A21&amp;"-"&amp;AH$3),CoSo1[],AI$38,0),"")</f>
        <v>1</v>
      </c>
      <c r="AJ21" s="14">
        <f>IFERROR(VLOOKUP(IF(MOD(COLUMN(AJ21),2)=0,$A21&amp;"-"&amp;AJ$3,$A21&amp;"-"&amp;AI$3),CoSo1[],AJ$38,0),"")</f>
        <v>0</v>
      </c>
      <c r="AK21" s="14">
        <f>IFERROR(VLOOKUP(IF(MOD(COLUMN(AK21),2)=0,$A21&amp;"-"&amp;AK$3,$A21&amp;"-"&amp;AJ$3),CoSo1[],AK$38,0),"")</f>
        <v>0</v>
      </c>
      <c r="AL21" s="14">
        <f>IFERROR(VLOOKUP(IF(MOD(COLUMN(AL21),2)=0,$A21&amp;"-"&amp;AL$3,$A21&amp;"-"&amp;AK$3),CoSo1[],AL$38,0),"")</f>
        <v>0</v>
      </c>
      <c r="AM21" s="14">
        <f>IFERROR(VLOOKUP(IF(MOD(COLUMN(AM21),2)=0,$A21&amp;"-"&amp;AM$3,$A21&amp;"-"&amp;AL$3),CoSo1[],AM$38,0),"")</f>
        <v>0</v>
      </c>
      <c r="AN21" s="14">
        <f>IFERROR(VLOOKUP(IF(MOD(COLUMN(AN21),2)=0,$A21&amp;"-"&amp;AN$3,$A21&amp;"-"&amp;AM$3),CoSo1[],AN$38,0),"")</f>
        <v>0</v>
      </c>
      <c r="AO21" s="14">
        <f>IFERROR(VLOOKUP(IF(MOD(COLUMN(AO21),2)=0,$A21&amp;"-"&amp;AO$3,$A21&amp;"-"&amp;AN$3),CoSo1[],AO$38,0),"")</f>
        <v>0</v>
      </c>
      <c r="AP21" s="14">
        <f>IFERROR(VLOOKUP(IF(MOD(COLUMN(AP21),2)=0,$A21&amp;"-"&amp;AP$3,$A21&amp;"-"&amp;AO$3),CoSo1[],AP$38,0),"")</f>
        <v>0</v>
      </c>
      <c r="AQ21" s="14">
        <f>IFERROR(VLOOKUP(IF(MOD(COLUMN(AQ21),2)=0,$A21&amp;"-"&amp;AQ$3,$A21&amp;"-"&amp;AP$3),CoSo1[],AQ$38,0),"")</f>
        <v>0</v>
      </c>
      <c r="AR21" s="11">
        <f t="shared" si="4"/>
        <v>129</v>
      </c>
      <c r="AS21" s="11">
        <f t="shared" si="4"/>
        <v>1</v>
      </c>
      <c r="AT21" s="14"/>
      <c r="BB21" s="14">
        <f>IFERROR(VLOOKUP(IF(MOD(COLUMN(BB21),2)=0,$A21&amp;"-"&amp;BB$3,$A21&amp;"-"&amp;W$3),CoSo3[],DoanhThuThang!BB$38,0),"")</f>
        <v>0</v>
      </c>
      <c r="BC21" s="14">
        <f>IFERROR(VLOOKUP(IF(MOD(COLUMN(BC21),2)=0,$A21&amp;"-"&amp;BC$3,$A21&amp;"-"&amp;BB$3),CoSo3[],DoanhThuThang!BC$38,0),"")</f>
        <v>0</v>
      </c>
      <c r="BD21" s="14">
        <f>IFERROR(VLOOKUP(IF(MOD(COLUMN(BD21),2)=0,$A21&amp;"-"&amp;BD$3,$A21&amp;"-"&amp;BC$3),CoSo3[],DoanhThuThang!BD$38,0),"")</f>
        <v>0</v>
      </c>
      <c r="BE21" s="14">
        <f>IFERROR(VLOOKUP(IF(MOD(COLUMN(BE21),2)=0,$A21&amp;"-"&amp;BE$3,$A21&amp;"-"&amp;BD$3),CoSo3[],DoanhThuThang!BE$38,0),"")</f>
        <v>0</v>
      </c>
      <c r="BF21" s="11">
        <f t="shared" si="11"/>
        <v>0</v>
      </c>
      <c r="BG21" s="11">
        <f t="shared" si="11"/>
        <v>0</v>
      </c>
      <c r="BH21" s="14"/>
      <c r="BI21" s="14">
        <f>IFERROR(VLOOKUP(IF(MOD(COLUMN(BI21),2)=1,$A21&amp;"-"&amp;BI$3,$A21&amp;"-"&amp;BH$3),CoSo4[],DoanhThuThang!BI$38,0),"")</f>
        <v>44</v>
      </c>
      <c r="BJ21" s="14">
        <f>IFERROR(VLOOKUP(IF(MOD(COLUMN(BJ21),2)=1,$A21&amp;"-"&amp;BJ$3,$A21&amp;"-"&amp;BI$3),CoSo4[],DoanhThuThang!BJ$38,0),"")</f>
        <v>1</v>
      </c>
      <c r="BK21" s="14">
        <f>IFERROR(VLOOKUP(IF(MOD(COLUMN(BK21),2)=1,$A21&amp;"-"&amp;BK$3,$A21&amp;"-"&amp;BJ$3),CoSo4[],DoanhThuThang!BK$38,0),"")</f>
        <v>133</v>
      </c>
      <c r="BL21" s="14">
        <f>IFERROR(VLOOKUP(IF(MOD(COLUMN(BL21),2)=1,$A21&amp;"-"&amp;BL$3,$A21&amp;"-"&amp;BK$3),CoSo4[],DoanhThuThang!BL$38,0),"")</f>
        <v>2</v>
      </c>
      <c r="BM21" s="11">
        <f t="shared" si="6"/>
        <v>177</v>
      </c>
      <c r="BN21" s="11">
        <f t="shared" si="7"/>
        <v>3</v>
      </c>
      <c r="BO21" s="14"/>
      <c r="BP21" s="14">
        <f>IFERROR(VLOOKUP(IF(MOD(COLUMN(BP21),2)=0,$A21&amp;"-"&amp;BP$3,$A21&amp;"-"&amp;BO$3),CoSo4[],DoanhThuThang!BP$38,0),"")</f>
        <v>0</v>
      </c>
      <c r="BQ21" s="14">
        <f>IFERROR(VLOOKUP(IF(MOD(COLUMN(BQ21),2)=0,$A21&amp;"-"&amp;BQ$3,$A21&amp;"-"&amp;BP$3),CoSo4[],DoanhThuThang!BQ$38,0),"")</f>
        <v>0</v>
      </c>
      <c r="BR21" s="14">
        <f>IFERROR(VLOOKUP(IF(MOD(COLUMN(BR21),2)=0,$A21&amp;"-"&amp;BR$3,$A21&amp;"-"&amp;BQ$3),CoSo4[],DoanhThuThang!BR$38,0),"")</f>
        <v>0</v>
      </c>
      <c r="BS21" s="14">
        <f>IFERROR(VLOOKUP(IF(MOD(COLUMN(BS21),2)=0,$A21&amp;"-"&amp;BS$3,$A21&amp;"-"&amp;BR$3),CoSo4[],DoanhThuThang!BS$38,0),"")</f>
        <v>0</v>
      </c>
      <c r="BT21" s="11">
        <f t="shared" si="12"/>
        <v>0</v>
      </c>
      <c r="BU21" s="11">
        <f t="shared" si="12"/>
        <v>0</v>
      </c>
      <c r="BV21" s="14"/>
      <c r="BW21" s="14">
        <f>IFERROR(VLOOKUP(IF(MOD(COLUMN(BW21),2)=1,$A21&amp;"-"&amp;BW$3,$A21&amp;"-"&amp;P$3),CoSo1[],BW$38,0),"")</f>
        <v>84</v>
      </c>
      <c r="BX21" s="14">
        <f>IFERROR(VLOOKUP(IF(MOD(COLUMN(BX21),2)=1,$A21&amp;"-"&amp;BX$3,$A21&amp;"-"&amp;BW$3),CoSo1[],BX$38,0),"")</f>
        <v>1</v>
      </c>
      <c r="BY21" s="14">
        <f>IFERROR(VLOOKUP(IF(MOD(COLUMN(BY21),2)=1,$A21&amp;"-"&amp;BY$3,$A21&amp;"-"&amp;BX$3),CoSo1[],BY$38,0),"")</f>
        <v>0</v>
      </c>
      <c r="BZ21" s="14">
        <f>IFERROR(VLOOKUP(IF(MOD(COLUMN(BZ21),2)=1,$A21&amp;"-"&amp;BZ$3,$A21&amp;"-"&amp;BY$3),CoSo1[],BZ$38,0),"")</f>
        <v>0</v>
      </c>
      <c r="CA21" s="14">
        <f>IFERROR(VLOOKUP(IF(MOD(COLUMN(CA21),2)=1,$A21&amp;"-"&amp;CA$3,$A21&amp;"-"&amp;BZ$3),CoSo1[],CA$38,0),"")</f>
        <v>0</v>
      </c>
      <c r="CB21" s="14">
        <f>IFERROR(VLOOKUP(IF(MOD(COLUMN(CB21),2)=1,$A21&amp;"-"&amp;CB$3,$A21&amp;"-"&amp;CA$3),CoSo1[],CB$38,0),"")</f>
        <v>0</v>
      </c>
      <c r="CC21" s="14">
        <f>IFERROR(VLOOKUP(IF(MOD(COLUMN(CC21),2)=1,$A21&amp;"-"&amp;CC$3,$A21&amp;"-"&amp;CB$3),CoSo1[],CC$38,0),"")</f>
        <v>0</v>
      </c>
      <c r="CD21" s="14">
        <f>IFERROR(VLOOKUP(IF(MOD(COLUMN(CD21),2)=1,$A21&amp;"-"&amp;CD$3,$A21&amp;"-"&amp;CC$3),CoSo1[],CD$38,0),"")</f>
        <v>0</v>
      </c>
      <c r="CE21" s="14">
        <f>IFERROR(VLOOKUP(IF(MOD(COLUMN(CE21),2)=1,$A21&amp;"-"&amp;CE$3,$A21&amp;"-"&amp;CD$3),CoSo1[],CE$38,0),"")</f>
        <v>0</v>
      </c>
      <c r="CF21" s="14">
        <f>IFERROR(VLOOKUP(IF(MOD(COLUMN(CF21),2)=1,$A21&amp;"-"&amp;CF$3,$A21&amp;"-"&amp;CE$3),CoSo1[],CF$38,0),"")</f>
        <v>0</v>
      </c>
      <c r="CG21" s="14">
        <f>IFERROR(VLOOKUP(IF(MOD(COLUMN(CG21),2)=1,$A21&amp;"-"&amp;CG$3,$A21&amp;"-"&amp;CF$3),CoSo1[],CG$38,0),"")</f>
        <v>0</v>
      </c>
      <c r="CH21" s="14">
        <f>IFERROR(VLOOKUP(IF(MOD(COLUMN(CH21),2)=1,$A21&amp;"-"&amp;CH$3,$A21&amp;"-"&amp;CG$3),CoSo1[],CH$38,0),"")</f>
        <v>0</v>
      </c>
      <c r="CI21" s="11">
        <f t="shared" si="9"/>
        <v>84</v>
      </c>
      <c r="CJ21" s="11">
        <f t="shared" si="9"/>
        <v>1</v>
      </c>
      <c r="CK21" s="14"/>
    </row>
    <row r="22" spans="1:89" x14ac:dyDescent="0.25">
      <c r="A22" s="13">
        <v>17</v>
      </c>
      <c r="B22" s="14">
        <f>IFERROR(VLOOKUP(IF(MOD(COLUMN(B22),2)=0,$A22&amp;"-"&amp;B$3,$A22&amp;"-"&amp;A$3),CoSo1[],B$38,0),"")</f>
        <v>1025</v>
      </c>
      <c r="C22" s="14">
        <f>IFERROR(VLOOKUP(IF(MOD(COLUMN(C22),2)=0,$A22&amp;"-"&amp;C$3,$A22&amp;"-"&amp;B$3),CoSo1[],C$38,0),"")</f>
        <v>10</v>
      </c>
      <c r="D22" s="14">
        <f>IFERROR(VLOOKUP(IF(MOD(COLUMN(D22),2)=0,$A22&amp;"-"&amp;D$3,$A22&amp;"-"&amp;C$3),CoSo1[],D$38,0),"")</f>
        <v>764</v>
      </c>
      <c r="E22" s="14">
        <f>IFERROR(VLOOKUP(IF(MOD(COLUMN(E22),2)=0,$A22&amp;"-"&amp;E$3,$A22&amp;"-"&amp;D$3),CoSo1[],E$38,0),"")</f>
        <v>14</v>
      </c>
      <c r="F22" s="14">
        <f>IFERROR(VLOOKUP(IF(MOD(COLUMN(F22),2)=0,$A22&amp;"-"&amp;F$3,$A22&amp;"-"&amp;E$3),CoSo1[],F$38,0),"")</f>
        <v>0</v>
      </c>
      <c r="G22" s="14">
        <f>IFERROR(VLOOKUP(IF(MOD(COLUMN(G22),2)=0,$A22&amp;"-"&amp;G$3,$A22&amp;"-"&amp;F$3),CoSo1[],G$38,0),"")</f>
        <v>0</v>
      </c>
      <c r="H22" s="14">
        <f>IFERROR(VLOOKUP(IF(MOD(COLUMN(H22),2)=0,$A22&amp;"-"&amp;H$3,$A22&amp;"-"&amp;G$3),CoSo1[],H$38,0),"")</f>
        <v>245</v>
      </c>
      <c r="I22" s="14">
        <f>IFERROR(VLOOKUP(IF(MOD(COLUMN(I22),2)=0,$A22&amp;"-"&amp;I$3,$A22&amp;"-"&amp;H$3),CoSo1[],I$38,0),"")</f>
        <v>3</v>
      </c>
      <c r="J22" s="14">
        <f>IFERROR(VLOOKUP(IF(MOD(COLUMN(J22),2)=0,$A22&amp;"-"&amp;J$3,$A22&amp;"-"&amp;I$3),CoSo1[],J$38,0),"")</f>
        <v>0</v>
      </c>
      <c r="K22" s="14">
        <f>IFERROR(VLOOKUP(IF(MOD(COLUMN(K22),2)=0,$A22&amp;"-"&amp;K$3,$A22&amp;"-"&amp;J$3),CoSo1[],K$38,0),"")</f>
        <v>0</v>
      </c>
      <c r="L22" s="14">
        <f>IFERROR(VLOOKUP(IF(MOD(COLUMN(L22),2)=0,$A22&amp;"-"&amp;L$3,$A22&amp;"-"&amp;K$3),CoSo1[],L$38,0),"")</f>
        <v>0</v>
      </c>
      <c r="M22" s="14">
        <f>IFERROR(VLOOKUP(IF(MOD(COLUMN(M22),2)=0,$A22&amp;"-"&amp;M$3,$A22&amp;"-"&amp;L$3),CoSo1[],M$38,0),"")</f>
        <v>0</v>
      </c>
      <c r="N22" s="11">
        <f t="shared" si="13"/>
        <v>2034</v>
      </c>
      <c r="O22" s="11">
        <f t="shared" si="14"/>
        <v>27</v>
      </c>
      <c r="P22" s="14"/>
      <c r="Q22" s="14">
        <f>IFERROR(VLOOKUP(IF(MOD(COLUMN(Q22),2)=1,$A22&amp;"-"&amp;Q$3,$A22&amp;"-"&amp;AT$3),CoSo3[],DoanhThuThang!AU$38,0),"")</f>
        <v>187</v>
      </c>
      <c r="R22" s="14">
        <f>IFERROR(VLOOKUP(IF(MOD(COLUMN(R22),2)=1,$A22&amp;"-"&amp;R$3,$A22&amp;"-"&amp;Q$3),CoSo3[],DoanhThuThang!AV$38,0),"")</f>
        <v>2</v>
      </c>
      <c r="S22" s="14">
        <f>IFERROR(VLOOKUP(IF(MOD(COLUMN(S22),2)=1,$A22&amp;"-"&amp;S$3,$A22&amp;"-"&amp;R$3),CoSo3[],DoanhThuThang!AW$38,0),"")</f>
        <v>342</v>
      </c>
      <c r="T22" s="14">
        <f>IFERROR(VLOOKUP(IF(MOD(COLUMN(T22),2)=1,$A22&amp;"-"&amp;T$3,$A22&amp;"-"&amp;S$3),CoSo3[],DoanhThuThang!AX$38,0),"")</f>
        <v>7</v>
      </c>
      <c r="U22" s="11">
        <f t="shared" si="10"/>
        <v>529</v>
      </c>
      <c r="V22" s="11">
        <f t="shared" si="10"/>
        <v>9</v>
      </c>
      <c r="W22" s="14"/>
      <c r="X22" s="14">
        <f>IFERROR(VLOOKUP(IF(MOD(COLUMN(BI22),2)=1,$A22&amp;"-"&amp;BI$3,$A22&amp;"-"&amp;BH$3),CoSo4[],DoanhThuThang!BI$38,0),"")</f>
        <v>92</v>
      </c>
      <c r="Y22" s="14">
        <f>IFERROR(VLOOKUP(IF(MOD(COLUMN(BJ22),2)=1,$A22&amp;"-"&amp;BJ$3,$A22&amp;"-"&amp;BI$3),CoSo4[],DoanhThuThang!BJ$38,0),"")</f>
        <v>1</v>
      </c>
      <c r="Z22" s="14">
        <f>IFERROR(VLOOKUP(IF(MOD(COLUMN(BK22),2)=1,$A22&amp;"-"&amp;BK$3,$A22&amp;"-"&amp;BJ$3),CoSo4[],DoanhThuThang!BK$38,0),"")</f>
        <v>43</v>
      </c>
      <c r="AA22" s="14">
        <f>IFERROR(VLOOKUP(IF(MOD(COLUMN(BL22),2)=1,$A22&amp;"-"&amp;BL$3,$A22&amp;"-"&amp;BK$3),CoSo4[],DoanhThuThang!BL$38,0),"")</f>
        <v>2</v>
      </c>
      <c r="AB22" s="11">
        <f t="shared" si="1"/>
        <v>135</v>
      </c>
      <c r="AC22" s="11">
        <f t="shared" si="2"/>
        <v>3</v>
      </c>
      <c r="AD22" s="14"/>
      <c r="AF22" s="14">
        <f>IFERROR(VLOOKUP(IF(MOD(COLUMN(AF22),2)=0,$A22&amp;"-"&amp;AF$3,$A22&amp;"-"&amp;CK$3),CoSo1[],AF$38,0),"")</f>
        <v>40</v>
      </c>
      <c r="AG22" s="14">
        <f>IFERROR(VLOOKUP(IF(MOD(COLUMN(AG22),2)=0,$A22&amp;"-"&amp;AG$3,$A22&amp;"-"&amp;AF$3),CoSo1[],AG$38,0),"")</f>
        <v>1</v>
      </c>
      <c r="AH22" s="14">
        <f>IFERROR(VLOOKUP(IF(MOD(COLUMN(AH22),2)=0,$A22&amp;"-"&amp;AH$3,$A22&amp;"-"&amp;AG$3),CoSo1[],AH$38,0),"")</f>
        <v>60</v>
      </c>
      <c r="AI22" s="14">
        <f>IFERROR(VLOOKUP(IF(MOD(COLUMN(AI22),2)=0,$A22&amp;"-"&amp;AI$3,$A22&amp;"-"&amp;AH$3),CoSo1[],AI$38,0),"")</f>
        <v>2</v>
      </c>
      <c r="AJ22" s="14">
        <f>IFERROR(VLOOKUP(IF(MOD(COLUMN(AJ22),2)=0,$A22&amp;"-"&amp;AJ$3,$A22&amp;"-"&amp;AI$3),CoSo1[],AJ$38,0),"")</f>
        <v>0</v>
      </c>
      <c r="AK22" s="14">
        <f>IFERROR(VLOOKUP(IF(MOD(COLUMN(AK22),2)=0,$A22&amp;"-"&amp;AK$3,$A22&amp;"-"&amp;AJ$3),CoSo1[],AK$38,0),"")</f>
        <v>0</v>
      </c>
      <c r="AL22" s="14">
        <f>IFERROR(VLOOKUP(IF(MOD(COLUMN(AL22),2)=0,$A22&amp;"-"&amp;AL$3,$A22&amp;"-"&amp;AK$3),CoSo1[],AL$38,0),"")</f>
        <v>90</v>
      </c>
      <c r="AM22" s="14">
        <f>IFERROR(VLOOKUP(IF(MOD(COLUMN(AM22),2)=0,$A22&amp;"-"&amp;AM$3,$A22&amp;"-"&amp;AL$3),CoSo1[],AM$38,0),"")</f>
        <v>1</v>
      </c>
      <c r="AN22" s="14">
        <f>IFERROR(VLOOKUP(IF(MOD(COLUMN(AN22),2)=0,$A22&amp;"-"&amp;AN$3,$A22&amp;"-"&amp;AM$3),CoSo1[],AN$38,0),"")</f>
        <v>0</v>
      </c>
      <c r="AO22" s="14">
        <f>IFERROR(VLOOKUP(IF(MOD(COLUMN(AO22),2)=0,$A22&amp;"-"&amp;AO$3,$A22&amp;"-"&amp;AN$3),CoSo1[],AO$38,0),"")</f>
        <v>0</v>
      </c>
      <c r="AP22" s="14">
        <f>IFERROR(VLOOKUP(IF(MOD(COLUMN(AP22),2)=0,$A22&amp;"-"&amp;AP$3,$A22&amp;"-"&amp;AO$3),CoSo1[],AP$38,0),"")</f>
        <v>0</v>
      </c>
      <c r="AQ22" s="14">
        <f>IFERROR(VLOOKUP(IF(MOD(COLUMN(AQ22),2)=0,$A22&amp;"-"&amp;AQ$3,$A22&amp;"-"&amp;AP$3),CoSo1[],AQ$38,0),"")</f>
        <v>0</v>
      </c>
      <c r="AR22" s="11">
        <f t="shared" si="4"/>
        <v>190</v>
      </c>
      <c r="AS22" s="11">
        <f t="shared" si="4"/>
        <v>4</v>
      </c>
      <c r="AT22" s="14"/>
      <c r="BB22" s="14">
        <f>IFERROR(VLOOKUP(IF(MOD(COLUMN(BB22),2)=0,$A22&amp;"-"&amp;BB$3,$A22&amp;"-"&amp;W$3),CoSo3[],DoanhThuThang!BB$38,0),"")</f>
        <v>0</v>
      </c>
      <c r="BC22" s="14">
        <f>IFERROR(VLOOKUP(IF(MOD(COLUMN(BC22),2)=0,$A22&amp;"-"&amp;BC$3,$A22&amp;"-"&amp;BB$3),CoSo3[],DoanhThuThang!BC$38,0),"")</f>
        <v>0</v>
      </c>
      <c r="BD22" s="14">
        <f>IFERROR(VLOOKUP(IF(MOD(COLUMN(BD22),2)=0,$A22&amp;"-"&amp;BD$3,$A22&amp;"-"&amp;BC$3),CoSo3[],DoanhThuThang!BD$38,0),"")</f>
        <v>0</v>
      </c>
      <c r="BE22" s="14">
        <f>IFERROR(VLOOKUP(IF(MOD(COLUMN(BE22),2)=0,$A22&amp;"-"&amp;BE$3,$A22&amp;"-"&amp;BD$3),CoSo3[],DoanhThuThang!BE$38,0),"")</f>
        <v>0</v>
      </c>
      <c r="BF22" s="11">
        <f t="shared" si="11"/>
        <v>0</v>
      </c>
      <c r="BG22" s="11">
        <f t="shared" si="11"/>
        <v>0</v>
      </c>
      <c r="BH22" s="14"/>
      <c r="BI22" s="14">
        <f>IFERROR(VLOOKUP(IF(MOD(COLUMN(BI22),2)=1,$A22&amp;"-"&amp;BI$3,$A22&amp;"-"&amp;BH$3),CoSo4[],DoanhThuThang!BI$38,0),"")</f>
        <v>92</v>
      </c>
      <c r="BJ22" s="14">
        <f>IFERROR(VLOOKUP(IF(MOD(COLUMN(BJ22),2)=1,$A22&amp;"-"&amp;BJ$3,$A22&amp;"-"&amp;BI$3),CoSo4[],DoanhThuThang!BJ$38,0),"")</f>
        <v>1</v>
      </c>
      <c r="BK22" s="14">
        <f>IFERROR(VLOOKUP(IF(MOD(COLUMN(BK22),2)=1,$A22&amp;"-"&amp;BK$3,$A22&amp;"-"&amp;BJ$3),CoSo4[],DoanhThuThang!BK$38,0),"")</f>
        <v>43</v>
      </c>
      <c r="BL22" s="14">
        <f>IFERROR(VLOOKUP(IF(MOD(COLUMN(BL22),2)=1,$A22&amp;"-"&amp;BL$3,$A22&amp;"-"&amp;BK$3),CoSo4[],DoanhThuThang!BL$38,0),"")</f>
        <v>2</v>
      </c>
      <c r="BM22" s="11">
        <f t="shared" si="6"/>
        <v>135</v>
      </c>
      <c r="BN22" s="11">
        <f t="shared" si="7"/>
        <v>3</v>
      </c>
      <c r="BO22" s="14"/>
      <c r="BP22" s="14">
        <f>IFERROR(VLOOKUP(IF(MOD(COLUMN(BP22),2)=0,$A22&amp;"-"&amp;BP$3,$A22&amp;"-"&amp;BO$3),CoSo4[],DoanhThuThang!BP$38,0),"")</f>
        <v>0</v>
      </c>
      <c r="BQ22" s="14">
        <f>IFERROR(VLOOKUP(IF(MOD(COLUMN(BQ22),2)=0,$A22&amp;"-"&amp;BQ$3,$A22&amp;"-"&amp;BP$3),CoSo4[],DoanhThuThang!BQ$38,0),"")</f>
        <v>0</v>
      </c>
      <c r="BR22" s="14">
        <f>IFERROR(VLOOKUP(IF(MOD(COLUMN(BR22),2)=0,$A22&amp;"-"&amp;BR$3,$A22&amp;"-"&amp;BQ$3),CoSo4[],DoanhThuThang!BR$38,0),"")</f>
        <v>0</v>
      </c>
      <c r="BS22" s="14">
        <f>IFERROR(VLOOKUP(IF(MOD(COLUMN(BS22),2)=0,$A22&amp;"-"&amp;BS$3,$A22&amp;"-"&amp;BR$3),CoSo4[],DoanhThuThang!BS$38,0),"")</f>
        <v>0</v>
      </c>
      <c r="BT22" s="11">
        <f t="shared" si="12"/>
        <v>0</v>
      </c>
      <c r="BU22" s="11">
        <f t="shared" si="12"/>
        <v>0</v>
      </c>
      <c r="BV22" s="14"/>
      <c r="BW22" s="14">
        <f>IFERROR(VLOOKUP(IF(MOD(COLUMN(BW22),2)=1,$A22&amp;"-"&amp;BW$3,$A22&amp;"-"&amp;P$3),CoSo1[],BW$38,0),"")</f>
        <v>40</v>
      </c>
      <c r="BX22" s="14">
        <f>IFERROR(VLOOKUP(IF(MOD(COLUMN(BX22),2)=1,$A22&amp;"-"&amp;BX$3,$A22&amp;"-"&amp;BW$3),CoSo1[],BX$38,0),"")</f>
        <v>1</v>
      </c>
      <c r="BY22" s="14">
        <f>IFERROR(VLOOKUP(IF(MOD(COLUMN(BY22),2)=1,$A22&amp;"-"&amp;BY$3,$A22&amp;"-"&amp;BX$3),CoSo1[],BY$38,0),"")</f>
        <v>102</v>
      </c>
      <c r="BZ22" s="14">
        <f>IFERROR(VLOOKUP(IF(MOD(COLUMN(BZ22),2)=1,$A22&amp;"-"&amp;BZ$3,$A22&amp;"-"&amp;BY$3),CoSo1[],BZ$38,0),"")</f>
        <v>2</v>
      </c>
      <c r="CA22" s="14">
        <f>IFERROR(VLOOKUP(IF(MOD(COLUMN(CA22),2)=1,$A22&amp;"-"&amp;CA$3,$A22&amp;"-"&amp;BZ$3),CoSo1[],CA$38,0),"")</f>
        <v>0</v>
      </c>
      <c r="CB22" s="14">
        <f>IFERROR(VLOOKUP(IF(MOD(COLUMN(CB22),2)=1,$A22&amp;"-"&amp;CB$3,$A22&amp;"-"&amp;CA$3),CoSo1[],CB$38,0),"")</f>
        <v>0</v>
      </c>
      <c r="CC22" s="14">
        <f>IFERROR(VLOOKUP(IF(MOD(COLUMN(CC22),2)=1,$A22&amp;"-"&amp;CC$3,$A22&amp;"-"&amp;CB$3),CoSo1[],CC$38,0),"")</f>
        <v>0</v>
      </c>
      <c r="CD22" s="14">
        <f>IFERROR(VLOOKUP(IF(MOD(COLUMN(CD22),2)=1,$A22&amp;"-"&amp;CD$3,$A22&amp;"-"&amp;CC$3),CoSo1[],CD$38,0),"")</f>
        <v>0</v>
      </c>
      <c r="CE22" s="14">
        <f>IFERROR(VLOOKUP(IF(MOD(COLUMN(CE22),2)=1,$A22&amp;"-"&amp;CE$3,$A22&amp;"-"&amp;CD$3),CoSo1[],CE$38,0),"")</f>
        <v>0</v>
      </c>
      <c r="CF22" s="14">
        <f>IFERROR(VLOOKUP(IF(MOD(COLUMN(CF22),2)=1,$A22&amp;"-"&amp;CF$3,$A22&amp;"-"&amp;CE$3),CoSo1[],CF$38,0),"")</f>
        <v>0</v>
      </c>
      <c r="CG22" s="14">
        <f>IFERROR(VLOOKUP(IF(MOD(COLUMN(CG22),2)=1,$A22&amp;"-"&amp;CG$3,$A22&amp;"-"&amp;CF$3),CoSo1[],CG$38,0),"")</f>
        <v>0</v>
      </c>
      <c r="CH22" s="14">
        <f>IFERROR(VLOOKUP(IF(MOD(COLUMN(CH22),2)=1,$A22&amp;"-"&amp;CH$3,$A22&amp;"-"&amp;CG$3),CoSo1[],CH$38,0),"")</f>
        <v>0</v>
      </c>
      <c r="CI22" s="11">
        <f t="shared" si="9"/>
        <v>142</v>
      </c>
      <c r="CJ22" s="11">
        <f t="shared" si="9"/>
        <v>3</v>
      </c>
      <c r="CK22" s="14"/>
    </row>
    <row r="23" spans="1:89" x14ac:dyDescent="0.25">
      <c r="A23" s="13">
        <v>18</v>
      </c>
      <c r="B23" s="14">
        <f>IFERROR(VLOOKUP(IF(MOD(COLUMN(B23),2)=0,$A23&amp;"-"&amp;B$3,$A23&amp;"-"&amp;A$3),CoSo1[],B$38,0),"")</f>
        <v>204</v>
      </c>
      <c r="C23" s="14">
        <f>IFERROR(VLOOKUP(IF(MOD(COLUMN(C23),2)=0,$A23&amp;"-"&amp;C$3,$A23&amp;"-"&amp;B$3),CoSo1[],C$38,0),"")</f>
        <v>5</v>
      </c>
      <c r="D23" s="14">
        <f>IFERROR(VLOOKUP(IF(MOD(COLUMN(D23),2)=0,$A23&amp;"-"&amp;D$3,$A23&amp;"-"&amp;C$3),CoSo1[],D$38,0),"")</f>
        <v>1545</v>
      </c>
      <c r="E23" s="14">
        <f>IFERROR(VLOOKUP(IF(MOD(COLUMN(E23),2)=0,$A23&amp;"-"&amp;E$3,$A23&amp;"-"&amp;D$3),CoSo1[],E$38,0),"")</f>
        <v>16</v>
      </c>
      <c r="F23" s="14">
        <f>IFERROR(VLOOKUP(IF(MOD(COLUMN(F23),2)=0,$A23&amp;"-"&amp;F$3,$A23&amp;"-"&amp;E$3),CoSo1[],F$38,0),"")</f>
        <v>0</v>
      </c>
      <c r="G23" s="14">
        <f>IFERROR(VLOOKUP(IF(MOD(COLUMN(G23),2)=0,$A23&amp;"-"&amp;G$3,$A23&amp;"-"&amp;F$3),CoSo1[],G$38,0),"")</f>
        <v>0</v>
      </c>
      <c r="H23" s="14">
        <f>IFERROR(VLOOKUP(IF(MOD(COLUMN(H23),2)=0,$A23&amp;"-"&amp;H$3,$A23&amp;"-"&amp;G$3),CoSo1[],H$38,0),"")</f>
        <v>169</v>
      </c>
      <c r="I23" s="14">
        <f>IFERROR(VLOOKUP(IF(MOD(COLUMN(I23),2)=0,$A23&amp;"-"&amp;I$3,$A23&amp;"-"&amp;H$3),CoSo1[],I$38,0),"")</f>
        <v>2</v>
      </c>
      <c r="J23" s="14">
        <f>IFERROR(VLOOKUP(IF(MOD(COLUMN(J23),2)=0,$A23&amp;"-"&amp;J$3,$A23&amp;"-"&amp;I$3),CoSo1[],J$38,0),"")</f>
        <v>0</v>
      </c>
      <c r="K23" s="14">
        <f>IFERROR(VLOOKUP(IF(MOD(COLUMN(K23),2)=0,$A23&amp;"-"&amp;K$3,$A23&amp;"-"&amp;J$3),CoSo1[],K$38,0),"")</f>
        <v>0</v>
      </c>
      <c r="L23" s="14">
        <f>IFERROR(VLOOKUP(IF(MOD(COLUMN(L23),2)=0,$A23&amp;"-"&amp;L$3,$A23&amp;"-"&amp;K$3),CoSo1[],L$38,0),"")</f>
        <v>110</v>
      </c>
      <c r="M23" s="14">
        <f>IFERROR(VLOOKUP(IF(MOD(COLUMN(M23),2)=0,$A23&amp;"-"&amp;M$3,$A23&amp;"-"&amp;L$3),CoSo1[],M$38,0),"")</f>
        <v>1</v>
      </c>
      <c r="N23" s="11">
        <f t="shared" si="13"/>
        <v>2028</v>
      </c>
      <c r="O23" s="11">
        <f t="shared" si="14"/>
        <v>24</v>
      </c>
      <c r="P23" s="14"/>
      <c r="Q23" s="14">
        <f>IFERROR(VLOOKUP(IF(MOD(COLUMN(Q23),2)=1,$A23&amp;"-"&amp;Q$3,$A23&amp;"-"&amp;AT$3),CoSo3[],DoanhThuThang!AU$38,0),"")</f>
        <v>1114</v>
      </c>
      <c r="R23" s="14">
        <f>IFERROR(VLOOKUP(IF(MOD(COLUMN(R23),2)=1,$A23&amp;"-"&amp;R$3,$A23&amp;"-"&amp;Q$3),CoSo3[],DoanhThuThang!AV$38,0),"")</f>
        <v>3</v>
      </c>
      <c r="S23" s="14">
        <f>IFERROR(VLOOKUP(IF(MOD(COLUMN(S23),2)=1,$A23&amp;"-"&amp;S$3,$A23&amp;"-"&amp;R$3),CoSo3[],DoanhThuThang!AW$38,0),"")</f>
        <v>458</v>
      </c>
      <c r="T23" s="14">
        <f>IFERROR(VLOOKUP(IF(MOD(COLUMN(T23),2)=1,$A23&amp;"-"&amp;T$3,$A23&amp;"-"&amp;S$3),CoSo3[],DoanhThuThang!AX$38,0),"")</f>
        <v>5</v>
      </c>
      <c r="U23" s="11">
        <f t="shared" si="10"/>
        <v>1572</v>
      </c>
      <c r="V23" s="11">
        <f t="shared" si="10"/>
        <v>8</v>
      </c>
      <c r="W23" s="14"/>
      <c r="X23" s="14">
        <f>IFERROR(VLOOKUP(IF(MOD(COLUMN(BI23),2)=1,$A23&amp;"-"&amp;BI$3,$A23&amp;"-"&amp;BH$3),CoSo4[],DoanhThuThang!BI$38,0),"")</f>
        <v>209</v>
      </c>
      <c r="Y23" s="14">
        <f>IFERROR(VLOOKUP(IF(MOD(COLUMN(BJ23),2)=1,$A23&amp;"-"&amp;BJ$3,$A23&amp;"-"&amp;BI$3),CoSo4[],DoanhThuThang!BJ$38,0),"")</f>
        <v>3</v>
      </c>
      <c r="Z23" s="14">
        <f>IFERROR(VLOOKUP(IF(MOD(COLUMN(BK23),2)=1,$A23&amp;"-"&amp;BK$3,$A23&amp;"-"&amp;BJ$3),CoSo4[],DoanhThuThang!BK$38,0),"")</f>
        <v>209</v>
      </c>
      <c r="AA23" s="14">
        <f>IFERROR(VLOOKUP(IF(MOD(COLUMN(BL23),2)=1,$A23&amp;"-"&amp;BL$3,$A23&amp;"-"&amp;BK$3),CoSo4[],DoanhThuThang!BL$38,0),"")</f>
        <v>3</v>
      </c>
      <c r="AB23" s="11">
        <f t="shared" si="1"/>
        <v>418</v>
      </c>
      <c r="AC23" s="11">
        <f t="shared" si="2"/>
        <v>6</v>
      </c>
      <c r="AD23" s="14"/>
      <c r="AF23" s="14">
        <f>IFERROR(VLOOKUP(IF(MOD(COLUMN(AF23),2)=0,$A23&amp;"-"&amp;AF$3,$A23&amp;"-"&amp;CK$3),CoSo1[],AF$38,0),"")</f>
        <v>0</v>
      </c>
      <c r="AG23" s="14">
        <f>IFERROR(VLOOKUP(IF(MOD(COLUMN(AG23),2)=0,$A23&amp;"-"&amp;AG$3,$A23&amp;"-"&amp;AF$3),CoSo1[],AG$38,0),"")</f>
        <v>0</v>
      </c>
      <c r="AH23" s="14">
        <f>IFERROR(VLOOKUP(IF(MOD(COLUMN(AH23),2)=0,$A23&amp;"-"&amp;AH$3,$A23&amp;"-"&amp;AG$3),CoSo1[],AH$38,0),"")</f>
        <v>0</v>
      </c>
      <c r="AI23" s="14">
        <f>IFERROR(VLOOKUP(IF(MOD(COLUMN(AI23),2)=0,$A23&amp;"-"&amp;AI$3,$A23&amp;"-"&amp;AH$3),CoSo1[],AI$38,0),"")</f>
        <v>0</v>
      </c>
      <c r="AJ23" s="14">
        <f>IFERROR(VLOOKUP(IF(MOD(COLUMN(AJ23),2)=0,$A23&amp;"-"&amp;AJ$3,$A23&amp;"-"&amp;AI$3),CoSo1[],AJ$38,0),"")</f>
        <v>0</v>
      </c>
      <c r="AK23" s="14">
        <f>IFERROR(VLOOKUP(IF(MOD(COLUMN(AK23),2)=0,$A23&amp;"-"&amp;AK$3,$A23&amp;"-"&amp;AJ$3),CoSo1[],AK$38,0),"")</f>
        <v>0</v>
      </c>
      <c r="AL23" s="14">
        <f>IFERROR(VLOOKUP(IF(MOD(COLUMN(AL23),2)=0,$A23&amp;"-"&amp;AL$3,$A23&amp;"-"&amp;AK$3),CoSo1[],AL$38,0),"")</f>
        <v>0</v>
      </c>
      <c r="AM23" s="14">
        <f>IFERROR(VLOOKUP(IF(MOD(COLUMN(AM23),2)=0,$A23&amp;"-"&amp;AM$3,$A23&amp;"-"&amp;AL$3),CoSo1[],AM$38,0),"")</f>
        <v>0</v>
      </c>
      <c r="AN23" s="14">
        <f>IFERROR(VLOOKUP(IF(MOD(COLUMN(AN23),2)=0,$A23&amp;"-"&amp;AN$3,$A23&amp;"-"&amp;AM$3),CoSo1[],AN$38,0),"")</f>
        <v>0</v>
      </c>
      <c r="AO23" s="14">
        <f>IFERROR(VLOOKUP(IF(MOD(COLUMN(AO23),2)=0,$A23&amp;"-"&amp;AO$3,$A23&amp;"-"&amp;AN$3),CoSo1[],AO$38,0),"")</f>
        <v>0</v>
      </c>
      <c r="AP23" s="14">
        <f>IFERROR(VLOOKUP(IF(MOD(COLUMN(AP23),2)=0,$A23&amp;"-"&amp;AP$3,$A23&amp;"-"&amp;AO$3),CoSo1[],AP$38,0),"")</f>
        <v>0</v>
      </c>
      <c r="AQ23" s="14">
        <f>IFERROR(VLOOKUP(IF(MOD(COLUMN(AQ23),2)=0,$A23&amp;"-"&amp;AQ$3,$A23&amp;"-"&amp;AP$3),CoSo1[],AQ$38,0),"")</f>
        <v>0</v>
      </c>
      <c r="AR23" s="11">
        <f t="shared" si="4"/>
        <v>0</v>
      </c>
      <c r="AS23" s="11">
        <f t="shared" si="4"/>
        <v>0</v>
      </c>
      <c r="AT23" s="14"/>
      <c r="BB23" s="14">
        <f>IFERROR(VLOOKUP(IF(MOD(COLUMN(BB23),2)=0,$A23&amp;"-"&amp;BB$3,$A23&amp;"-"&amp;W$3),CoSo3[],DoanhThuThang!BB$38,0),"")</f>
        <v>0</v>
      </c>
      <c r="BC23" s="14">
        <f>IFERROR(VLOOKUP(IF(MOD(COLUMN(BC23),2)=0,$A23&amp;"-"&amp;BC$3,$A23&amp;"-"&amp;BB$3),CoSo3[],DoanhThuThang!BC$38,0),"")</f>
        <v>0</v>
      </c>
      <c r="BD23" s="14">
        <f>IFERROR(VLOOKUP(IF(MOD(COLUMN(BD23),2)=0,$A23&amp;"-"&amp;BD$3,$A23&amp;"-"&amp;BC$3),CoSo3[],DoanhThuThang!BD$38,0),"")</f>
        <v>0</v>
      </c>
      <c r="BE23" s="14">
        <f>IFERROR(VLOOKUP(IF(MOD(COLUMN(BE23),2)=0,$A23&amp;"-"&amp;BE$3,$A23&amp;"-"&amp;BD$3),CoSo3[],DoanhThuThang!BE$38,0),"")</f>
        <v>0</v>
      </c>
      <c r="BF23" s="11">
        <f t="shared" si="11"/>
        <v>0</v>
      </c>
      <c r="BG23" s="11">
        <f t="shared" si="11"/>
        <v>0</v>
      </c>
      <c r="BH23" s="14"/>
      <c r="BI23" s="14">
        <f>IFERROR(VLOOKUP(IF(MOD(COLUMN(BI23),2)=1,$A23&amp;"-"&amp;BI$3,$A23&amp;"-"&amp;BH$3),CoSo4[],DoanhThuThang!BI$38,0),"")</f>
        <v>209</v>
      </c>
      <c r="BJ23" s="14">
        <f>IFERROR(VLOOKUP(IF(MOD(COLUMN(BJ23),2)=1,$A23&amp;"-"&amp;BJ$3,$A23&amp;"-"&amp;BI$3),CoSo4[],DoanhThuThang!BJ$38,0),"")</f>
        <v>3</v>
      </c>
      <c r="BK23" s="14">
        <f>IFERROR(VLOOKUP(IF(MOD(COLUMN(BK23),2)=1,$A23&amp;"-"&amp;BK$3,$A23&amp;"-"&amp;BJ$3),CoSo4[],DoanhThuThang!BK$38,0),"")</f>
        <v>209</v>
      </c>
      <c r="BL23" s="14">
        <f>IFERROR(VLOOKUP(IF(MOD(COLUMN(BL23),2)=1,$A23&amp;"-"&amp;BL$3,$A23&amp;"-"&amp;BK$3),CoSo4[],DoanhThuThang!BL$38,0),"")</f>
        <v>3</v>
      </c>
      <c r="BM23" s="11">
        <f t="shared" si="6"/>
        <v>418</v>
      </c>
      <c r="BN23" s="11">
        <f t="shared" si="7"/>
        <v>6</v>
      </c>
      <c r="BO23" s="14"/>
      <c r="BP23" s="14">
        <f>IFERROR(VLOOKUP(IF(MOD(COLUMN(BP23),2)=0,$A23&amp;"-"&amp;BP$3,$A23&amp;"-"&amp;BO$3),CoSo4[],DoanhThuThang!BP$38,0),"")</f>
        <v>0</v>
      </c>
      <c r="BQ23" s="14">
        <f>IFERROR(VLOOKUP(IF(MOD(COLUMN(BQ23),2)=0,$A23&amp;"-"&amp;BQ$3,$A23&amp;"-"&amp;BP$3),CoSo4[],DoanhThuThang!BQ$38,0),"")</f>
        <v>0</v>
      </c>
      <c r="BR23" s="14">
        <f>IFERROR(VLOOKUP(IF(MOD(COLUMN(BR23),2)=0,$A23&amp;"-"&amp;BR$3,$A23&amp;"-"&amp;BQ$3),CoSo4[],DoanhThuThang!BR$38,0),"")</f>
        <v>0</v>
      </c>
      <c r="BS23" s="14">
        <f>IFERROR(VLOOKUP(IF(MOD(COLUMN(BS23),2)=0,$A23&amp;"-"&amp;BS$3,$A23&amp;"-"&amp;BR$3),CoSo4[],DoanhThuThang!BS$38,0),"")</f>
        <v>0</v>
      </c>
      <c r="BT23" s="11">
        <f t="shared" si="12"/>
        <v>0</v>
      </c>
      <c r="BU23" s="11">
        <f t="shared" si="12"/>
        <v>0</v>
      </c>
      <c r="BV23" s="14"/>
      <c r="BW23" s="14">
        <f>IFERROR(VLOOKUP(IF(MOD(COLUMN(BW23),2)=1,$A23&amp;"-"&amp;BW$3,$A23&amp;"-"&amp;P$3),CoSo1[],BW$38,0),"")</f>
        <v>103</v>
      </c>
      <c r="BX23" s="14">
        <f>IFERROR(VLOOKUP(IF(MOD(COLUMN(BX23),2)=1,$A23&amp;"-"&amp;BX$3,$A23&amp;"-"&amp;BW$3),CoSo1[],BX$38,0),"")</f>
        <v>2</v>
      </c>
      <c r="BY23" s="14">
        <f>IFERROR(VLOOKUP(IF(MOD(COLUMN(BY23),2)=1,$A23&amp;"-"&amp;BY$3,$A23&amp;"-"&amp;BX$3),CoSo1[],BY$38,0),"")</f>
        <v>63</v>
      </c>
      <c r="BZ23" s="14">
        <f>IFERROR(VLOOKUP(IF(MOD(COLUMN(BZ23),2)=1,$A23&amp;"-"&amp;BZ$3,$A23&amp;"-"&amp;BY$3),CoSo1[],BZ$38,0),"")</f>
        <v>1</v>
      </c>
      <c r="CA23" s="14">
        <f>IFERROR(VLOOKUP(IF(MOD(COLUMN(CA23),2)=1,$A23&amp;"-"&amp;CA$3,$A23&amp;"-"&amp;BZ$3),CoSo1[],CA$38,0),"")</f>
        <v>0</v>
      </c>
      <c r="CB23" s="14">
        <f>IFERROR(VLOOKUP(IF(MOD(COLUMN(CB23),2)=1,$A23&amp;"-"&amp;CB$3,$A23&amp;"-"&amp;CA$3),CoSo1[],CB$38,0),"")</f>
        <v>0</v>
      </c>
      <c r="CC23" s="14">
        <f>IFERROR(VLOOKUP(IF(MOD(COLUMN(CC23),2)=1,$A23&amp;"-"&amp;CC$3,$A23&amp;"-"&amp;CB$3),CoSo1[],CC$38,0),"")</f>
        <v>0</v>
      </c>
      <c r="CD23" s="14">
        <f>IFERROR(VLOOKUP(IF(MOD(COLUMN(CD23),2)=1,$A23&amp;"-"&amp;CD$3,$A23&amp;"-"&amp;CC$3),CoSo1[],CD$38,0),"")</f>
        <v>0</v>
      </c>
      <c r="CE23" s="14">
        <f>IFERROR(VLOOKUP(IF(MOD(COLUMN(CE23),2)=1,$A23&amp;"-"&amp;CE$3,$A23&amp;"-"&amp;CD$3),CoSo1[],CE$38,0),"")</f>
        <v>0</v>
      </c>
      <c r="CF23" s="14">
        <f>IFERROR(VLOOKUP(IF(MOD(COLUMN(CF23),2)=1,$A23&amp;"-"&amp;CF$3,$A23&amp;"-"&amp;CE$3),CoSo1[],CF$38,0),"")</f>
        <v>0</v>
      </c>
      <c r="CG23" s="14">
        <f>IFERROR(VLOOKUP(IF(MOD(COLUMN(CG23),2)=1,$A23&amp;"-"&amp;CG$3,$A23&amp;"-"&amp;CF$3),CoSo1[],CG$38,0),"")</f>
        <v>0</v>
      </c>
      <c r="CH23" s="14">
        <f>IFERROR(VLOOKUP(IF(MOD(COLUMN(CH23),2)=1,$A23&amp;"-"&amp;CH$3,$A23&amp;"-"&amp;CG$3),CoSo1[],CH$38,0),"")</f>
        <v>0</v>
      </c>
      <c r="CI23" s="11">
        <f t="shared" si="9"/>
        <v>166</v>
      </c>
      <c r="CJ23" s="11">
        <f t="shared" si="9"/>
        <v>3</v>
      </c>
      <c r="CK23" s="14"/>
    </row>
    <row r="24" spans="1:89" x14ac:dyDescent="0.25">
      <c r="A24" s="13">
        <v>19</v>
      </c>
      <c r="B24" s="14">
        <f>IFERROR(VLOOKUP(IF(MOD(COLUMN(B24),2)=0,$A24&amp;"-"&amp;B$3,$A24&amp;"-"&amp;A$3),CoSo1[],B$38,0),"")</f>
        <v>614</v>
      </c>
      <c r="C24" s="14">
        <f>IFERROR(VLOOKUP(IF(MOD(COLUMN(C24),2)=0,$A24&amp;"-"&amp;C$3,$A24&amp;"-"&amp;B$3),CoSo1[],C$38,0),"")</f>
        <v>6</v>
      </c>
      <c r="D24" s="14">
        <f>IFERROR(VLOOKUP(IF(MOD(COLUMN(D24),2)=0,$A24&amp;"-"&amp;D$3,$A24&amp;"-"&amp;C$3),CoSo1[],D$38,0),"")</f>
        <v>1576</v>
      </c>
      <c r="E24" s="14">
        <f>IFERROR(VLOOKUP(IF(MOD(COLUMN(E24),2)=0,$A24&amp;"-"&amp;E$3,$A24&amp;"-"&amp;D$3),CoSo1[],E$38,0),"")</f>
        <v>16</v>
      </c>
      <c r="F24" s="14">
        <f>IFERROR(VLOOKUP(IF(MOD(COLUMN(F24),2)=0,$A24&amp;"-"&amp;F$3,$A24&amp;"-"&amp;E$3),CoSo1[],F$38,0),"")</f>
        <v>0</v>
      </c>
      <c r="G24" s="14">
        <f>IFERROR(VLOOKUP(IF(MOD(COLUMN(G24),2)=0,$A24&amp;"-"&amp;G$3,$A24&amp;"-"&amp;F$3),CoSo1[],G$38,0),"")</f>
        <v>0</v>
      </c>
      <c r="H24" s="14">
        <f>IFERROR(VLOOKUP(IF(MOD(COLUMN(H24),2)=0,$A24&amp;"-"&amp;H$3,$A24&amp;"-"&amp;G$3),CoSo1[],H$38,0),"")</f>
        <v>136</v>
      </c>
      <c r="I24" s="14">
        <f>IFERROR(VLOOKUP(IF(MOD(COLUMN(I24),2)=0,$A24&amp;"-"&amp;I$3,$A24&amp;"-"&amp;H$3),CoSo1[],I$38,0),"")</f>
        <v>2</v>
      </c>
      <c r="J24" s="14">
        <f>IFERROR(VLOOKUP(IF(MOD(COLUMN(J24),2)=0,$A24&amp;"-"&amp;J$3,$A24&amp;"-"&amp;I$3),CoSo1[],J$38,0),"")</f>
        <v>0</v>
      </c>
      <c r="K24" s="14">
        <f>IFERROR(VLOOKUP(IF(MOD(COLUMN(K24),2)=0,$A24&amp;"-"&amp;K$3,$A24&amp;"-"&amp;J$3),CoSo1[],K$38,0),"")</f>
        <v>0</v>
      </c>
      <c r="L24" s="14">
        <f>IFERROR(VLOOKUP(IF(MOD(COLUMN(L24),2)=0,$A24&amp;"-"&amp;L$3,$A24&amp;"-"&amp;K$3),CoSo1[],L$38,0),"")</f>
        <v>110</v>
      </c>
      <c r="M24" s="14">
        <f>IFERROR(VLOOKUP(IF(MOD(COLUMN(M24),2)=0,$A24&amp;"-"&amp;M$3,$A24&amp;"-"&amp;L$3),CoSo1[],M$38,0),"")</f>
        <v>1</v>
      </c>
      <c r="N24" s="11">
        <f t="shared" si="13"/>
        <v>2436</v>
      </c>
      <c r="O24" s="11">
        <f t="shared" si="14"/>
        <v>25</v>
      </c>
      <c r="P24" s="14">
        <f>SUM(N11:N24)</f>
        <v>24159</v>
      </c>
      <c r="Q24" s="14">
        <f>IFERROR(VLOOKUP(IF(MOD(COLUMN(Q24),2)=1,$A24&amp;"-"&amp;Q$3,$A24&amp;"-"&amp;AT$3),CoSo3[],DoanhThuThang!AU$38,0),"")</f>
        <v>251</v>
      </c>
      <c r="R24" s="14">
        <f>IFERROR(VLOOKUP(IF(MOD(COLUMN(R24),2)=1,$A24&amp;"-"&amp;R$3,$A24&amp;"-"&amp;Q$3),CoSo3[],DoanhThuThang!AV$38,0),"")</f>
        <v>4</v>
      </c>
      <c r="S24" s="14">
        <f>IFERROR(VLOOKUP(IF(MOD(COLUMN(S24),2)=1,$A24&amp;"-"&amp;S$3,$A24&amp;"-"&amp;R$3),CoSo3[],DoanhThuThang!AW$38,0),"")</f>
        <v>702</v>
      </c>
      <c r="T24" s="14">
        <f>IFERROR(VLOOKUP(IF(MOD(COLUMN(T24),2)=1,$A24&amp;"-"&amp;T$3,$A24&amp;"-"&amp;S$3),CoSo3[],DoanhThuThang!AX$38,0),"")</f>
        <v>5</v>
      </c>
      <c r="U24" s="11">
        <f t="shared" si="10"/>
        <v>953</v>
      </c>
      <c r="V24" s="11">
        <f t="shared" si="10"/>
        <v>9</v>
      </c>
      <c r="W24" s="14"/>
      <c r="X24" s="14">
        <f>IFERROR(VLOOKUP(IF(MOD(COLUMN(BI24),2)=1,$A24&amp;"-"&amp;BI$3,$A24&amp;"-"&amp;BH$3),CoSo4[],DoanhThuThang!BI$38,0),"")</f>
        <v>98</v>
      </c>
      <c r="Y24" s="14">
        <f>IFERROR(VLOOKUP(IF(MOD(COLUMN(BJ24),2)=1,$A24&amp;"-"&amp;BJ$3,$A24&amp;"-"&amp;BI$3),CoSo4[],DoanhThuThang!BJ$38,0),"")</f>
        <v>3</v>
      </c>
      <c r="Z24" s="14" t="str">
        <f>IFERROR(VLOOKUP(IF(MOD(COLUMN(BK24),2)=1,$A24&amp;"-"&amp;BK$3,$A24&amp;"-"&amp;BJ$3),CoSo4[],DoanhThuThang!BK$38,0),"")</f>
        <v/>
      </c>
      <c r="AA24" s="14" t="str">
        <f>IFERROR(VLOOKUP(IF(MOD(COLUMN(BL24),2)=1,$A24&amp;"-"&amp;BL$3,$A24&amp;"-"&amp;BK$3),CoSo4[],DoanhThuThang!BL$38,0),"")</f>
        <v/>
      </c>
      <c r="AB24" s="11">
        <f t="shared" si="1"/>
        <v>98</v>
      </c>
      <c r="AC24" s="11">
        <f t="shared" si="2"/>
        <v>3</v>
      </c>
      <c r="AD24" s="14"/>
      <c r="AF24" s="14">
        <f>IFERROR(VLOOKUP(IF(MOD(COLUMN(AF24),2)=0,$A24&amp;"-"&amp;AF$3,$A24&amp;"-"&amp;CK$3),CoSo1[],AF$38,0),"")</f>
        <v>0</v>
      </c>
      <c r="AG24" s="14">
        <f>IFERROR(VLOOKUP(IF(MOD(COLUMN(AG24),2)=0,$A24&amp;"-"&amp;AG$3,$A24&amp;"-"&amp;AF$3),CoSo1[],AG$38,0),"")</f>
        <v>0</v>
      </c>
      <c r="AH24" s="14">
        <f>IFERROR(VLOOKUP(IF(MOD(COLUMN(AH24),2)=0,$A24&amp;"-"&amp;AH$3,$A24&amp;"-"&amp;AG$3),CoSo1[],AH$38,0),"")</f>
        <v>0</v>
      </c>
      <c r="AI24" s="14">
        <f>IFERROR(VLOOKUP(IF(MOD(COLUMN(AI24),2)=0,$A24&amp;"-"&amp;AI$3,$A24&amp;"-"&amp;AH$3),CoSo1[],AI$38,0),"")</f>
        <v>0</v>
      </c>
      <c r="AJ24" s="14">
        <f>IFERROR(VLOOKUP(IF(MOD(COLUMN(AJ24),2)=0,$A24&amp;"-"&amp;AJ$3,$A24&amp;"-"&amp;AI$3),CoSo1[],AJ$38,0),"")</f>
        <v>0</v>
      </c>
      <c r="AK24" s="14">
        <f>IFERROR(VLOOKUP(IF(MOD(COLUMN(AK24),2)=0,$A24&amp;"-"&amp;AK$3,$A24&amp;"-"&amp;AJ$3),CoSo1[],AK$38,0),"")</f>
        <v>0</v>
      </c>
      <c r="AL24" s="14">
        <f>IFERROR(VLOOKUP(IF(MOD(COLUMN(AL24),2)=0,$A24&amp;"-"&amp;AL$3,$A24&amp;"-"&amp;AK$3),CoSo1[],AL$38,0),"")</f>
        <v>0</v>
      </c>
      <c r="AM24" s="14">
        <f>IFERROR(VLOOKUP(IF(MOD(COLUMN(AM24),2)=0,$A24&amp;"-"&amp;AM$3,$A24&amp;"-"&amp;AL$3),CoSo1[],AM$38,0),"")</f>
        <v>0</v>
      </c>
      <c r="AN24" s="14">
        <f>IFERROR(VLOOKUP(IF(MOD(COLUMN(AN24),2)=0,$A24&amp;"-"&amp;AN$3,$A24&amp;"-"&amp;AM$3),CoSo1[],AN$38,0),"")</f>
        <v>0</v>
      </c>
      <c r="AO24" s="14">
        <f>IFERROR(VLOOKUP(IF(MOD(COLUMN(AO24),2)=0,$A24&amp;"-"&amp;AO$3,$A24&amp;"-"&amp;AN$3),CoSo1[],AO$38,0),"")</f>
        <v>0</v>
      </c>
      <c r="AP24" s="14">
        <f>IFERROR(VLOOKUP(IF(MOD(COLUMN(AP24),2)=0,$A24&amp;"-"&amp;AP$3,$A24&amp;"-"&amp;AO$3),CoSo1[],AP$38,0),"")</f>
        <v>0</v>
      </c>
      <c r="AQ24" s="14">
        <f>IFERROR(VLOOKUP(IF(MOD(COLUMN(AQ24),2)=0,$A24&amp;"-"&amp;AQ$3,$A24&amp;"-"&amp;AP$3),CoSo1[],AQ$38,0),"")</f>
        <v>0</v>
      </c>
      <c r="AR24" s="11">
        <f t="shared" si="4"/>
        <v>0</v>
      </c>
      <c r="AS24" s="11">
        <f t="shared" si="4"/>
        <v>0</v>
      </c>
      <c r="AT24" s="14"/>
      <c r="BB24" s="14">
        <f>IFERROR(VLOOKUP(IF(MOD(COLUMN(BB24),2)=0,$A24&amp;"-"&amp;BB$3,$A24&amp;"-"&amp;W$3),CoSo3[],DoanhThuThang!BB$38,0),"")</f>
        <v>0</v>
      </c>
      <c r="BC24" s="14">
        <f>IFERROR(VLOOKUP(IF(MOD(COLUMN(BC24),2)=0,$A24&amp;"-"&amp;BC$3,$A24&amp;"-"&amp;BB$3),CoSo3[],DoanhThuThang!BC$38,0),"")</f>
        <v>0</v>
      </c>
      <c r="BD24" s="14">
        <f>IFERROR(VLOOKUP(IF(MOD(COLUMN(BD24),2)=0,$A24&amp;"-"&amp;BD$3,$A24&amp;"-"&amp;BC$3),CoSo3[],DoanhThuThang!BD$38,0),"")</f>
        <v>0</v>
      </c>
      <c r="BE24" s="14">
        <f>IFERROR(VLOOKUP(IF(MOD(COLUMN(BE24),2)=0,$A24&amp;"-"&amp;BE$3,$A24&amp;"-"&amp;BD$3),CoSo3[],DoanhThuThang!BE$38,0),"")</f>
        <v>0</v>
      </c>
      <c r="BF24" s="11">
        <f t="shared" si="11"/>
        <v>0</v>
      </c>
      <c r="BG24" s="11">
        <f t="shared" si="11"/>
        <v>0</v>
      </c>
      <c r="BH24" s="14"/>
      <c r="BI24" s="14">
        <f>IFERROR(VLOOKUP(IF(MOD(COLUMN(BI24),2)=1,$A24&amp;"-"&amp;BI$3,$A24&amp;"-"&amp;BH$3),CoSo4[],DoanhThuThang!BI$38,0),"")</f>
        <v>98</v>
      </c>
      <c r="BJ24" s="14">
        <f>IFERROR(VLOOKUP(IF(MOD(COLUMN(BJ24),2)=1,$A24&amp;"-"&amp;BJ$3,$A24&amp;"-"&amp;BI$3),CoSo4[],DoanhThuThang!BJ$38,0),"")</f>
        <v>3</v>
      </c>
      <c r="BK24" s="14" t="str">
        <f>IFERROR(VLOOKUP(IF(MOD(COLUMN(BK24),2)=1,$A24&amp;"-"&amp;BK$3,$A24&amp;"-"&amp;BJ$3),CoSo4[],DoanhThuThang!BK$38,0),"")</f>
        <v/>
      </c>
      <c r="BL24" s="14" t="str">
        <f>IFERROR(VLOOKUP(IF(MOD(COLUMN(BL24),2)=1,$A24&amp;"-"&amp;BL$3,$A24&amp;"-"&amp;BK$3),CoSo4[],DoanhThuThang!BL$38,0),"")</f>
        <v/>
      </c>
      <c r="BM24" s="11">
        <f t="shared" si="6"/>
        <v>98</v>
      </c>
      <c r="BN24" s="11">
        <f t="shared" si="7"/>
        <v>3</v>
      </c>
      <c r="BO24" s="14"/>
      <c r="BP24" s="14">
        <f>IFERROR(VLOOKUP(IF(MOD(COLUMN(BP24),2)=0,$A24&amp;"-"&amp;BP$3,$A24&amp;"-"&amp;BO$3),CoSo4[],DoanhThuThang!BP$38,0),"")</f>
        <v>0</v>
      </c>
      <c r="BQ24" s="14">
        <f>IFERROR(VLOOKUP(IF(MOD(COLUMN(BQ24),2)=0,$A24&amp;"-"&amp;BQ$3,$A24&amp;"-"&amp;BP$3),CoSo4[],DoanhThuThang!BQ$38,0),"")</f>
        <v>0</v>
      </c>
      <c r="BR24" s="14" t="str">
        <f>IFERROR(VLOOKUP(IF(MOD(COLUMN(BR24),2)=0,$A24&amp;"-"&amp;BR$3,$A24&amp;"-"&amp;BQ$3),CoSo4[],DoanhThuThang!BR$38,0),"")</f>
        <v/>
      </c>
      <c r="BS24" s="14" t="str">
        <f>IFERROR(VLOOKUP(IF(MOD(COLUMN(BS24),2)=0,$A24&amp;"-"&amp;BS$3,$A24&amp;"-"&amp;BR$3),CoSo4[],DoanhThuThang!BS$38,0),"")</f>
        <v/>
      </c>
      <c r="BT24" s="11">
        <f t="shared" si="12"/>
        <v>0</v>
      </c>
      <c r="BU24" s="11">
        <f t="shared" si="12"/>
        <v>0</v>
      </c>
      <c r="BV24" s="14"/>
      <c r="BW24" s="14">
        <f>IFERROR(VLOOKUP(IF(MOD(COLUMN(BW24),2)=1,$A24&amp;"-"&amp;BW$3,$A24&amp;"-"&amp;P$3),CoSo1[],BW$38,0),"")</f>
        <v>0</v>
      </c>
      <c r="BX24" s="14">
        <f>IFERROR(VLOOKUP(IF(MOD(COLUMN(BX24),2)=1,$A24&amp;"-"&amp;BX$3,$A24&amp;"-"&amp;BW$3),CoSo1[],BX$38,0),"")</f>
        <v>0</v>
      </c>
      <c r="BY24" s="14">
        <f>IFERROR(VLOOKUP(IF(MOD(COLUMN(BY24),2)=1,$A24&amp;"-"&amp;BY$3,$A24&amp;"-"&amp;BX$3),CoSo1[],BY$38,0),"")</f>
        <v>0</v>
      </c>
      <c r="BZ24" s="14">
        <f>IFERROR(VLOOKUP(IF(MOD(COLUMN(BZ24),2)=1,$A24&amp;"-"&amp;BZ$3,$A24&amp;"-"&amp;BY$3),CoSo1[],BZ$38,0),"")</f>
        <v>0</v>
      </c>
      <c r="CA24" s="14">
        <f>IFERROR(VLOOKUP(IF(MOD(COLUMN(CA24),2)=1,$A24&amp;"-"&amp;CA$3,$A24&amp;"-"&amp;BZ$3),CoSo1[],CA$38,0),"")</f>
        <v>0</v>
      </c>
      <c r="CB24" s="14">
        <f>IFERROR(VLOOKUP(IF(MOD(COLUMN(CB24),2)=1,$A24&amp;"-"&amp;CB$3,$A24&amp;"-"&amp;CA$3),CoSo1[],CB$38,0),"")</f>
        <v>0</v>
      </c>
      <c r="CC24" s="14">
        <f>IFERROR(VLOOKUP(IF(MOD(COLUMN(CC24),2)=1,$A24&amp;"-"&amp;CC$3,$A24&amp;"-"&amp;CB$3),CoSo1[],CC$38,0),"")</f>
        <v>0</v>
      </c>
      <c r="CD24" s="14">
        <f>IFERROR(VLOOKUP(IF(MOD(COLUMN(CD24),2)=1,$A24&amp;"-"&amp;CD$3,$A24&amp;"-"&amp;CC$3),CoSo1[],CD$38,0),"")</f>
        <v>0</v>
      </c>
      <c r="CE24" s="14">
        <f>IFERROR(VLOOKUP(IF(MOD(COLUMN(CE24),2)=1,$A24&amp;"-"&amp;CE$3,$A24&amp;"-"&amp;CD$3),CoSo1[],CE$38,0),"")</f>
        <v>0</v>
      </c>
      <c r="CF24" s="14">
        <f>IFERROR(VLOOKUP(IF(MOD(COLUMN(CF24),2)=1,$A24&amp;"-"&amp;CF$3,$A24&amp;"-"&amp;CE$3),CoSo1[],CF$38,0),"")</f>
        <v>0</v>
      </c>
      <c r="CG24" s="14">
        <f>IFERROR(VLOOKUP(IF(MOD(COLUMN(CG24),2)=1,$A24&amp;"-"&amp;CG$3,$A24&amp;"-"&amp;CF$3),CoSo1[],CG$38,0),"")</f>
        <v>0</v>
      </c>
      <c r="CH24" s="14">
        <f>IFERROR(VLOOKUP(IF(MOD(COLUMN(CH24),2)=1,$A24&amp;"-"&amp;CH$3,$A24&amp;"-"&amp;CG$3),CoSo1[],CH$38,0),"")</f>
        <v>0</v>
      </c>
      <c r="CI24" s="11">
        <f t="shared" si="9"/>
        <v>0</v>
      </c>
      <c r="CJ24" s="11">
        <f t="shared" si="9"/>
        <v>0</v>
      </c>
      <c r="CK24" s="14">
        <f>SUM(CI11:CI24)</f>
        <v>1221</v>
      </c>
    </row>
    <row r="25" spans="1:89" x14ac:dyDescent="0.25">
      <c r="A25" s="13">
        <v>20</v>
      </c>
      <c r="B25" s="14">
        <f>IFERROR(VLOOKUP(IF(MOD(COLUMN(B25),2)=0,$A25&amp;"-"&amp;B$3,$A25&amp;"-"&amp;A$3),CoSo1[],B$38,0),"")</f>
        <v>516</v>
      </c>
      <c r="C25" s="14">
        <f>IFERROR(VLOOKUP(IF(MOD(COLUMN(C25),2)=0,$A25&amp;"-"&amp;C$3,$A25&amp;"-"&amp;B$3),CoSo1[],C$38,0),"")</f>
        <v>6</v>
      </c>
      <c r="D25" s="14">
        <f>IFERROR(VLOOKUP(IF(MOD(COLUMN(D25),2)=0,$A25&amp;"-"&amp;D$3,$A25&amp;"-"&amp;C$3),CoSo1[],D$38,0),"")</f>
        <v>980</v>
      </c>
      <c r="E25" s="14">
        <f>IFERROR(VLOOKUP(IF(MOD(COLUMN(E25),2)=0,$A25&amp;"-"&amp;E$3,$A25&amp;"-"&amp;D$3),CoSo1[],E$38,0),"")</f>
        <v>16</v>
      </c>
      <c r="F25" s="14">
        <f>IFERROR(VLOOKUP(IF(MOD(COLUMN(F25),2)=0,$A25&amp;"-"&amp;F$3,$A25&amp;"-"&amp;E$3),CoSo1[],F$38,0),"")</f>
        <v>0</v>
      </c>
      <c r="G25" s="14">
        <f>IFERROR(VLOOKUP(IF(MOD(COLUMN(G25),2)=0,$A25&amp;"-"&amp;G$3,$A25&amp;"-"&amp;F$3),CoSo1[],G$38,0),"")</f>
        <v>0</v>
      </c>
      <c r="H25" s="14">
        <f>IFERROR(VLOOKUP(IF(MOD(COLUMN(H25),2)=0,$A25&amp;"-"&amp;H$3,$A25&amp;"-"&amp;G$3),CoSo1[],H$38,0),"")</f>
        <v>202</v>
      </c>
      <c r="I25" s="14">
        <f>IFERROR(VLOOKUP(IF(MOD(COLUMN(I25),2)=0,$A25&amp;"-"&amp;I$3,$A25&amp;"-"&amp;H$3),CoSo1[],I$38,0),"")</f>
        <v>3</v>
      </c>
      <c r="J25" s="14">
        <f>IFERROR(VLOOKUP(IF(MOD(COLUMN(J25),2)=0,$A25&amp;"-"&amp;J$3,$A25&amp;"-"&amp;I$3),CoSo1[],J$38,0),"")</f>
        <v>0</v>
      </c>
      <c r="K25" s="14">
        <f>IFERROR(VLOOKUP(IF(MOD(COLUMN(K25),2)=0,$A25&amp;"-"&amp;K$3,$A25&amp;"-"&amp;J$3),CoSo1[],K$38,0),"")</f>
        <v>0</v>
      </c>
      <c r="L25" s="14">
        <f>IFERROR(VLOOKUP(IF(MOD(COLUMN(L25),2)=0,$A25&amp;"-"&amp;L$3,$A25&amp;"-"&amp;K$3),CoSo1[],L$38,0),"")</f>
        <v>259</v>
      </c>
      <c r="M25" s="14">
        <f>IFERROR(VLOOKUP(IF(MOD(COLUMN(M25),2)=0,$A25&amp;"-"&amp;M$3,$A25&amp;"-"&amp;L$3),CoSo1[],M$38,0),"")</f>
        <v>2</v>
      </c>
      <c r="N25" s="11">
        <f t="shared" si="13"/>
        <v>1957</v>
      </c>
      <c r="O25" s="11">
        <f t="shared" si="14"/>
        <v>27</v>
      </c>
      <c r="P25" s="14"/>
      <c r="Q25" s="14">
        <f>IFERROR(VLOOKUP(IF(MOD(COLUMN(Q25),2)=1,$A25&amp;"-"&amp;Q$3,$A25&amp;"-"&amp;AT$3),CoSo3[],DoanhThuThang!AU$38,0),"")</f>
        <v>19</v>
      </c>
      <c r="R25" s="14">
        <f>IFERROR(VLOOKUP(IF(MOD(COLUMN(R25),2)=1,$A25&amp;"-"&amp;R$3,$A25&amp;"-"&amp;Q$3),CoSo3[],DoanhThuThang!AV$38,0),"")</f>
        <v>1</v>
      </c>
      <c r="S25" s="14">
        <f>IFERROR(VLOOKUP(IF(MOD(COLUMN(S25),2)=1,$A25&amp;"-"&amp;S$3,$A25&amp;"-"&amp;R$3),CoSo3[],DoanhThuThang!AW$38,0),"")</f>
        <v>475</v>
      </c>
      <c r="T25" s="14">
        <f>IFERROR(VLOOKUP(IF(MOD(COLUMN(T25),2)=1,$A25&amp;"-"&amp;T$3,$A25&amp;"-"&amp;S$3),CoSo3[],DoanhThuThang!AX$38,0),"")</f>
        <v>6</v>
      </c>
      <c r="U25" s="11">
        <f t="shared" si="10"/>
        <v>494</v>
      </c>
      <c r="V25" s="11">
        <f t="shared" si="10"/>
        <v>7</v>
      </c>
      <c r="W25" s="14"/>
      <c r="X25" s="14" t="str">
        <f>IFERROR(VLOOKUP(IF(MOD(COLUMN(BI25),2)=1,$A25&amp;"-"&amp;BI$3,$A25&amp;"-"&amp;BH$3),CoSo4[],DoanhThuThang!BI$38,0),"")</f>
        <v/>
      </c>
      <c r="Y25" s="14" t="str">
        <f>IFERROR(VLOOKUP(IF(MOD(COLUMN(BJ25),2)=1,$A25&amp;"-"&amp;BJ$3,$A25&amp;"-"&amp;BI$3),CoSo4[],DoanhThuThang!BJ$38,0),"")</f>
        <v/>
      </c>
      <c r="Z25" s="14" t="str">
        <f>IFERROR(VLOOKUP(IF(MOD(COLUMN(BK25),2)=1,$A25&amp;"-"&amp;BK$3,$A25&amp;"-"&amp;BJ$3),CoSo4[],DoanhThuThang!BK$38,0),"")</f>
        <v/>
      </c>
      <c r="AA25" s="14" t="str">
        <f>IFERROR(VLOOKUP(IF(MOD(COLUMN(BL25),2)=1,$A25&amp;"-"&amp;BL$3,$A25&amp;"-"&amp;BK$3),CoSo4[],DoanhThuThang!BL$38,0),"")</f>
        <v/>
      </c>
      <c r="AB25" s="11">
        <f t="shared" si="1"/>
        <v>0</v>
      </c>
      <c r="AC25" s="11">
        <f t="shared" si="2"/>
        <v>0</v>
      </c>
      <c r="AD25" s="14"/>
      <c r="AF25" s="14">
        <f>IFERROR(VLOOKUP(IF(MOD(COLUMN(AF25),2)=0,$A25&amp;"-"&amp;AF$3,$A25&amp;"-"&amp;CK$3),CoSo1[],AF$38,0),"")</f>
        <v>0</v>
      </c>
      <c r="AG25" s="14">
        <f>IFERROR(VLOOKUP(IF(MOD(COLUMN(AG25),2)=0,$A25&amp;"-"&amp;AG$3,$A25&amp;"-"&amp;AF$3),CoSo1[],AG$38,0),"")</f>
        <v>0</v>
      </c>
      <c r="AH25" s="14">
        <f>IFERROR(VLOOKUP(IF(MOD(COLUMN(AH25),2)=0,$A25&amp;"-"&amp;AH$3,$A25&amp;"-"&amp;AG$3),CoSo1[],AH$38,0),"")</f>
        <v>160</v>
      </c>
      <c r="AI25" s="14">
        <f>IFERROR(VLOOKUP(IF(MOD(COLUMN(AI25),2)=0,$A25&amp;"-"&amp;AI$3,$A25&amp;"-"&amp;AH$3),CoSo1[],AI$38,0),"")</f>
        <v>2</v>
      </c>
      <c r="AJ25" s="14">
        <f>IFERROR(VLOOKUP(IF(MOD(COLUMN(AJ25),2)=0,$A25&amp;"-"&amp;AJ$3,$A25&amp;"-"&amp;AI$3),CoSo1[],AJ$38,0),"")</f>
        <v>0</v>
      </c>
      <c r="AK25" s="14">
        <f>IFERROR(VLOOKUP(IF(MOD(COLUMN(AK25),2)=0,$A25&amp;"-"&amp;AK$3,$A25&amp;"-"&amp;AJ$3),CoSo1[],AK$38,0),"")</f>
        <v>0</v>
      </c>
      <c r="AL25" s="14">
        <f>IFERROR(VLOOKUP(IF(MOD(COLUMN(AL25),2)=0,$A25&amp;"-"&amp;AL$3,$A25&amp;"-"&amp;AK$3),CoSo1[],AL$38,0),"")</f>
        <v>0</v>
      </c>
      <c r="AM25" s="14">
        <f>IFERROR(VLOOKUP(IF(MOD(COLUMN(AM25),2)=0,$A25&amp;"-"&amp;AM$3,$A25&amp;"-"&amp;AL$3),CoSo1[],AM$38,0),"")</f>
        <v>0</v>
      </c>
      <c r="AN25" s="14">
        <f>IFERROR(VLOOKUP(IF(MOD(COLUMN(AN25),2)=0,$A25&amp;"-"&amp;AN$3,$A25&amp;"-"&amp;AM$3),CoSo1[],AN$38,0),"")</f>
        <v>0</v>
      </c>
      <c r="AO25" s="14">
        <f>IFERROR(VLOOKUP(IF(MOD(COLUMN(AO25),2)=0,$A25&amp;"-"&amp;AO$3,$A25&amp;"-"&amp;AN$3),CoSo1[],AO$38,0),"")</f>
        <v>0</v>
      </c>
      <c r="AP25" s="14">
        <f>IFERROR(VLOOKUP(IF(MOD(COLUMN(AP25),2)=0,$A25&amp;"-"&amp;AP$3,$A25&amp;"-"&amp;AO$3),CoSo1[],AP$38,0),"")</f>
        <v>0</v>
      </c>
      <c r="AQ25" s="14">
        <f>IFERROR(VLOOKUP(IF(MOD(COLUMN(AQ25),2)=0,$A25&amp;"-"&amp;AQ$3,$A25&amp;"-"&amp;AP$3),CoSo1[],AQ$38,0),"")</f>
        <v>0</v>
      </c>
      <c r="AR25" s="11">
        <f t="shared" si="4"/>
        <v>160</v>
      </c>
      <c r="AS25" s="11">
        <f t="shared" si="4"/>
        <v>2</v>
      </c>
      <c r="AT25" s="14"/>
      <c r="BB25" s="14">
        <f>IFERROR(VLOOKUP(IF(MOD(COLUMN(BB25),2)=0,$A25&amp;"-"&amp;BB$3,$A25&amp;"-"&amp;W$3),CoSo3[],DoanhThuThang!BB$38,0),"")</f>
        <v>0</v>
      </c>
      <c r="BC25" s="14">
        <f>IFERROR(VLOOKUP(IF(MOD(COLUMN(BC25),2)=0,$A25&amp;"-"&amp;BC$3,$A25&amp;"-"&amp;BB$3),CoSo3[],DoanhThuThang!BC$38,0),"")</f>
        <v>0</v>
      </c>
      <c r="BD25" s="14">
        <f>IFERROR(VLOOKUP(IF(MOD(COLUMN(BD25),2)=0,$A25&amp;"-"&amp;BD$3,$A25&amp;"-"&amp;BC$3),CoSo3[],DoanhThuThang!BD$38,0),"")</f>
        <v>149</v>
      </c>
      <c r="BE25" s="14">
        <f>IFERROR(VLOOKUP(IF(MOD(COLUMN(BE25),2)=0,$A25&amp;"-"&amp;BE$3,$A25&amp;"-"&amp;BD$3),CoSo3[],DoanhThuThang!BE$38,0),"")</f>
        <v>1</v>
      </c>
      <c r="BF25" s="11">
        <f t="shared" si="11"/>
        <v>149</v>
      </c>
      <c r="BG25" s="11">
        <f t="shared" si="11"/>
        <v>1</v>
      </c>
      <c r="BH25" s="14"/>
      <c r="BI25" s="14" t="str">
        <f>IFERROR(VLOOKUP(IF(MOD(COLUMN(BI25),2)=1,$A25&amp;"-"&amp;BI$3,$A25&amp;"-"&amp;BH$3),CoSo4[],DoanhThuThang!BI$38,0),"")</f>
        <v/>
      </c>
      <c r="BJ25" s="14" t="str">
        <f>IFERROR(VLOOKUP(IF(MOD(COLUMN(BJ25),2)=1,$A25&amp;"-"&amp;BJ$3,$A25&amp;"-"&amp;BI$3),CoSo4[],DoanhThuThang!BJ$38,0),"")</f>
        <v/>
      </c>
      <c r="BK25" s="14" t="str">
        <f>IFERROR(VLOOKUP(IF(MOD(COLUMN(BK25),2)=1,$A25&amp;"-"&amp;BK$3,$A25&amp;"-"&amp;BJ$3),CoSo4[],DoanhThuThang!BK$38,0),"")</f>
        <v/>
      </c>
      <c r="BL25" s="14" t="str">
        <f>IFERROR(VLOOKUP(IF(MOD(COLUMN(BL25),2)=1,$A25&amp;"-"&amp;BL$3,$A25&amp;"-"&amp;BK$3),CoSo4[],DoanhThuThang!BL$38,0),"")</f>
        <v/>
      </c>
      <c r="BM25" s="11">
        <f t="shared" si="6"/>
        <v>0</v>
      </c>
      <c r="BN25" s="11">
        <f t="shared" si="7"/>
        <v>0</v>
      </c>
      <c r="BO25" s="14"/>
      <c r="BP25" s="14" t="str">
        <f>IFERROR(VLOOKUP(IF(MOD(COLUMN(BP25),2)=0,$A25&amp;"-"&amp;BP$3,$A25&amp;"-"&amp;BO$3),CoSo4[],DoanhThuThang!BP$38,0),"")</f>
        <v/>
      </c>
      <c r="BQ25" s="14" t="str">
        <f>IFERROR(VLOOKUP(IF(MOD(COLUMN(BQ25),2)=0,$A25&amp;"-"&amp;BQ$3,$A25&amp;"-"&amp;BP$3),CoSo4[],DoanhThuThang!BQ$38,0),"")</f>
        <v/>
      </c>
      <c r="BR25" s="14" t="str">
        <f>IFERROR(VLOOKUP(IF(MOD(COLUMN(BR25),2)=0,$A25&amp;"-"&amp;BR$3,$A25&amp;"-"&amp;BQ$3),CoSo4[],DoanhThuThang!BR$38,0),"")</f>
        <v/>
      </c>
      <c r="BS25" s="14" t="str">
        <f>IFERROR(VLOOKUP(IF(MOD(COLUMN(BS25),2)=0,$A25&amp;"-"&amp;BS$3,$A25&amp;"-"&amp;BR$3),CoSo4[],DoanhThuThang!BS$38,0),"")</f>
        <v/>
      </c>
      <c r="BT25" s="11">
        <f t="shared" si="12"/>
        <v>0</v>
      </c>
      <c r="BU25" s="11">
        <f t="shared" si="12"/>
        <v>0</v>
      </c>
      <c r="BV25" s="14"/>
      <c r="BW25" s="14">
        <f>IFERROR(VLOOKUP(IF(MOD(COLUMN(BW25),2)=1,$A25&amp;"-"&amp;BW$3,$A25&amp;"-"&amp;P$3),CoSo1[],BW$38,0),"")</f>
        <v>0</v>
      </c>
      <c r="BX25" s="14">
        <f>IFERROR(VLOOKUP(IF(MOD(COLUMN(BX25),2)=1,$A25&amp;"-"&amp;BX$3,$A25&amp;"-"&amp;BW$3),CoSo1[],BX$38,0),"")</f>
        <v>0</v>
      </c>
      <c r="BY25" s="14">
        <f>IFERROR(VLOOKUP(IF(MOD(COLUMN(BY25),2)=1,$A25&amp;"-"&amp;BY$3,$A25&amp;"-"&amp;BX$3),CoSo1[],BY$38,0),"")</f>
        <v>40</v>
      </c>
      <c r="BZ25" s="14">
        <f>IFERROR(VLOOKUP(IF(MOD(COLUMN(BZ25),2)=1,$A25&amp;"-"&amp;BZ$3,$A25&amp;"-"&amp;BY$3),CoSo1[],BZ$38,0),"")</f>
        <v>2</v>
      </c>
      <c r="CA25" s="14">
        <f>IFERROR(VLOOKUP(IF(MOD(COLUMN(CA25),2)=1,$A25&amp;"-"&amp;CA$3,$A25&amp;"-"&amp;BZ$3),CoSo1[],CA$38,0),"")</f>
        <v>0</v>
      </c>
      <c r="CB25" s="14">
        <f>IFERROR(VLOOKUP(IF(MOD(COLUMN(CB25),2)=1,$A25&amp;"-"&amp;CB$3,$A25&amp;"-"&amp;CA$3),CoSo1[],CB$38,0),"")</f>
        <v>0</v>
      </c>
      <c r="CC25" s="14">
        <f>IFERROR(VLOOKUP(IF(MOD(COLUMN(CC25),2)=1,$A25&amp;"-"&amp;CC$3,$A25&amp;"-"&amp;CB$3),CoSo1[],CC$38,0),"")</f>
        <v>0</v>
      </c>
      <c r="CD25" s="14">
        <f>IFERROR(VLOOKUP(IF(MOD(COLUMN(CD25),2)=1,$A25&amp;"-"&amp;CD$3,$A25&amp;"-"&amp;CC$3),CoSo1[],CD$38,0),"")</f>
        <v>0</v>
      </c>
      <c r="CE25" s="14">
        <f>IFERROR(VLOOKUP(IF(MOD(COLUMN(CE25),2)=1,$A25&amp;"-"&amp;CE$3,$A25&amp;"-"&amp;CD$3),CoSo1[],CE$38,0),"")</f>
        <v>0</v>
      </c>
      <c r="CF25" s="14">
        <f>IFERROR(VLOOKUP(IF(MOD(COLUMN(CF25),2)=1,$A25&amp;"-"&amp;CF$3,$A25&amp;"-"&amp;CE$3),CoSo1[],CF$38,0),"")</f>
        <v>0</v>
      </c>
      <c r="CG25" s="14">
        <f>IFERROR(VLOOKUP(IF(MOD(COLUMN(CG25),2)=1,$A25&amp;"-"&amp;CG$3,$A25&amp;"-"&amp;CF$3),CoSo1[],CG$38,0),"")</f>
        <v>0</v>
      </c>
      <c r="CH25" s="14">
        <f>IFERROR(VLOOKUP(IF(MOD(COLUMN(CH25),2)=1,$A25&amp;"-"&amp;CH$3,$A25&amp;"-"&amp;CG$3),CoSo1[],CH$38,0),"")</f>
        <v>0</v>
      </c>
      <c r="CI25" s="11">
        <f t="shared" si="9"/>
        <v>40</v>
      </c>
      <c r="CJ25" s="11">
        <f t="shared" si="9"/>
        <v>2</v>
      </c>
      <c r="CK25" s="14"/>
    </row>
    <row r="26" spans="1:89" x14ac:dyDescent="0.25">
      <c r="A26" s="13">
        <v>21</v>
      </c>
      <c r="B26" s="14"/>
      <c r="C26" s="14">
        <f>IFERROR(VLOOKUP(IF(MOD(COLUMN(C26),2)=0,$A26&amp;"-"&amp;C$3,$A26&amp;"-"&amp;B$3),CoSo1[],C$38,0),"")</f>
        <v>6</v>
      </c>
      <c r="D26" s="14">
        <f>IFERROR(VLOOKUP(IF(MOD(COLUMN(D26),2)=0,$A26&amp;"-"&amp;D$3,$A26&amp;"-"&amp;C$3),CoSo1[],D$38,0),"")</f>
        <v>324</v>
      </c>
      <c r="E26" s="14">
        <f>IFERROR(VLOOKUP(IF(MOD(COLUMN(E26),2)=0,$A26&amp;"-"&amp;E$3,$A26&amp;"-"&amp;D$3),CoSo1[],E$38,0),"")</f>
        <v>6</v>
      </c>
      <c r="F26" s="14">
        <f>IFERROR(VLOOKUP(IF(MOD(COLUMN(F26),2)=0,$A26&amp;"-"&amp;F$3,$A26&amp;"-"&amp;E$3),CoSo1[],F$38,0),"")</f>
        <v>0</v>
      </c>
      <c r="G26" s="14">
        <f>IFERROR(VLOOKUP(IF(MOD(COLUMN(G26),2)=0,$A26&amp;"-"&amp;G$3,$A26&amp;"-"&amp;F$3),CoSo1[],G$38,0),"")</f>
        <v>0</v>
      </c>
      <c r="H26" s="14">
        <f>IFERROR(VLOOKUP(IF(MOD(COLUMN(H26),2)=0,$A26&amp;"-"&amp;H$3,$A26&amp;"-"&amp;G$3),CoSo1[],H$38,0),"")</f>
        <v>0</v>
      </c>
      <c r="I26" s="14">
        <f>IFERROR(VLOOKUP(IF(MOD(COLUMN(I26),2)=0,$A26&amp;"-"&amp;I$3,$A26&amp;"-"&amp;H$3),CoSo1[],I$38,0),"")</f>
        <v>0</v>
      </c>
      <c r="J26" s="14">
        <f>IFERROR(VLOOKUP(IF(MOD(COLUMN(J26),2)=0,$A26&amp;"-"&amp;J$3,$A26&amp;"-"&amp;I$3),CoSo1[],J$38,0),"")</f>
        <v>0</v>
      </c>
      <c r="K26" s="14">
        <f>IFERROR(VLOOKUP(IF(MOD(COLUMN(K26),2)=0,$A26&amp;"-"&amp;K$3,$A26&amp;"-"&amp;J$3),CoSo1[],K$38,0),"")</f>
        <v>0</v>
      </c>
      <c r="L26" s="14">
        <f>IFERROR(VLOOKUP(IF(MOD(COLUMN(L26),2)=0,$A26&amp;"-"&amp;L$3,$A26&amp;"-"&amp;K$3),CoSo1[],L$38,0),"")</f>
        <v>0</v>
      </c>
      <c r="M26" s="14">
        <f>IFERROR(VLOOKUP(IF(MOD(COLUMN(M26),2)=0,$A26&amp;"-"&amp;M$3,$A26&amp;"-"&amp;L$3),CoSo1[],M$38,0),"")</f>
        <v>0</v>
      </c>
      <c r="N26" s="11">
        <f t="shared" si="13"/>
        <v>324</v>
      </c>
      <c r="O26" s="11">
        <f t="shared" si="14"/>
        <v>12</v>
      </c>
      <c r="P26" s="14"/>
      <c r="Q26" s="14">
        <f>IFERROR(VLOOKUP(IF(MOD(COLUMN(Q26),2)=1,$A26&amp;"-"&amp;Q$3,$A26&amp;"-"&amp;AT$3),CoSo3[],DoanhThuThang!AU$38,0),"")</f>
        <v>529</v>
      </c>
      <c r="R26" s="14">
        <f>IFERROR(VLOOKUP(IF(MOD(COLUMN(R26),2)=1,$A26&amp;"-"&amp;R$3,$A26&amp;"-"&amp;Q$3),CoSo3[],DoanhThuThang!AV$38,0),"")</f>
        <v>3</v>
      </c>
      <c r="S26" s="14">
        <f>IFERROR(VLOOKUP(IF(MOD(COLUMN(S26),2)=1,$A26&amp;"-"&amp;S$3,$A26&amp;"-"&amp;R$3),CoSo3[],DoanhThuThang!AW$38,0),"")</f>
        <v>652</v>
      </c>
      <c r="T26" s="14">
        <f>IFERROR(VLOOKUP(IF(MOD(COLUMN(T26),2)=1,$A26&amp;"-"&amp;T$3,$A26&amp;"-"&amp;S$3),CoSo3[],DoanhThuThang!AX$38,0),"")</f>
        <v>4</v>
      </c>
      <c r="U26" s="11">
        <f t="shared" si="10"/>
        <v>1181</v>
      </c>
      <c r="V26" s="11">
        <f t="shared" si="10"/>
        <v>7</v>
      </c>
      <c r="W26" s="14"/>
      <c r="X26" s="14" t="str">
        <f>IFERROR(VLOOKUP(IF(MOD(COLUMN(BI26),2)=1,$A26&amp;"-"&amp;BI$3,$A26&amp;"-"&amp;BH$3),CoSo4[],DoanhThuThang!BI$38,0),"")</f>
        <v/>
      </c>
      <c r="Y26" s="14" t="str">
        <f>IFERROR(VLOOKUP(IF(MOD(COLUMN(BJ26),2)=1,$A26&amp;"-"&amp;BJ$3,$A26&amp;"-"&amp;BI$3),CoSo4[],DoanhThuThang!BJ$38,0),"")</f>
        <v/>
      </c>
      <c r="Z26" s="14" t="str">
        <f>IFERROR(VLOOKUP(IF(MOD(COLUMN(BK26),2)=1,$A26&amp;"-"&amp;BK$3,$A26&amp;"-"&amp;BJ$3),CoSo4[],DoanhThuThang!BK$38,0),"")</f>
        <v/>
      </c>
      <c r="AA26" s="14" t="str">
        <f>IFERROR(VLOOKUP(IF(MOD(COLUMN(BL26),2)=1,$A26&amp;"-"&amp;BL$3,$A26&amp;"-"&amp;BK$3),CoSo4[],DoanhThuThang!BL$38,0),"")</f>
        <v/>
      </c>
      <c r="AB26" s="11">
        <f t="shared" si="1"/>
        <v>0</v>
      </c>
      <c r="AC26" s="11">
        <f t="shared" si="2"/>
        <v>0</v>
      </c>
      <c r="AD26" s="14"/>
      <c r="AF26" s="14">
        <f>IFERROR(VLOOKUP(IF(MOD(COLUMN(AF26),2)=0,$A26&amp;"-"&amp;AF$3,$A26&amp;"-"&amp;CK$3),CoSo1[],AF$38,0),"")</f>
        <v>0</v>
      </c>
      <c r="AG26" s="14">
        <f>IFERROR(VLOOKUP(IF(MOD(COLUMN(AG26),2)=0,$A26&amp;"-"&amp;AG$3,$A26&amp;"-"&amp;AF$3),CoSo1[],AG$38,0),"")</f>
        <v>0</v>
      </c>
      <c r="AH26" s="14">
        <f>IFERROR(VLOOKUP(IF(MOD(COLUMN(AH26),2)=0,$A26&amp;"-"&amp;AH$3,$A26&amp;"-"&amp;AG$3),CoSo1[],AH$38,0),"")</f>
        <v>0</v>
      </c>
      <c r="AI26" s="14">
        <f>IFERROR(VLOOKUP(IF(MOD(COLUMN(AI26),2)=0,$A26&amp;"-"&amp;AI$3,$A26&amp;"-"&amp;AH$3),CoSo1[],AI$38,0),"")</f>
        <v>0</v>
      </c>
      <c r="AJ26" s="14">
        <f>IFERROR(VLOOKUP(IF(MOD(COLUMN(AJ26),2)=0,$A26&amp;"-"&amp;AJ$3,$A26&amp;"-"&amp;AI$3),CoSo1[],AJ$38,0),"")</f>
        <v>0</v>
      </c>
      <c r="AK26" s="14">
        <f>IFERROR(VLOOKUP(IF(MOD(COLUMN(AK26),2)=0,$A26&amp;"-"&amp;AK$3,$A26&amp;"-"&amp;AJ$3),CoSo1[],AK$38,0),"")</f>
        <v>0</v>
      </c>
      <c r="AL26" s="14">
        <f>IFERROR(VLOOKUP(IF(MOD(COLUMN(AL26),2)=0,$A26&amp;"-"&amp;AL$3,$A26&amp;"-"&amp;AK$3),CoSo1[],AL$38,0),"")</f>
        <v>0</v>
      </c>
      <c r="AM26" s="14">
        <f>IFERROR(VLOOKUP(IF(MOD(COLUMN(AM26),2)=0,$A26&amp;"-"&amp;AM$3,$A26&amp;"-"&amp;AL$3),CoSo1[],AM$38,0),"")</f>
        <v>0</v>
      </c>
      <c r="AN26" s="14">
        <f>IFERROR(VLOOKUP(IF(MOD(COLUMN(AN26),2)=0,$A26&amp;"-"&amp;AN$3,$A26&amp;"-"&amp;AM$3),CoSo1[],AN$38,0),"")</f>
        <v>0</v>
      </c>
      <c r="AO26" s="14">
        <f>IFERROR(VLOOKUP(IF(MOD(COLUMN(AO26),2)=0,$A26&amp;"-"&amp;AO$3,$A26&amp;"-"&amp;AN$3),CoSo1[],AO$38,0),"")</f>
        <v>0</v>
      </c>
      <c r="AP26" s="14">
        <f>IFERROR(VLOOKUP(IF(MOD(COLUMN(AP26),2)=0,$A26&amp;"-"&amp;AP$3,$A26&amp;"-"&amp;AO$3),CoSo1[],AP$38,0),"")</f>
        <v>0</v>
      </c>
      <c r="AQ26" s="14">
        <f>IFERROR(VLOOKUP(IF(MOD(COLUMN(AQ26),2)=0,$A26&amp;"-"&amp;AQ$3,$A26&amp;"-"&amp;AP$3),CoSo1[],AQ$38,0),"")</f>
        <v>0</v>
      </c>
      <c r="AR26" s="11">
        <f t="shared" si="4"/>
        <v>0</v>
      </c>
      <c r="AS26" s="11">
        <f t="shared" si="4"/>
        <v>0</v>
      </c>
      <c r="AT26" s="14"/>
      <c r="BB26" s="14">
        <f>IFERROR(VLOOKUP(IF(MOD(COLUMN(BB26),2)=0,$A26&amp;"-"&amp;BB$3,$A26&amp;"-"&amp;W$3),CoSo3[],DoanhThuThang!BB$38,0),"")</f>
        <v>0</v>
      </c>
      <c r="BC26" s="14">
        <f>IFERROR(VLOOKUP(IF(MOD(COLUMN(BC26),2)=0,$A26&amp;"-"&amp;BC$3,$A26&amp;"-"&amp;BB$3),CoSo3[],DoanhThuThang!BC$38,0),"")</f>
        <v>0</v>
      </c>
      <c r="BD26" s="14">
        <f>IFERROR(VLOOKUP(IF(MOD(COLUMN(BD26),2)=0,$A26&amp;"-"&amp;BD$3,$A26&amp;"-"&amp;BC$3),CoSo3[],DoanhThuThang!BD$38,0),"")</f>
        <v>60000</v>
      </c>
      <c r="BE26" s="14">
        <f>IFERROR(VLOOKUP(IF(MOD(COLUMN(BE26),2)=0,$A26&amp;"-"&amp;BE$3,$A26&amp;"-"&amp;BD$3),CoSo3[],DoanhThuThang!BE$38,0),"")</f>
        <v>1</v>
      </c>
      <c r="BF26" s="11">
        <f t="shared" si="11"/>
        <v>60000</v>
      </c>
      <c r="BG26" s="11">
        <f t="shared" si="11"/>
        <v>1</v>
      </c>
      <c r="BH26" s="14"/>
      <c r="BI26" s="14" t="str">
        <f>IFERROR(VLOOKUP(IF(MOD(COLUMN(BI26),2)=1,$A26&amp;"-"&amp;BI$3,$A26&amp;"-"&amp;BH$3),CoSo4[],DoanhThuThang!BI$38,0),"")</f>
        <v/>
      </c>
      <c r="BJ26" s="14" t="str">
        <f>IFERROR(VLOOKUP(IF(MOD(COLUMN(BJ26),2)=1,$A26&amp;"-"&amp;BJ$3,$A26&amp;"-"&amp;BI$3),CoSo4[],DoanhThuThang!BJ$38,0),"")</f>
        <v/>
      </c>
      <c r="BK26" s="14" t="str">
        <f>IFERROR(VLOOKUP(IF(MOD(COLUMN(BK26),2)=1,$A26&amp;"-"&amp;BK$3,$A26&amp;"-"&amp;BJ$3),CoSo4[],DoanhThuThang!BK$38,0),"")</f>
        <v/>
      </c>
      <c r="BL26" s="14" t="str">
        <f>IFERROR(VLOOKUP(IF(MOD(COLUMN(BL26),2)=1,$A26&amp;"-"&amp;BL$3,$A26&amp;"-"&amp;BK$3),CoSo4[],DoanhThuThang!BL$38,0),"")</f>
        <v/>
      </c>
      <c r="BM26" s="11">
        <f t="shared" si="6"/>
        <v>0</v>
      </c>
      <c r="BN26" s="11">
        <f t="shared" si="7"/>
        <v>0</v>
      </c>
      <c r="BO26" s="14"/>
      <c r="BP26" s="14" t="str">
        <f>IFERROR(VLOOKUP(IF(MOD(COLUMN(BP26),2)=0,$A26&amp;"-"&amp;BP$3,$A26&amp;"-"&amp;BO$3),CoSo4[],DoanhThuThang!BP$38,0),"")</f>
        <v/>
      </c>
      <c r="BQ26" s="14" t="str">
        <f>IFERROR(VLOOKUP(IF(MOD(COLUMN(BQ26),2)=0,$A26&amp;"-"&amp;BQ$3,$A26&amp;"-"&amp;BP$3),CoSo4[],DoanhThuThang!BQ$38,0),"")</f>
        <v/>
      </c>
      <c r="BR26" s="14" t="str">
        <f>IFERROR(VLOOKUP(IF(MOD(COLUMN(BR26),2)=0,$A26&amp;"-"&amp;BR$3,$A26&amp;"-"&amp;BQ$3),CoSo4[],DoanhThuThang!BR$38,0),"")</f>
        <v/>
      </c>
      <c r="BS26" s="14" t="str">
        <f>IFERROR(VLOOKUP(IF(MOD(COLUMN(BS26),2)=0,$A26&amp;"-"&amp;BS$3,$A26&amp;"-"&amp;BR$3),CoSo4[],DoanhThuThang!BS$38,0),"")</f>
        <v/>
      </c>
      <c r="BT26" s="11">
        <f t="shared" si="12"/>
        <v>0</v>
      </c>
      <c r="BU26" s="11">
        <f t="shared" si="12"/>
        <v>0</v>
      </c>
      <c r="BV26" s="14"/>
      <c r="BW26" s="14">
        <f>IFERROR(VLOOKUP(IF(MOD(COLUMN(BW26),2)=1,$A26&amp;"-"&amp;BW$3,$A26&amp;"-"&amp;P$3),CoSo1[],BW$38,0),"")</f>
        <v>0</v>
      </c>
      <c r="BX26" s="14">
        <f>IFERROR(VLOOKUP(IF(MOD(COLUMN(BX26),2)=1,$A26&amp;"-"&amp;BX$3,$A26&amp;"-"&amp;BW$3),CoSo1[],BX$38,0),"")</f>
        <v>0</v>
      </c>
      <c r="BY26" s="14">
        <f>IFERROR(VLOOKUP(IF(MOD(COLUMN(BY26),2)=1,$A26&amp;"-"&amp;BY$3,$A26&amp;"-"&amp;BX$3),CoSo1[],BY$38,0),"")</f>
        <v>0</v>
      </c>
      <c r="BZ26" s="14">
        <f>IFERROR(VLOOKUP(IF(MOD(COLUMN(BZ26),2)=1,$A26&amp;"-"&amp;BZ$3,$A26&amp;"-"&amp;BY$3),CoSo1[],BZ$38,0),"")</f>
        <v>0</v>
      </c>
      <c r="CA26" s="14">
        <f>IFERROR(VLOOKUP(IF(MOD(COLUMN(CA26),2)=1,$A26&amp;"-"&amp;CA$3,$A26&amp;"-"&amp;BZ$3),CoSo1[],CA$38,0),"")</f>
        <v>0</v>
      </c>
      <c r="CB26" s="14">
        <f>IFERROR(VLOOKUP(IF(MOD(COLUMN(CB26),2)=1,$A26&amp;"-"&amp;CB$3,$A26&amp;"-"&amp;CA$3),CoSo1[],CB$38,0),"")</f>
        <v>0</v>
      </c>
      <c r="CC26" s="14">
        <f>IFERROR(VLOOKUP(IF(MOD(COLUMN(CC26),2)=1,$A26&amp;"-"&amp;CC$3,$A26&amp;"-"&amp;CB$3),CoSo1[],CC$38,0),"")</f>
        <v>0</v>
      </c>
      <c r="CD26" s="14">
        <f>IFERROR(VLOOKUP(IF(MOD(COLUMN(CD26),2)=1,$A26&amp;"-"&amp;CD$3,$A26&amp;"-"&amp;CC$3),CoSo1[],CD$38,0),"")</f>
        <v>0</v>
      </c>
      <c r="CE26" s="14">
        <f>IFERROR(VLOOKUP(IF(MOD(COLUMN(CE26),2)=1,$A26&amp;"-"&amp;CE$3,$A26&amp;"-"&amp;CD$3),CoSo1[],CE$38,0),"")</f>
        <v>0</v>
      </c>
      <c r="CF26" s="14">
        <f>IFERROR(VLOOKUP(IF(MOD(COLUMN(CF26),2)=1,$A26&amp;"-"&amp;CF$3,$A26&amp;"-"&amp;CE$3),CoSo1[],CF$38,0),"")</f>
        <v>0</v>
      </c>
      <c r="CG26" s="14">
        <f>IFERROR(VLOOKUP(IF(MOD(COLUMN(CG26),2)=1,$A26&amp;"-"&amp;CG$3,$A26&amp;"-"&amp;CF$3),CoSo1[],CG$38,0),"")</f>
        <v>0</v>
      </c>
      <c r="CH26" s="14">
        <f>IFERROR(VLOOKUP(IF(MOD(COLUMN(CH26),2)=1,$A26&amp;"-"&amp;CH$3,$A26&amp;"-"&amp;CG$3),CoSo1[],CH$38,0),"")</f>
        <v>0</v>
      </c>
      <c r="CI26" s="11">
        <f t="shared" si="9"/>
        <v>0</v>
      </c>
      <c r="CJ26" s="11">
        <f t="shared" si="9"/>
        <v>0</v>
      </c>
      <c r="CK26" s="14"/>
    </row>
    <row r="27" spans="1:89" x14ac:dyDescent="0.25">
      <c r="A27" s="13">
        <v>22</v>
      </c>
      <c r="B27" s="14">
        <f>IFERROR(VLOOKUP(IF(MOD(COLUMN(B27),2)=0,$A27&amp;"-"&amp;B$3,$A27&amp;"-"&amp;A$3),CoSo1[],B$38,0),"")</f>
        <v>395</v>
      </c>
      <c r="C27" s="14">
        <f>IFERROR(VLOOKUP(IF(MOD(COLUMN(C27),2)=0,$A27&amp;"-"&amp;C$3,$A27&amp;"-"&amp;B$3),CoSo1[],C$38,0),"")</f>
        <v>5</v>
      </c>
      <c r="D27" s="14">
        <f>IFERROR(VLOOKUP(IF(MOD(COLUMN(D27),2)=0,$A27&amp;"-"&amp;D$3,$A27&amp;"-"&amp;C$3),CoSo1[],D$38,0),"")</f>
        <v>862</v>
      </c>
      <c r="E27" s="14">
        <f>IFERROR(VLOOKUP(IF(MOD(COLUMN(E27),2)=0,$A27&amp;"-"&amp;E$3,$A27&amp;"-"&amp;D$3),CoSo1[],E$38,0),"")</f>
        <v>7</v>
      </c>
      <c r="F27" s="14">
        <f>IFERROR(VLOOKUP(IF(MOD(COLUMN(F27),2)=0,$A27&amp;"-"&amp;F$3,$A27&amp;"-"&amp;E$3),CoSo1[],F$38,0),"")</f>
        <v>0</v>
      </c>
      <c r="G27" s="14">
        <f>IFERROR(VLOOKUP(IF(MOD(COLUMN(G27),2)=0,$A27&amp;"-"&amp;G$3,$A27&amp;"-"&amp;F$3),CoSo1[],G$38,0),"")</f>
        <v>0</v>
      </c>
      <c r="H27" s="14">
        <f>IFERROR(VLOOKUP(IF(MOD(COLUMN(H27),2)=0,$A27&amp;"-"&amp;H$3,$A27&amp;"-"&amp;G$3),CoSo1[],H$38,0),"")</f>
        <v>0</v>
      </c>
      <c r="I27" s="14">
        <f>IFERROR(VLOOKUP(IF(MOD(COLUMN(I27),2)=0,$A27&amp;"-"&amp;I$3,$A27&amp;"-"&amp;H$3),CoSo1[],I$38,0),"")</f>
        <v>0</v>
      </c>
      <c r="J27" s="14">
        <f>IFERROR(VLOOKUP(IF(MOD(COLUMN(J27),2)=0,$A27&amp;"-"&amp;J$3,$A27&amp;"-"&amp;I$3),CoSo1[],J$38,0),"")</f>
        <v>0</v>
      </c>
      <c r="K27" s="14">
        <f>IFERROR(VLOOKUP(IF(MOD(COLUMN(K27),2)=0,$A27&amp;"-"&amp;K$3,$A27&amp;"-"&amp;J$3),CoSo1[],K$38,0),"")</f>
        <v>0</v>
      </c>
      <c r="L27" s="14">
        <f>IFERROR(VLOOKUP(IF(MOD(COLUMN(L27),2)=0,$A27&amp;"-"&amp;L$3,$A27&amp;"-"&amp;K$3),CoSo1[],L$38,0),"")</f>
        <v>0</v>
      </c>
      <c r="M27" s="14">
        <f>IFERROR(VLOOKUP(IF(MOD(COLUMN(M27),2)=0,$A27&amp;"-"&amp;M$3,$A27&amp;"-"&amp;L$3),CoSo1[],M$38,0),"")</f>
        <v>0</v>
      </c>
      <c r="N27" s="11">
        <f t="shared" si="13"/>
        <v>1257</v>
      </c>
      <c r="O27" s="11">
        <f t="shared" si="14"/>
        <v>12</v>
      </c>
      <c r="P27" s="14"/>
      <c r="Q27" s="14">
        <f>IFERROR(VLOOKUP(IF(MOD(COLUMN(Q27),2)=1,$A27&amp;"-"&amp;Q$3,$A27&amp;"-"&amp;AT$3),CoSo3[],DoanhThuThang!AU$38,0),"")</f>
        <v>18</v>
      </c>
      <c r="R27" s="14">
        <f>IFERROR(VLOOKUP(IF(MOD(COLUMN(R27),2)=1,$A27&amp;"-"&amp;R$3,$A27&amp;"-"&amp;Q$3),CoSo3[],DoanhThuThang!AV$38,0),"")</f>
        <v>1</v>
      </c>
      <c r="S27" s="14">
        <f>IFERROR(VLOOKUP(IF(MOD(COLUMN(S27),2)=1,$A27&amp;"-"&amp;S$3,$A27&amp;"-"&amp;R$3),CoSo3[],DoanhThuThang!AW$38,0),"")</f>
        <v>1692</v>
      </c>
      <c r="T27" s="14">
        <f>IFERROR(VLOOKUP(IF(MOD(COLUMN(T27),2)=1,$A27&amp;"-"&amp;T$3,$A27&amp;"-"&amp;S$3),CoSo3[],DoanhThuThang!AX$38,0),"")</f>
        <v>10</v>
      </c>
      <c r="U27" s="11">
        <f t="shared" si="10"/>
        <v>1710</v>
      </c>
      <c r="V27" s="11">
        <f t="shared" si="10"/>
        <v>11</v>
      </c>
      <c r="W27" s="14"/>
      <c r="X27" s="14" t="str">
        <f>IFERROR(VLOOKUP(IF(MOD(COLUMN(BI27),2)=1,$A27&amp;"-"&amp;BI$3,$A27&amp;"-"&amp;BH$3),CoSo4[],DoanhThuThang!BI$38,0),"")</f>
        <v/>
      </c>
      <c r="Y27" s="14" t="str">
        <f>IFERROR(VLOOKUP(IF(MOD(COLUMN(BJ27),2)=1,$A27&amp;"-"&amp;BJ$3,$A27&amp;"-"&amp;BI$3),CoSo4[],DoanhThuThang!BJ$38,0),"")</f>
        <v/>
      </c>
      <c r="Z27" s="14" t="str">
        <f>IFERROR(VLOOKUP(IF(MOD(COLUMN(BK27),2)=1,$A27&amp;"-"&amp;BK$3,$A27&amp;"-"&amp;BJ$3),CoSo4[],DoanhThuThang!BK$38,0),"")</f>
        <v/>
      </c>
      <c r="AA27" s="14" t="str">
        <f>IFERROR(VLOOKUP(IF(MOD(COLUMN(BL27),2)=1,$A27&amp;"-"&amp;BL$3,$A27&amp;"-"&amp;BK$3),CoSo4[],DoanhThuThang!BL$38,0),"")</f>
        <v/>
      </c>
      <c r="AB27" s="11">
        <f t="shared" si="1"/>
        <v>0</v>
      </c>
      <c r="AC27" s="11">
        <f t="shared" si="2"/>
        <v>0</v>
      </c>
      <c r="AD27" s="14"/>
      <c r="AF27" s="14">
        <f>IFERROR(VLOOKUP(IF(MOD(COLUMN(AF27),2)=0,$A27&amp;"-"&amp;AF$3,$A27&amp;"-"&amp;CK$3),CoSo1[],AF$38,0),"")</f>
        <v>0</v>
      </c>
      <c r="AG27" s="14">
        <f>IFERROR(VLOOKUP(IF(MOD(COLUMN(AG27),2)=0,$A27&amp;"-"&amp;AG$3,$A27&amp;"-"&amp;AF$3),CoSo1[],AG$38,0),"")</f>
        <v>0</v>
      </c>
      <c r="AH27" s="14">
        <f>IFERROR(VLOOKUP(IF(MOD(COLUMN(AH27),2)=0,$A27&amp;"-"&amp;AH$3,$A27&amp;"-"&amp;AG$3),CoSo1[],AH$38,0),"")</f>
        <v>75</v>
      </c>
      <c r="AI27" s="14">
        <f>IFERROR(VLOOKUP(IF(MOD(COLUMN(AI27),2)=0,$A27&amp;"-"&amp;AI$3,$A27&amp;"-"&amp;AH$3),CoSo1[],AI$38,0),"")</f>
        <v>2</v>
      </c>
      <c r="AJ27" s="14">
        <f>IFERROR(VLOOKUP(IF(MOD(COLUMN(AJ27),2)=0,$A27&amp;"-"&amp;AJ$3,$A27&amp;"-"&amp;AI$3),CoSo1[],AJ$38,0),"")</f>
        <v>0</v>
      </c>
      <c r="AK27" s="14">
        <f>IFERROR(VLOOKUP(IF(MOD(COLUMN(AK27),2)=0,$A27&amp;"-"&amp;AK$3,$A27&amp;"-"&amp;AJ$3),CoSo1[],AK$38,0),"")</f>
        <v>0</v>
      </c>
      <c r="AL27" s="14">
        <f>IFERROR(VLOOKUP(IF(MOD(COLUMN(AL27),2)=0,$A27&amp;"-"&amp;AL$3,$A27&amp;"-"&amp;AK$3),CoSo1[],AL$38,0),"")</f>
        <v>0</v>
      </c>
      <c r="AM27" s="14">
        <f>IFERROR(VLOOKUP(IF(MOD(COLUMN(AM27),2)=0,$A27&amp;"-"&amp;AM$3,$A27&amp;"-"&amp;AL$3),CoSo1[],AM$38,0),"")</f>
        <v>0</v>
      </c>
      <c r="AN27" s="14">
        <f>IFERROR(VLOOKUP(IF(MOD(COLUMN(AN27),2)=0,$A27&amp;"-"&amp;AN$3,$A27&amp;"-"&amp;AM$3),CoSo1[],AN$38,0),"")</f>
        <v>0</v>
      </c>
      <c r="AO27" s="14">
        <f>IFERROR(VLOOKUP(IF(MOD(COLUMN(AO27),2)=0,$A27&amp;"-"&amp;AO$3,$A27&amp;"-"&amp;AN$3),CoSo1[],AO$38,0),"")</f>
        <v>0</v>
      </c>
      <c r="AP27" s="14">
        <f>IFERROR(VLOOKUP(IF(MOD(COLUMN(AP27),2)=0,$A27&amp;"-"&amp;AP$3,$A27&amp;"-"&amp;AO$3),CoSo1[],AP$38,0),"")</f>
        <v>0</v>
      </c>
      <c r="AQ27" s="14">
        <f>IFERROR(VLOOKUP(IF(MOD(COLUMN(AQ27),2)=0,$A27&amp;"-"&amp;AQ$3,$A27&amp;"-"&amp;AP$3),CoSo1[],AQ$38,0),"")</f>
        <v>0</v>
      </c>
      <c r="AR27" s="11">
        <f t="shared" si="4"/>
        <v>75</v>
      </c>
      <c r="AS27" s="11">
        <f t="shared" si="4"/>
        <v>2</v>
      </c>
      <c r="AT27" s="14"/>
      <c r="BB27" s="14">
        <f>IFERROR(VLOOKUP(IF(MOD(COLUMN(BB27),2)=0,$A27&amp;"-"&amp;BB$3,$A27&amp;"-"&amp;W$3),CoSo3[],DoanhThuThang!BB$38,0),"")</f>
        <v>0</v>
      </c>
      <c r="BC27" s="14">
        <f>IFERROR(VLOOKUP(IF(MOD(COLUMN(BC27),2)=0,$A27&amp;"-"&amp;BC$3,$A27&amp;"-"&amp;BB$3),CoSo3[],DoanhThuThang!BC$38,0),"")</f>
        <v>0</v>
      </c>
      <c r="BD27" s="14">
        <f>IFERROR(VLOOKUP(IF(MOD(COLUMN(BD27),2)=0,$A27&amp;"-"&amp;BD$3,$A27&amp;"-"&amp;BC$3),CoSo3[],DoanhThuThang!BD$38,0),"")</f>
        <v>0</v>
      </c>
      <c r="BE27" s="14">
        <f>IFERROR(VLOOKUP(IF(MOD(COLUMN(BE27),2)=0,$A27&amp;"-"&amp;BE$3,$A27&amp;"-"&amp;BD$3),CoSo3[],DoanhThuThang!BE$38,0),"")</f>
        <v>0</v>
      </c>
      <c r="BF27" s="11">
        <f t="shared" si="11"/>
        <v>0</v>
      </c>
      <c r="BG27" s="11">
        <f t="shared" si="11"/>
        <v>0</v>
      </c>
      <c r="BH27" s="14"/>
      <c r="BI27" s="14" t="str">
        <f>IFERROR(VLOOKUP(IF(MOD(COLUMN(BI27),2)=1,$A27&amp;"-"&amp;BI$3,$A27&amp;"-"&amp;BH$3),CoSo4[],DoanhThuThang!BI$38,0),"")</f>
        <v/>
      </c>
      <c r="BJ27" s="14" t="str">
        <f>IFERROR(VLOOKUP(IF(MOD(COLUMN(BJ27),2)=1,$A27&amp;"-"&amp;BJ$3,$A27&amp;"-"&amp;BI$3),CoSo4[],DoanhThuThang!BJ$38,0),"")</f>
        <v/>
      </c>
      <c r="BK27" s="14" t="str">
        <f>IFERROR(VLOOKUP(IF(MOD(COLUMN(BK27),2)=1,$A27&amp;"-"&amp;BK$3,$A27&amp;"-"&amp;BJ$3),CoSo4[],DoanhThuThang!BK$38,0),"")</f>
        <v/>
      </c>
      <c r="BL27" s="14" t="str">
        <f>IFERROR(VLOOKUP(IF(MOD(COLUMN(BL27),2)=1,$A27&amp;"-"&amp;BL$3,$A27&amp;"-"&amp;BK$3),CoSo4[],DoanhThuThang!BL$38,0),"")</f>
        <v/>
      </c>
      <c r="BM27" s="11">
        <f t="shared" si="6"/>
        <v>0</v>
      </c>
      <c r="BN27" s="11">
        <f t="shared" si="7"/>
        <v>0</v>
      </c>
      <c r="BO27" s="14"/>
      <c r="BP27" s="14" t="str">
        <f>IFERROR(VLOOKUP(IF(MOD(COLUMN(BP27),2)=0,$A27&amp;"-"&amp;BP$3,$A27&amp;"-"&amp;BO$3),CoSo4[],DoanhThuThang!BP$38,0),"")</f>
        <v/>
      </c>
      <c r="BQ27" s="14" t="str">
        <f>IFERROR(VLOOKUP(IF(MOD(COLUMN(BQ27),2)=0,$A27&amp;"-"&amp;BQ$3,$A27&amp;"-"&amp;BP$3),CoSo4[],DoanhThuThang!BQ$38,0),"")</f>
        <v/>
      </c>
      <c r="BR27" s="14" t="str">
        <f>IFERROR(VLOOKUP(IF(MOD(COLUMN(BR27),2)=0,$A27&amp;"-"&amp;BR$3,$A27&amp;"-"&amp;BQ$3),CoSo4[],DoanhThuThang!BR$38,0),"")</f>
        <v/>
      </c>
      <c r="BS27" s="14" t="str">
        <f>IFERROR(VLOOKUP(IF(MOD(COLUMN(BS27),2)=0,$A27&amp;"-"&amp;BS$3,$A27&amp;"-"&amp;BR$3),CoSo4[],DoanhThuThang!BS$38,0),"")</f>
        <v/>
      </c>
      <c r="BT27" s="11">
        <f t="shared" si="12"/>
        <v>0</v>
      </c>
      <c r="BU27" s="11">
        <f t="shared" si="12"/>
        <v>0</v>
      </c>
      <c r="BV27" s="14"/>
      <c r="BW27" s="14">
        <f>IFERROR(VLOOKUP(IF(MOD(COLUMN(BW27),2)=1,$A27&amp;"-"&amp;BW$3,$A27&amp;"-"&amp;P$3),CoSo1[],BW$38,0),"")</f>
        <v>0</v>
      </c>
      <c r="BX27" s="14">
        <f>IFERROR(VLOOKUP(IF(MOD(COLUMN(BX27),2)=1,$A27&amp;"-"&amp;BX$3,$A27&amp;"-"&amp;BW$3),CoSo1[],BX$38,0),"")</f>
        <v>0</v>
      </c>
      <c r="BY27" s="14">
        <f>IFERROR(VLOOKUP(IF(MOD(COLUMN(BY27),2)=1,$A27&amp;"-"&amp;BY$3,$A27&amp;"-"&amp;BX$3),CoSo1[],BY$38,0),"")</f>
        <v>80</v>
      </c>
      <c r="BZ27" s="14">
        <f>IFERROR(VLOOKUP(IF(MOD(COLUMN(BZ27),2)=1,$A27&amp;"-"&amp;BZ$3,$A27&amp;"-"&amp;BY$3),CoSo1[],BZ$38,0),"")</f>
        <v>1</v>
      </c>
      <c r="CA27" s="14">
        <f>IFERROR(VLOOKUP(IF(MOD(COLUMN(CA27),2)=1,$A27&amp;"-"&amp;CA$3,$A27&amp;"-"&amp;BZ$3),CoSo1[],CA$38,0),"")</f>
        <v>0</v>
      </c>
      <c r="CB27" s="14">
        <f>IFERROR(VLOOKUP(IF(MOD(COLUMN(CB27),2)=1,$A27&amp;"-"&amp;CB$3,$A27&amp;"-"&amp;CA$3),CoSo1[],CB$38,0),"")</f>
        <v>0</v>
      </c>
      <c r="CC27" s="14">
        <f>IFERROR(VLOOKUP(IF(MOD(COLUMN(CC27),2)=1,$A27&amp;"-"&amp;CC$3,$A27&amp;"-"&amp;CB$3),CoSo1[],CC$38,0),"")</f>
        <v>0</v>
      </c>
      <c r="CD27" s="14">
        <f>IFERROR(VLOOKUP(IF(MOD(COLUMN(CD27),2)=1,$A27&amp;"-"&amp;CD$3,$A27&amp;"-"&amp;CC$3),CoSo1[],CD$38,0),"")</f>
        <v>0</v>
      </c>
      <c r="CE27" s="14">
        <f>IFERROR(VLOOKUP(IF(MOD(COLUMN(CE27),2)=1,$A27&amp;"-"&amp;CE$3,$A27&amp;"-"&amp;CD$3),CoSo1[],CE$38,0),"")</f>
        <v>0</v>
      </c>
      <c r="CF27" s="14">
        <f>IFERROR(VLOOKUP(IF(MOD(COLUMN(CF27),2)=1,$A27&amp;"-"&amp;CF$3,$A27&amp;"-"&amp;CE$3),CoSo1[],CF$38,0),"")</f>
        <v>0</v>
      </c>
      <c r="CG27" s="14">
        <f>IFERROR(VLOOKUP(IF(MOD(COLUMN(CG27),2)=1,$A27&amp;"-"&amp;CG$3,$A27&amp;"-"&amp;CF$3),CoSo1[],CG$38,0),"")</f>
        <v>0</v>
      </c>
      <c r="CH27" s="14">
        <f>IFERROR(VLOOKUP(IF(MOD(COLUMN(CH27),2)=1,$A27&amp;"-"&amp;CH$3,$A27&amp;"-"&amp;CG$3),CoSo1[],CH$38,0),"")</f>
        <v>0</v>
      </c>
      <c r="CI27" s="11">
        <f t="shared" si="9"/>
        <v>80</v>
      </c>
      <c r="CJ27" s="11">
        <f t="shared" si="9"/>
        <v>1</v>
      </c>
      <c r="CK27" s="14">
        <f>SUM(CI21:CI27)</f>
        <v>512</v>
      </c>
    </row>
    <row r="28" spans="1:89" x14ac:dyDescent="0.25">
      <c r="A28" s="13">
        <v>23</v>
      </c>
      <c r="B28" s="14">
        <f>IFERROR(VLOOKUP(IF(MOD(COLUMN(B28),2)=0,$A28&amp;"-"&amp;B$3,$A28&amp;"-"&amp;A$3),CoSo1[],B$38,0),"")</f>
        <v>457</v>
      </c>
      <c r="C28" s="14">
        <f>IFERROR(VLOOKUP(IF(MOD(COLUMN(C28),2)=0,$A28&amp;"-"&amp;C$3,$A28&amp;"-"&amp;B$3),CoSo1[],C$38,0),"")</f>
        <v>6</v>
      </c>
      <c r="D28" s="14">
        <f>IFERROR(VLOOKUP(IF(MOD(COLUMN(D28),2)=0,$A28&amp;"-"&amp;D$3,$A28&amp;"-"&amp;C$3),CoSo1[],D$38,0),"")</f>
        <v>1834</v>
      </c>
      <c r="E28" s="14">
        <f>IFERROR(VLOOKUP(IF(MOD(COLUMN(E28),2)=0,$A28&amp;"-"&amp;E$3,$A28&amp;"-"&amp;D$3),CoSo1[],E$38,0),"")</f>
        <v>14</v>
      </c>
      <c r="F28" s="14">
        <f>IFERROR(VLOOKUP(IF(MOD(COLUMN(F28),2)=0,$A28&amp;"-"&amp;F$3,$A28&amp;"-"&amp;E$3),CoSo1[],F$38,0),"")</f>
        <v>0</v>
      </c>
      <c r="G28" s="14">
        <f>IFERROR(VLOOKUP(IF(MOD(COLUMN(G28),2)=0,$A28&amp;"-"&amp;G$3,$A28&amp;"-"&amp;F$3),CoSo1[],G$38,0),"")</f>
        <v>0</v>
      </c>
      <c r="H28" s="14">
        <f>IFERROR(VLOOKUP(IF(MOD(COLUMN(H28),2)=0,$A28&amp;"-"&amp;H$3,$A28&amp;"-"&amp;G$3),CoSo1[],H$38,0),"")</f>
        <v>0</v>
      </c>
      <c r="I28" s="14">
        <f>IFERROR(VLOOKUP(IF(MOD(COLUMN(I28),2)=0,$A28&amp;"-"&amp;I$3,$A28&amp;"-"&amp;H$3),CoSo1[],I$38,0),"")</f>
        <v>0</v>
      </c>
      <c r="J28" s="14">
        <f>IFERROR(VLOOKUP(IF(MOD(COLUMN(J28),2)=0,$A28&amp;"-"&amp;J$3,$A28&amp;"-"&amp;I$3),CoSo1[],J$38,0),"")</f>
        <v>0</v>
      </c>
      <c r="K28" s="14">
        <f>IFERROR(VLOOKUP(IF(MOD(COLUMN(K28),2)=0,$A28&amp;"-"&amp;K$3,$A28&amp;"-"&amp;J$3),CoSo1[],K$38,0),"")</f>
        <v>0</v>
      </c>
      <c r="L28" s="14">
        <f>IFERROR(VLOOKUP(IF(MOD(COLUMN(L28),2)=0,$A28&amp;"-"&amp;L$3,$A28&amp;"-"&amp;K$3),CoSo1[],L$38,0),"")</f>
        <v>208</v>
      </c>
      <c r="M28" s="14">
        <f>IFERROR(VLOOKUP(IF(MOD(COLUMN(M28),2)=0,$A28&amp;"-"&amp;M$3,$A28&amp;"-"&amp;L$3),CoSo1[],M$38,0),"")</f>
        <v>1</v>
      </c>
      <c r="N28" s="11">
        <f t="shared" si="13"/>
        <v>2499</v>
      </c>
      <c r="O28" s="11">
        <f t="shared" si="14"/>
        <v>21</v>
      </c>
      <c r="P28" s="14"/>
      <c r="Q28" s="14">
        <f>IFERROR(VLOOKUP(IF(MOD(COLUMN(Q28),2)=1,$A28&amp;"-"&amp;Q$3,$A28&amp;"-"&amp;AT$3),CoSo3[],DoanhThuThang!AU$38,0),"")</f>
        <v>422</v>
      </c>
      <c r="R28" s="14">
        <f>IFERROR(VLOOKUP(IF(MOD(COLUMN(R28),2)=1,$A28&amp;"-"&amp;R$3,$A28&amp;"-"&amp;Q$3),CoSo3[],DoanhThuThang!AV$38,0),"")</f>
        <v>8</v>
      </c>
      <c r="S28" s="14">
        <f>IFERROR(VLOOKUP(IF(MOD(COLUMN(S28),2)=1,$A28&amp;"-"&amp;S$3,$A28&amp;"-"&amp;R$3),CoSo3[],DoanhThuThang!AW$38,0),"")</f>
        <v>646</v>
      </c>
      <c r="T28" s="14">
        <f>IFERROR(VLOOKUP(IF(MOD(COLUMN(T28),2)=1,$A28&amp;"-"&amp;T$3,$A28&amp;"-"&amp;S$3),CoSo3[],DoanhThuThang!AX$38,0),"")</f>
        <v>8</v>
      </c>
      <c r="U28" s="11">
        <f t="shared" si="10"/>
        <v>1068</v>
      </c>
      <c r="V28" s="11">
        <f t="shared" si="10"/>
        <v>16</v>
      </c>
      <c r="W28" s="14"/>
      <c r="X28" s="14"/>
      <c r="Y28" s="14"/>
      <c r="Z28" s="14" t="str">
        <f>IFERROR(VLOOKUP(IF(MOD(COLUMN(BK28),2)=1,$A28&amp;"-"&amp;BK$3,$A28&amp;"-"&amp;BJ$3),CoSo4[],DoanhThuThang!BK$38,0),"")</f>
        <v/>
      </c>
      <c r="AA28" s="14" t="str">
        <f>IFERROR(VLOOKUP(IF(MOD(COLUMN(BL28),2)=1,$A28&amp;"-"&amp;BL$3,$A28&amp;"-"&amp;BK$3),CoSo4[],DoanhThuThang!BL$38,0),"")</f>
        <v/>
      </c>
      <c r="AB28" s="11">
        <f t="shared" si="1"/>
        <v>0</v>
      </c>
      <c r="AC28" s="11">
        <f t="shared" si="2"/>
        <v>0</v>
      </c>
      <c r="AD28" s="14"/>
      <c r="AF28" s="14">
        <f>IFERROR(VLOOKUP(IF(MOD(COLUMN(AF28),2)=0,$A28&amp;"-"&amp;AF$3,$A28&amp;"-"&amp;CK$3),CoSo1[],AF$38,0),"")</f>
        <v>0</v>
      </c>
      <c r="AG28" s="14">
        <f>IFERROR(VLOOKUP(IF(MOD(COLUMN(AG28),2)=0,$A28&amp;"-"&amp;AG$3,$A28&amp;"-"&amp;AF$3),CoSo1[],AG$38,0),"")</f>
        <v>0</v>
      </c>
      <c r="AH28" s="14">
        <f>IFERROR(VLOOKUP(IF(MOD(COLUMN(AH28),2)=0,$A28&amp;"-"&amp;AH$3,$A28&amp;"-"&amp;AG$3),CoSo1[],AH$38,0),"")</f>
        <v>0</v>
      </c>
      <c r="AI28" s="14">
        <f>IFERROR(VLOOKUP(IF(MOD(COLUMN(AI28),2)=0,$A28&amp;"-"&amp;AI$3,$A28&amp;"-"&amp;AH$3),CoSo1[],AI$38,0),"")</f>
        <v>0</v>
      </c>
      <c r="AJ28" s="14">
        <f>IFERROR(VLOOKUP(IF(MOD(COLUMN(AJ28),2)=0,$A28&amp;"-"&amp;AJ$3,$A28&amp;"-"&amp;AI$3),CoSo1[],AJ$38,0),"")</f>
        <v>0</v>
      </c>
      <c r="AK28" s="14">
        <f>IFERROR(VLOOKUP(IF(MOD(COLUMN(AK28),2)=0,$A28&amp;"-"&amp;AK$3,$A28&amp;"-"&amp;AJ$3),CoSo1[],AK$38,0),"")</f>
        <v>0</v>
      </c>
      <c r="AL28" s="14">
        <f>IFERROR(VLOOKUP(IF(MOD(COLUMN(AL28),2)=0,$A28&amp;"-"&amp;AL$3,$A28&amp;"-"&amp;AK$3),CoSo1[],AL$38,0),"")</f>
        <v>310</v>
      </c>
      <c r="AM28" s="14">
        <f>IFERROR(VLOOKUP(IF(MOD(COLUMN(AM28),2)=0,$A28&amp;"-"&amp;AM$3,$A28&amp;"-"&amp;AL$3),CoSo1[],AM$38,0),"")</f>
        <v>1</v>
      </c>
      <c r="AN28" s="14">
        <f>IFERROR(VLOOKUP(IF(MOD(COLUMN(AN28),2)=0,$A28&amp;"-"&amp;AN$3,$A28&amp;"-"&amp;AM$3),CoSo1[],AN$38,0),"")</f>
        <v>0</v>
      </c>
      <c r="AO28" s="14">
        <f>IFERROR(VLOOKUP(IF(MOD(COLUMN(AO28),2)=0,$A28&amp;"-"&amp;AO$3,$A28&amp;"-"&amp;AN$3),CoSo1[],AO$38,0),"")</f>
        <v>0</v>
      </c>
      <c r="AP28" s="14">
        <f>IFERROR(VLOOKUP(IF(MOD(COLUMN(AP28),2)=0,$A28&amp;"-"&amp;AP$3,$A28&amp;"-"&amp;AO$3),CoSo1[],AP$38,0),"")</f>
        <v>0</v>
      </c>
      <c r="AQ28" s="14">
        <f>IFERROR(VLOOKUP(IF(MOD(COLUMN(AQ28),2)=0,$A28&amp;"-"&amp;AQ$3,$A28&amp;"-"&amp;AP$3),CoSo1[],AQ$38,0),"")</f>
        <v>0</v>
      </c>
      <c r="AR28" s="11">
        <f t="shared" si="4"/>
        <v>310</v>
      </c>
      <c r="AS28" s="11">
        <f t="shared" si="4"/>
        <v>1</v>
      </c>
      <c r="AT28" s="14"/>
      <c r="BB28" s="14">
        <f>IFERROR(VLOOKUP(IF(MOD(COLUMN(BB28),2)=0,$A28&amp;"-"&amp;BB$3,$A28&amp;"-"&amp;W$3),CoSo3[],DoanhThuThang!BB$38,0),"")</f>
        <v>0</v>
      </c>
      <c r="BC28" s="14">
        <f>IFERROR(VLOOKUP(IF(MOD(COLUMN(BC28),2)=0,$A28&amp;"-"&amp;BC$3,$A28&amp;"-"&amp;BB$3),CoSo3[],DoanhThuThang!BC$38,0),"")</f>
        <v>0</v>
      </c>
      <c r="BD28" s="14">
        <f>IFERROR(VLOOKUP(IF(MOD(COLUMN(BD28),2)=0,$A28&amp;"-"&amp;BD$3,$A28&amp;"-"&amp;BC$3),CoSo3[],DoanhThuThang!BD$38,0),"")</f>
        <v>0</v>
      </c>
      <c r="BE28" s="14">
        <f>IFERROR(VLOOKUP(IF(MOD(COLUMN(BE28),2)=0,$A28&amp;"-"&amp;BE$3,$A28&amp;"-"&amp;BD$3),CoSo3[],DoanhThuThang!BE$38,0),"")</f>
        <v>0</v>
      </c>
      <c r="BF28" s="11">
        <f t="shared" si="11"/>
        <v>0</v>
      </c>
      <c r="BG28" s="11">
        <f t="shared" si="11"/>
        <v>0</v>
      </c>
      <c r="BH28" s="14"/>
      <c r="BI28" s="14" t="str">
        <f>IFERROR(VLOOKUP(IF(MOD(COLUMN(BI28),2)=1,$A28&amp;"-"&amp;BI$3,$A28&amp;"-"&amp;BH$3),CoSo4[],DoanhThuThang!BI$38,0),"")</f>
        <v/>
      </c>
      <c r="BJ28" s="14" t="str">
        <f>IFERROR(VLOOKUP(IF(MOD(COLUMN(BJ28),2)=1,$A28&amp;"-"&amp;BJ$3,$A28&amp;"-"&amp;BI$3),CoSo4[],DoanhThuThang!BJ$38,0),"")</f>
        <v/>
      </c>
      <c r="BK28" s="14" t="str">
        <f>IFERROR(VLOOKUP(IF(MOD(COLUMN(BK28),2)=1,$A28&amp;"-"&amp;BK$3,$A28&amp;"-"&amp;BJ$3),CoSo4[],DoanhThuThang!BK$38,0),"")</f>
        <v/>
      </c>
      <c r="BL28" s="14" t="str">
        <f>IFERROR(VLOOKUP(IF(MOD(COLUMN(BL28),2)=1,$A28&amp;"-"&amp;BL$3,$A28&amp;"-"&amp;BK$3),CoSo4[],DoanhThuThang!BL$38,0),"")</f>
        <v/>
      </c>
      <c r="BM28" s="11">
        <f t="shared" si="6"/>
        <v>0</v>
      </c>
      <c r="BN28" s="11">
        <f t="shared" si="7"/>
        <v>0</v>
      </c>
      <c r="BO28" s="14"/>
      <c r="BP28" s="14" t="str">
        <f>IFERROR(VLOOKUP(IF(MOD(COLUMN(BP28),2)=0,$A28&amp;"-"&amp;BP$3,$A28&amp;"-"&amp;BO$3),CoSo4[],DoanhThuThang!BP$38,0),"")</f>
        <v/>
      </c>
      <c r="BQ28" s="14" t="str">
        <f>IFERROR(VLOOKUP(IF(MOD(COLUMN(BQ28),2)=0,$A28&amp;"-"&amp;BQ$3,$A28&amp;"-"&amp;BP$3),CoSo4[],DoanhThuThang!BQ$38,0),"")</f>
        <v/>
      </c>
      <c r="BR28" s="14" t="str">
        <f>IFERROR(VLOOKUP(IF(MOD(COLUMN(BR28),2)=0,$A28&amp;"-"&amp;BR$3,$A28&amp;"-"&amp;BQ$3),CoSo4[],DoanhThuThang!BR$38,0),"")</f>
        <v/>
      </c>
      <c r="BS28" s="14" t="str">
        <f>IFERROR(VLOOKUP(IF(MOD(COLUMN(BS28),2)=0,$A28&amp;"-"&amp;BS$3,$A28&amp;"-"&amp;BR$3),CoSo4[],DoanhThuThang!BS$38,0),"")</f>
        <v/>
      </c>
      <c r="BT28" s="11">
        <f t="shared" si="12"/>
        <v>0</v>
      </c>
      <c r="BU28" s="11">
        <f t="shared" si="12"/>
        <v>0</v>
      </c>
      <c r="BV28" s="14"/>
      <c r="BW28" s="14">
        <f>IFERROR(VLOOKUP(IF(MOD(COLUMN(BW28),2)=1,$A28&amp;"-"&amp;BW$3,$A28&amp;"-"&amp;P$3),CoSo1[],BW$38,0),"")</f>
        <v>60</v>
      </c>
      <c r="BX28" s="14">
        <f>IFERROR(VLOOKUP(IF(MOD(COLUMN(BX28),2)=1,$A28&amp;"-"&amp;BX$3,$A28&amp;"-"&amp;BW$3),CoSo1[],BX$38,0),"")</f>
        <v>1</v>
      </c>
      <c r="BY28" s="14">
        <f>IFERROR(VLOOKUP(IF(MOD(COLUMN(BY28),2)=1,$A28&amp;"-"&amp;BY$3,$A28&amp;"-"&amp;BX$3),CoSo1[],BY$38,0),"")</f>
        <v>0</v>
      </c>
      <c r="BZ28" s="14">
        <f>IFERROR(VLOOKUP(IF(MOD(COLUMN(BZ28),2)=1,$A28&amp;"-"&amp;BZ$3,$A28&amp;"-"&amp;BY$3),CoSo1[],BZ$38,0),"")</f>
        <v>0</v>
      </c>
      <c r="CA28" s="14">
        <f>IFERROR(VLOOKUP(IF(MOD(COLUMN(CA28),2)=1,$A28&amp;"-"&amp;CA$3,$A28&amp;"-"&amp;BZ$3),CoSo1[],CA$38,0),"")</f>
        <v>0</v>
      </c>
      <c r="CB28" s="14">
        <f>IFERROR(VLOOKUP(IF(MOD(COLUMN(CB28),2)=1,$A28&amp;"-"&amp;CB$3,$A28&amp;"-"&amp;CA$3),CoSo1[],CB$38,0),"")</f>
        <v>0</v>
      </c>
      <c r="CC28" s="14">
        <f>IFERROR(VLOOKUP(IF(MOD(COLUMN(CC28),2)=1,$A28&amp;"-"&amp;CC$3,$A28&amp;"-"&amp;CB$3),CoSo1[],CC$38,0),"")</f>
        <v>0</v>
      </c>
      <c r="CD28" s="14">
        <f>IFERROR(VLOOKUP(IF(MOD(COLUMN(CD28),2)=1,$A28&amp;"-"&amp;CD$3,$A28&amp;"-"&amp;CC$3),CoSo1[],CD$38,0),"")</f>
        <v>0</v>
      </c>
      <c r="CE28" s="14">
        <f>IFERROR(VLOOKUP(IF(MOD(COLUMN(CE28),2)=1,$A28&amp;"-"&amp;CE$3,$A28&amp;"-"&amp;CD$3),CoSo1[],CE$38,0),"")</f>
        <v>0</v>
      </c>
      <c r="CF28" s="14">
        <f>IFERROR(VLOOKUP(IF(MOD(COLUMN(CF28),2)=1,$A28&amp;"-"&amp;CF$3,$A28&amp;"-"&amp;CE$3),CoSo1[],CF$38,0),"")</f>
        <v>0</v>
      </c>
      <c r="CG28" s="14">
        <f>IFERROR(VLOOKUP(IF(MOD(COLUMN(CG28),2)=1,$A28&amp;"-"&amp;CG$3,$A28&amp;"-"&amp;CF$3),CoSo1[],CG$38,0),"")</f>
        <v>0</v>
      </c>
      <c r="CH28" s="14">
        <f>IFERROR(VLOOKUP(IF(MOD(COLUMN(CH28),2)=1,$A28&amp;"-"&amp;CH$3,$A28&amp;"-"&amp;CG$3),CoSo1[],CH$38,0),"")</f>
        <v>0</v>
      </c>
      <c r="CI28" s="11">
        <f t="shared" si="9"/>
        <v>60</v>
      </c>
      <c r="CJ28" s="11">
        <f t="shared" si="9"/>
        <v>1</v>
      </c>
      <c r="CK28" s="14"/>
    </row>
    <row r="29" spans="1:89" x14ac:dyDescent="0.25">
      <c r="A29" s="13">
        <v>24</v>
      </c>
      <c r="B29" s="14">
        <f>IFERROR(VLOOKUP(IF(MOD(COLUMN(B29),2)=0,$A29&amp;"-"&amp;B$3,$A29&amp;"-"&amp;A$3),CoSo1[],B$38,0),"")</f>
        <v>770</v>
      </c>
      <c r="C29" s="14">
        <f>IFERROR(VLOOKUP(IF(MOD(COLUMN(C29),2)=0,$A29&amp;"-"&amp;C$3,$A29&amp;"-"&amp;B$3),CoSo1[],C$38,0),"")</f>
        <v>9</v>
      </c>
      <c r="D29" s="14">
        <f>IFERROR(VLOOKUP(IF(MOD(COLUMN(D29),2)=0,$A29&amp;"-"&amp;D$3,$A29&amp;"-"&amp;C$3),CoSo1[],D$38,0),"")</f>
        <v>1524</v>
      </c>
      <c r="E29" s="14">
        <f>IFERROR(VLOOKUP(IF(MOD(COLUMN(E29),2)=0,$A29&amp;"-"&amp;E$3,$A29&amp;"-"&amp;D$3),CoSo1[],E$38,0),"")</f>
        <v>15</v>
      </c>
      <c r="F29" s="14">
        <f>IFERROR(VLOOKUP(IF(MOD(COLUMN(F29),2)=0,$A29&amp;"-"&amp;F$3,$A29&amp;"-"&amp;E$3),CoSo1[],F$38,0),"")</f>
        <v>0</v>
      </c>
      <c r="G29" s="14">
        <f>IFERROR(VLOOKUP(IF(MOD(COLUMN(G29),2)=0,$A29&amp;"-"&amp;G$3,$A29&amp;"-"&amp;F$3),CoSo1[],G$38,0),"")</f>
        <v>0</v>
      </c>
      <c r="H29" s="14">
        <f>IFERROR(VLOOKUP(IF(MOD(COLUMN(H29),2)=0,$A29&amp;"-"&amp;H$3,$A29&amp;"-"&amp;G$3),CoSo1[],H$38,0),"")</f>
        <v>470</v>
      </c>
      <c r="I29" s="14">
        <f>IFERROR(VLOOKUP(IF(MOD(COLUMN(I29),2)=0,$A29&amp;"-"&amp;I$3,$A29&amp;"-"&amp;H$3),CoSo1[],I$38,0),"")</f>
        <v>4</v>
      </c>
      <c r="J29" s="14">
        <f>IFERROR(VLOOKUP(IF(MOD(COLUMN(J29),2)=0,$A29&amp;"-"&amp;J$3,$A29&amp;"-"&amp;I$3),CoSo1[],J$38,0),"")</f>
        <v>0</v>
      </c>
      <c r="K29" s="14">
        <f>IFERROR(VLOOKUP(IF(MOD(COLUMN(K29),2)=0,$A29&amp;"-"&amp;K$3,$A29&amp;"-"&amp;J$3),CoSo1[],K$38,0),"")</f>
        <v>0</v>
      </c>
      <c r="L29" s="14">
        <f>IFERROR(VLOOKUP(IF(MOD(COLUMN(L29),2)=0,$A29&amp;"-"&amp;L$3,$A29&amp;"-"&amp;K$3),CoSo1[],L$38,0),"")</f>
        <v>0</v>
      </c>
      <c r="M29" s="14">
        <f>IFERROR(VLOOKUP(IF(MOD(COLUMN(M29),2)=0,$A29&amp;"-"&amp;M$3,$A29&amp;"-"&amp;L$3),CoSo1[],M$38,0),"")</f>
        <v>0</v>
      </c>
      <c r="N29" s="11">
        <f t="shared" si="13"/>
        <v>2764</v>
      </c>
      <c r="O29" s="11">
        <f t="shared" si="14"/>
        <v>28</v>
      </c>
      <c r="P29" s="14"/>
      <c r="Q29" s="14">
        <f>IFERROR(VLOOKUP(IF(MOD(COLUMN(Q29),2)=1,$A29&amp;"-"&amp;Q$3,$A29&amp;"-"&amp;AT$3),CoSo3[],DoanhThuThang!AU$38,0),"")</f>
        <v>70</v>
      </c>
      <c r="R29" s="14">
        <f>IFERROR(VLOOKUP(IF(MOD(COLUMN(R29),2)=1,$A29&amp;"-"&amp;R$3,$A29&amp;"-"&amp;Q$3),CoSo3[],DoanhThuThang!AV$38,0),"")</f>
        <v>3</v>
      </c>
      <c r="S29" s="14">
        <f>IFERROR(VLOOKUP(IF(MOD(COLUMN(S29),2)=1,$A29&amp;"-"&amp;S$3,$A29&amp;"-"&amp;R$3),CoSo3[],DoanhThuThang!AW$38,0),"")</f>
        <v>702</v>
      </c>
      <c r="T29" s="14">
        <f>IFERROR(VLOOKUP(IF(MOD(COLUMN(T29),2)=1,$A29&amp;"-"&amp;T$3,$A29&amp;"-"&amp;S$3),CoSo3[],DoanhThuThang!AX$38,0),"")</f>
        <v>9</v>
      </c>
      <c r="U29" s="11">
        <f t="shared" si="10"/>
        <v>772</v>
      </c>
      <c r="V29" s="11">
        <f t="shared" si="10"/>
        <v>12</v>
      </c>
      <c r="W29" s="14"/>
      <c r="X29" s="14" t="str">
        <f>IFERROR(VLOOKUP(IF(MOD(COLUMN(BI29),2)=1,$A29&amp;"-"&amp;BI$3,$A29&amp;"-"&amp;BH$3),CoSo4[],DoanhThuThang!BI$38,0),"")</f>
        <v/>
      </c>
      <c r="Y29" s="14" t="str">
        <f>IFERROR(VLOOKUP(IF(MOD(COLUMN(BJ29),2)=1,$A29&amp;"-"&amp;BJ$3,$A29&amp;"-"&amp;BI$3),CoSo4[],DoanhThuThang!BJ$38,0),"")</f>
        <v/>
      </c>
      <c r="Z29" s="14" t="str">
        <f>IFERROR(VLOOKUP(IF(MOD(COLUMN(BK29),2)=1,$A29&amp;"-"&amp;BK$3,$A29&amp;"-"&amp;BJ$3),CoSo4[],DoanhThuThang!BK$38,0),"")</f>
        <v/>
      </c>
      <c r="AA29" s="14" t="str">
        <f>IFERROR(VLOOKUP(IF(MOD(COLUMN(BL29),2)=1,$A29&amp;"-"&amp;BL$3,$A29&amp;"-"&amp;BK$3),CoSo4[],DoanhThuThang!BL$38,0),"")</f>
        <v/>
      </c>
      <c r="AB29" s="11">
        <f t="shared" si="1"/>
        <v>0</v>
      </c>
      <c r="AC29" s="11">
        <f t="shared" si="2"/>
        <v>0</v>
      </c>
      <c r="AD29" s="14"/>
      <c r="AF29" s="14">
        <f>IFERROR(VLOOKUP(IF(MOD(COLUMN(AF29),2)=0,$A29&amp;"-"&amp;AF$3,$A29&amp;"-"&amp;CK$3),CoSo1[],AF$38,0),"")</f>
        <v>0</v>
      </c>
      <c r="AG29" s="14">
        <f>IFERROR(VLOOKUP(IF(MOD(COLUMN(AG29),2)=0,$A29&amp;"-"&amp;AG$3,$A29&amp;"-"&amp;AF$3),CoSo1[],AG$38,0),"")</f>
        <v>0</v>
      </c>
      <c r="AH29" s="14">
        <f>IFERROR(VLOOKUP(IF(MOD(COLUMN(AH29),2)=0,$A29&amp;"-"&amp;AH$3,$A29&amp;"-"&amp;AG$3),CoSo1[],AH$38,0),"")</f>
        <v>0</v>
      </c>
      <c r="AI29" s="14">
        <f>IFERROR(VLOOKUP(IF(MOD(COLUMN(AI29),2)=0,$A29&amp;"-"&amp;AI$3,$A29&amp;"-"&amp;AH$3),CoSo1[],AI$38,0),"")</f>
        <v>0</v>
      </c>
      <c r="AJ29" s="14">
        <f>IFERROR(VLOOKUP(IF(MOD(COLUMN(AJ29),2)=0,$A29&amp;"-"&amp;AJ$3,$A29&amp;"-"&amp;AI$3),CoSo1[],AJ$38,0),"")</f>
        <v>0</v>
      </c>
      <c r="AK29" s="14">
        <f>IFERROR(VLOOKUP(IF(MOD(COLUMN(AK29),2)=0,$A29&amp;"-"&amp;AK$3,$A29&amp;"-"&amp;AJ$3),CoSo1[],AK$38,0),"")</f>
        <v>0</v>
      </c>
      <c r="AL29" s="14">
        <f>IFERROR(VLOOKUP(IF(MOD(COLUMN(AL29),2)=0,$A29&amp;"-"&amp;AL$3,$A29&amp;"-"&amp;AK$3),CoSo1[],AL$38,0),"")</f>
        <v>0</v>
      </c>
      <c r="AM29" s="14">
        <f>IFERROR(VLOOKUP(IF(MOD(COLUMN(AM29),2)=0,$A29&amp;"-"&amp;AM$3,$A29&amp;"-"&amp;AL$3),CoSo1[],AM$38,0),"")</f>
        <v>0</v>
      </c>
      <c r="AN29" s="14">
        <f>IFERROR(VLOOKUP(IF(MOD(COLUMN(AN29),2)=0,$A29&amp;"-"&amp;AN$3,$A29&amp;"-"&amp;AM$3),CoSo1[],AN$38,0),"")</f>
        <v>0</v>
      </c>
      <c r="AO29" s="14">
        <f>IFERROR(VLOOKUP(IF(MOD(COLUMN(AO29),2)=0,$A29&amp;"-"&amp;AO$3,$A29&amp;"-"&amp;AN$3),CoSo1[],AO$38,0),"")</f>
        <v>0</v>
      </c>
      <c r="AP29" s="14">
        <f>IFERROR(VLOOKUP(IF(MOD(COLUMN(AP29),2)=0,$A29&amp;"-"&amp;AP$3,$A29&amp;"-"&amp;AO$3),CoSo1[],AP$38,0),"")</f>
        <v>0</v>
      </c>
      <c r="AQ29" s="14">
        <f>IFERROR(VLOOKUP(IF(MOD(COLUMN(AQ29),2)=0,$A29&amp;"-"&amp;AQ$3,$A29&amp;"-"&amp;AP$3),CoSo1[],AQ$38,0),"")</f>
        <v>0</v>
      </c>
      <c r="AR29" s="11">
        <f t="shared" si="4"/>
        <v>0</v>
      </c>
      <c r="AS29" s="11">
        <f t="shared" si="4"/>
        <v>0</v>
      </c>
      <c r="AT29" s="14"/>
      <c r="BB29" s="14">
        <f>IFERROR(VLOOKUP(IF(MOD(COLUMN(BB29),2)=0,$A29&amp;"-"&amp;BB$3,$A29&amp;"-"&amp;W$3),CoSo3[],DoanhThuThang!BB$38,0),"")</f>
        <v>0</v>
      </c>
      <c r="BC29" s="14">
        <f>IFERROR(VLOOKUP(IF(MOD(COLUMN(BC29),2)=0,$A29&amp;"-"&amp;BC$3,$A29&amp;"-"&amp;BB$3),CoSo3[],DoanhThuThang!BC$38,0),"")</f>
        <v>0</v>
      </c>
      <c r="BD29" s="14">
        <f>IFERROR(VLOOKUP(IF(MOD(COLUMN(BD29),2)=0,$A29&amp;"-"&amp;BD$3,$A29&amp;"-"&amp;BC$3),CoSo3[],DoanhThuThang!BD$38,0),"")</f>
        <v>0</v>
      </c>
      <c r="BE29" s="14">
        <f>IFERROR(VLOOKUP(IF(MOD(COLUMN(BE29),2)=0,$A29&amp;"-"&amp;BE$3,$A29&amp;"-"&amp;BD$3),CoSo3[],DoanhThuThang!BE$38,0),"")</f>
        <v>0</v>
      </c>
      <c r="BF29" s="11">
        <f t="shared" si="11"/>
        <v>0</v>
      </c>
      <c r="BG29" s="11">
        <f t="shared" si="11"/>
        <v>0</v>
      </c>
      <c r="BH29" s="14"/>
      <c r="BI29" s="14" t="str">
        <f>IFERROR(VLOOKUP(IF(MOD(COLUMN(BI29),2)=1,$A29&amp;"-"&amp;BI$3,$A29&amp;"-"&amp;BH$3),CoSo4[],DoanhThuThang!BI$38,0),"")</f>
        <v/>
      </c>
      <c r="BJ29" s="14" t="str">
        <f>IFERROR(VLOOKUP(IF(MOD(COLUMN(BJ29),2)=1,$A29&amp;"-"&amp;BJ$3,$A29&amp;"-"&amp;BI$3),CoSo4[],DoanhThuThang!BJ$38,0),"")</f>
        <v/>
      </c>
      <c r="BK29" s="14" t="str">
        <f>IFERROR(VLOOKUP(IF(MOD(COLUMN(BK29),2)=1,$A29&amp;"-"&amp;BK$3,$A29&amp;"-"&amp;BJ$3),CoSo4[],DoanhThuThang!BK$38,0),"")</f>
        <v/>
      </c>
      <c r="BL29" s="14" t="str">
        <f>IFERROR(VLOOKUP(IF(MOD(COLUMN(BL29),2)=1,$A29&amp;"-"&amp;BL$3,$A29&amp;"-"&amp;BK$3),CoSo4[],DoanhThuThang!BL$38,0),"")</f>
        <v/>
      </c>
      <c r="BM29" s="11">
        <f t="shared" si="6"/>
        <v>0</v>
      </c>
      <c r="BN29" s="11">
        <f t="shared" si="7"/>
        <v>0</v>
      </c>
      <c r="BO29" s="14"/>
      <c r="BP29" s="14" t="str">
        <f>IFERROR(VLOOKUP(IF(MOD(COLUMN(BP29),2)=0,$A29&amp;"-"&amp;BP$3,$A29&amp;"-"&amp;BO$3),CoSo4[],DoanhThuThang!BP$38,0),"")</f>
        <v/>
      </c>
      <c r="BQ29" s="14" t="str">
        <f>IFERROR(VLOOKUP(IF(MOD(COLUMN(BQ29),2)=0,$A29&amp;"-"&amp;BQ$3,$A29&amp;"-"&amp;BP$3),CoSo4[],DoanhThuThang!BQ$38,0),"")</f>
        <v/>
      </c>
      <c r="BR29" s="14" t="str">
        <f>IFERROR(VLOOKUP(IF(MOD(COLUMN(BR29),2)=0,$A29&amp;"-"&amp;BR$3,$A29&amp;"-"&amp;BQ$3),CoSo4[],DoanhThuThang!BR$38,0),"")</f>
        <v/>
      </c>
      <c r="BS29" s="14" t="str">
        <f>IFERROR(VLOOKUP(IF(MOD(COLUMN(BS29),2)=0,$A29&amp;"-"&amp;BS$3,$A29&amp;"-"&amp;BR$3),CoSo4[],DoanhThuThang!BS$38,0),"")</f>
        <v/>
      </c>
      <c r="BT29" s="11">
        <f t="shared" si="12"/>
        <v>0</v>
      </c>
      <c r="BU29" s="11">
        <f t="shared" si="12"/>
        <v>0</v>
      </c>
      <c r="BV29" s="14"/>
      <c r="BW29" s="14">
        <f>IFERROR(VLOOKUP(IF(MOD(COLUMN(BW29),2)=1,$A29&amp;"-"&amp;BW$3,$A29&amp;"-"&amp;P$3),CoSo1[],BW$38,0),"")</f>
        <v>0</v>
      </c>
      <c r="BX29" s="14">
        <f>IFERROR(VLOOKUP(IF(MOD(COLUMN(BX29),2)=1,$A29&amp;"-"&amp;BX$3,$A29&amp;"-"&amp;BW$3),CoSo1[],BX$38,0),"")</f>
        <v>0</v>
      </c>
      <c r="BY29" s="14">
        <f>IFERROR(VLOOKUP(IF(MOD(COLUMN(BY29),2)=1,$A29&amp;"-"&amp;BY$3,$A29&amp;"-"&amp;BX$3),CoSo1[],BY$38,0),"")</f>
        <v>0</v>
      </c>
      <c r="BZ29" s="14">
        <f>IFERROR(VLOOKUP(IF(MOD(COLUMN(BZ29),2)=1,$A29&amp;"-"&amp;BZ$3,$A29&amp;"-"&amp;BY$3),CoSo1[],BZ$38,0),"")</f>
        <v>0</v>
      </c>
      <c r="CA29" s="14">
        <f>IFERROR(VLOOKUP(IF(MOD(COLUMN(CA29),2)=1,$A29&amp;"-"&amp;CA$3,$A29&amp;"-"&amp;BZ$3),CoSo1[],CA$38,0),"")</f>
        <v>0</v>
      </c>
      <c r="CB29" s="14">
        <f>IFERROR(VLOOKUP(IF(MOD(COLUMN(CB29),2)=1,$A29&amp;"-"&amp;CB$3,$A29&amp;"-"&amp;CA$3),CoSo1[],CB$38,0),"")</f>
        <v>0</v>
      </c>
      <c r="CC29" s="14">
        <f>IFERROR(VLOOKUP(IF(MOD(COLUMN(CC29),2)=1,$A29&amp;"-"&amp;CC$3,$A29&amp;"-"&amp;CB$3),CoSo1[],CC$38,0),"")</f>
        <v>0</v>
      </c>
      <c r="CD29" s="14">
        <f>IFERROR(VLOOKUP(IF(MOD(COLUMN(CD29),2)=1,$A29&amp;"-"&amp;CD$3,$A29&amp;"-"&amp;CC$3),CoSo1[],CD$38,0),"")</f>
        <v>0</v>
      </c>
      <c r="CE29" s="14">
        <f>IFERROR(VLOOKUP(IF(MOD(COLUMN(CE29),2)=1,$A29&amp;"-"&amp;CE$3,$A29&amp;"-"&amp;CD$3),CoSo1[],CE$38,0),"")</f>
        <v>0</v>
      </c>
      <c r="CF29" s="14">
        <f>IFERROR(VLOOKUP(IF(MOD(COLUMN(CF29),2)=1,$A29&amp;"-"&amp;CF$3,$A29&amp;"-"&amp;CE$3),CoSo1[],CF$38,0),"")</f>
        <v>0</v>
      </c>
      <c r="CG29" s="14">
        <f>IFERROR(VLOOKUP(IF(MOD(COLUMN(CG29),2)=1,$A29&amp;"-"&amp;CG$3,$A29&amp;"-"&amp;CF$3),CoSo1[],CG$38,0),"")</f>
        <v>0</v>
      </c>
      <c r="CH29" s="14">
        <f>IFERROR(VLOOKUP(IF(MOD(COLUMN(CH29),2)=1,$A29&amp;"-"&amp;CH$3,$A29&amp;"-"&amp;CG$3),CoSo1[],CH$38,0),"")</f>
        <v>0</v>
      </c>
      <c r="CI29" s="11">
        <f t="shared" si="9"/>
        <v>0</v>
      </c>
      <c r="CJ29" s="11">
        <f t="shared" si="9"/>
        <v>0</v>
      </c>
      <c r="CK29" s="14"/>
    </row>
    <row r="30" spans="1:89" x14ac:dyDescent="0.25">
      <c r="A30" s="13">
        <v>25</v>
      </c>
      <c r="B30" s="14">
        <f>IFERROR(VLOOKUP(IF(MOD(COLUMN(B30),2)=0,$A30&amp;"-"&amp;B$3,$A30&amp;"-"&amp;A$3),CoSo1[],B$38,0),"")</f>
        <v>831</v>
      </c>
      <c r="C30" s="14">
        <f>IFERROR(VLOOKUP(IF(MOD(COLUMN(C30),2)=0,$A30&amp;"-"&amp;C$3,$A30&amp;"-"&amp;B$3),CoSo1[],C$38,0),"")</f>
        <v>10</v>
      </c>
      <c r="D30" s="14">
        <f>IFERROR(VLOOKUP(IF(MOD(COLUMN(D30),2)=0,$A30&amp;"-"&amp;D$3,$A30&amp;"-"&amp;C$3),CoSo1[],D$38,0),"")</f>
        <v>1011</v>
      </c>
      <c r="E30" s="14">
        <f>IFERROR(VLOOKUP(IF(MOD(COLUMN(E30),2)=0,$A30&amp;"-"&amp;E$3,$A30&amp;"-"&amp;D$3),CoSo1[],E$38,0),"")</f>
        <v>17</v>
      </c>
      <c r="F30" s="14">
        <f>IFERROR(VLOOKUP(IF(MOD(COLUMN(F30),2)=0,$A30&amp;"-"&amp;F$3,$A30&amp;"-"&amp;E$3),CoSo1[],F$38,0),"")</f>
        <v>0</v>
      </c>
      <c r="G30" s="14">
        <f>IFERROR(VLOOKUP(IF(MOD(COLUMN(G30),2)=0,$A30&amp;"-"&amp;G$3,$A30&amp;"-"&amp;F$3),CoSo1[],G$38,0),"")</f>
        <v>0</v>
      </c>
      <c r="H30" s="14">
        <f>IFERROR(VLOOKUP(IF(MOD(COLUMN(H30),2)=0,$A30&amp;"-"&amp;H$3,$A30&amp;"-"&amp;G$3),CoSo1[],H$38,0),"")</f>
        <v>73</v>
      </c>
      <c r="I30" s="14">
        <f>IFERROR(VLOOKUP(IF(MOD(COLUMN(I30),2)=0,$A30&amp;"-"&amp;I$3,$A30&amp;"-"&amp;H$3),CoSo1[],I$38,0),"")</f>
        <v>1</v>
      </c>
      <c r="J30" s="14">
        <f>IFERROR(VLOOKUP(IF(MOD(COLUMN(J30),2)=0,$A30&amp;"-"&amp;J$3,$A30&amp;"-"&amp;I$3),CoSo1[],J$38,0),"")</f>
        <v>0</v>
      </c>
      <c r="K30" s="14">
        <f>IFERROR(VLOOKUP(IF(MOD(COLUMN(K30),2)=0,$A30&amp;"-"&amp;K$3,$A30&amp;"-"&amp;J$3),CoSo1[],K$38,0),"")</f>
        <v>0</v>
      </c>
      <c r="L30" s="14">
        <f>IFERROR(VLOOKUP(IF(MOD(COLUMN(L30),2)=0,$A30&amp;"-"&amp;L$3,$A30&amp;"-"&amp;K$3),CoSo1[],L$38,0),"")</f>
        <v>0</v>
      </c>
      <c r="M30" s="14">
        <f>IFERROR(VLOOKUP(IF(MOD(COLUMN(M30),2)=0,$A30&amp;"-"&amp;M$3,$A30&amp;"-"&amp;L$3),CoSo1[],M$38,0),"")</f>
        <v>0</v>
      </c>
      <c r="N30" s="11">
        <f t="shared" si="13"/>
        <v>1915</v>
      </c>
      <c r="O30" s="11">
        <f t="shared" si="14"/>
        <v>28</v>
      </c>
      <c r="P30" s="14"/>
      <c r="Q30" s="14">
        <f>IFERROR(VLOOKUP(IF(MOD(COLUMN(Q30),2)=1,$A30&amp;"-"&amp;Q$3,$A30&amp;"-"&amp;AT$3),CoSo3[],DoanhThuThang!AU$38,0),"")</f>
        <v>137</v>
      </c>
      <c r="R30" s="14">
        <f>IFERROR(VLOOKUP(IF(MOD(COLUMN(R30),2)=1,$A30&amp;"-"&amp;R$3,$A30&amp;"-"&amp;Q$3),CoSo3[],DoanhThuThang!AV$38,0),"")</f>
        <v>3</v>
      </c>
      <c r="S30" s="14">
        <f>IFERROR(VLOOKUP(IF(MOD(COLUMN(S30),2)=1,$A30&amp;"-"&amp;S$3,$A30&amp;"-"&amp;R$3),CoSo3[],DoanhThuThang!AW$38,0),"")</f>
        <v>450</v>
      </c>
      <c r="T30" s="14">
        <f>IFERROR(VLOOKUP(IF(MOD(COLUMN(T30),2)=1,$A30&amp;"-"&amp;T$3,$A30&amp;"-"&amp;S$3),CoSo3[],DoanhThuThang!AX$38,0),"")</f>
        <v>4</v>
      </c>
      <c r="U30" s="11">
        <f t="shared" si="10"/>
        <v>587</v>
      </c>
      <c r="V30" s="11">
        <f t="shared" si="10"/>
        <v>7</v>
      </c>
      <c r="W30" s="14"/>
      <c r="X30" s="14" t="str">
        <f>IFERROR(VLOOKUP(IF(MOD(COLUMN(BI30),2)=1,$A30&amp;"-"&amp;BI$3,$A30&amp;"-"&amp;BH$3),CoSo4[],DoanhThuThang!BI$38,0),"")</f>
        <v/>
      </c>
      <c r="Y30" s="14" t="str">
        <f>IFERROR(VLOOKUP(IF(MOD(COLUMN(BJ30),2)=1,$A30&amp;"-"&amp;BJ$3,$A30&amp;"-"&amp;BI$3),CoSo4[],DoanhThuThang!BJ$38,0),"")</f>
        <v/>
      </c>
      <c r="Z30" s="14" t="str">
        <f>IFERROR(VLOOKUP(IF(MOD(COLUMN(BK30),2)=1,$A30&amp;"-"&amp;BK$3,$A30&amp;"-"&amp;BJ$3),CoSo4[],DoanhThuThang!BK$38,0),"")</f>
        <v/>
      </c>
      <c r="AA30" s="14" t="str">
        <f>IFERROR(VLOOKUP(IF(MOD(COLUMN(BL30),2)=1,$A30&amp;"-"&amp;BL$3,$A30&amp;"-"&amp;BK$3),CoSo4[],DoanhThuThang!BL$38,0),"")</f>
        <v/>
      </c>
      <c r="AB30" s="11">
        <f t="shared" si="1"/>
        <v>0</v>
      </c>
      <c r="AC30" s="11">
        <f t="shared" si="2"/>
        <v>0</v>
      </c>
      <c r="AD30" s="14"/>
      <c r="AF30" s="14">
        <f>IFERROR(VLOOKUP(IF(MOD(COLUMN(AF30),2)=0,$A30&amp;"-"&amp;AF$3,$A30&amp;"-"&amp;CK$3),CoSo1[],AF$38,0),"")</f>
        <v>0</v>
      </c>
      <c r="AG30" s="14">
        <f>IFERROR(VLOOKUP(IF(MOD(COLUMN(AG30),2)=0,$A30&amp;"-"&amp;AG$3,$A30&amp;"-"&amp;AF$3),CoSo1[],AG$38,0),"")</f>
        <v>0</v>
      </c>
      <c r="AH30" s="14">
        <f>IFERROR(VLOOKUP(IF(MOD(COLUMN(AH30),2)=0,$A30&amp;"-"&amp;AH$3,$A30&amp;"-"&amp;AG$3),CoSo1[],AH$38,0),"")</f>
        <v>45</v>
      </c>
      <c r="AI30" s="14">
        <f>IFERROR(VLOOKUP(IF(MOD(COLUMN(AI30),2)=0,$A30&amp;"-"&amp;AI$3,$A30&amp;"-"&amp;AH$3),CoSo1[],AI$38,0),"")</f>
        <v>1</v>
      </c>
      <c r="AJ30" s="14">
        <f>IFERROR(VLOOKUP(IF(MOD(COLUMN(AJ30),2)=0,$A30&amp;"-"&amp;AJ$3,$A30&amp;"-"&amp;AI$3),CoSo1[],AJ$38,0),"")</f>
        <v>0</v>
      </c>
      <c r="AK30" s="14">
        <f>IFERROR(VLOOKUP(IF(MOD(COLUMN(AK30),2)=0,$A30&amp;"-"&amp;AK$3,$A30&amp;"-"&amp;AJ$3),CoSo1[],AK$38,0),"")</f>
        <v>0</v>
      </c>
      <c r="AL30" s="14">
        <f>IFERROR(VLOOKUP(IF(MOD(COLUMN(AL30),2)=0,$A30&amp;"-"&amp;AL$3,$A30&amp;"-"&amp;AK$3),CoSo1[],AL$38,0),"")</f>
        <v>0</v>
      </c>
      <c r="AM30" s="14">
        <f>IFERROR(VLOOKUP(IF(MOD(COLUMN(AM30),2)=0,$A30&amp;"-"&amp;AM$3,$A30&amp;"-"&amp;AL$3),CoSo1[],AM$38,0),"")</f>
        <v>0</v>
      </c>
      <c r="AN30" s="14">
        <f>IFERROR(VLOOKUP(IF(MOD(COLUMN(AN30),2)=0,$A30&amp;"-"&amp;AN$3,$A30&amp;"-"&amp;AM$3),CoSo1[],AN$38,0),"")</f>
        <v>0</v>
      </c>
      <c r="AO30" s="14">
        <f>IFERROR(VLOOKUP(IF(MOD(COLUMN(AO30),2)=0,$A30&amp;"-"&amp;AO$3,$A30&amp;"-"&amp;AN$3),CoSo1[],AO$38,0),"")</f>
        <v>0</v>
      </c>
      <c r="AP30" s="14">
        <f>IFERROR(VLOOKUP(IF(MOD(COLUMN(AP30),2)=0,$A30&amp;"-"&amp;AP$3,$A30&amp;"-"&amp;AO$3),CoSo1[],AP$38,0),"")</f>
        <v>0</v>
      </c>
      <c r="AQ30" s="14">
        <f>IFERROR(VLOOKUP(IF(MOD(COLUMN(AQ30),2)=0,$A30&amp;"-"&amp;AQ$3,$A30&amp;"-"&amp;AP$3),CoSo1[],AQ$38,0),"")</f>
        <v>0</v>
      </c>
      <c r="AR30" s="11">
        <f t="shared" si="4"/>
        <v>45</v>
      </c>
      <c r="AS30" s="11">
        <f t="shared" si="4"/>
        <v>1</v>
      </c>
      <c r="AT30" s="14"/>
      <c r="BB30" s="14">
        <f>IFERROR(VLOOKUP(IF(MOD(COLUMN(BB30),2)=0,$A30&amp;"-"&amp;BB$3,$A30&amp;"-"&amp;W$3),CoSo3[],DoanhThuThang!BB$38,0),"")</f>
        <v>0</v>
      </c>
      <c r="BC30" s="14">
        <f>IFERROR(VLOOKUP(IF(MOD(COLUMN(BC30),2)=0,$A30&amp;"-"&amp;BC$3,$A30&amp;"-"&amp;BB$3),CoSo3[],DoanhThuThang!BC$38,0),"")</f>
        <v>0</v>
      </c>
      <c r="BD30" s="14">
        <f>IFERROR(VLOOKUP(IF(MOD(COLUMN(BD30),2)=0,$A30&amp;"-"&amp;BD$3,$A30&amp;"-"&amp;BC$3),CoSo3[],DoanhThuThang!BD$38,0),"")</f>
        <v>0</v>
      </c>
      <c r="BE30" s="14">
        <f>IFERROR(VLOOKUP(IF(MOD(COLUMN(BE30),2)=0,$A30&amp;"-"&amp;BE$3,$A30&amp;"-"&amp;BD$3),CoSo3[],DoanhThuThang!BE$38,0),"")</f>
        <v>0</v>
      </c>
      <c r="BF30" s="11">
        <f t="shared" si="11"/>
        <v>0</v>
      </c>
      <c r="BG30" s="11">
        <f t="shared" si="11"/>
        <v>0</v>
      </c>
      <c r="BH30" s="14"/>
      <c r="BI30" s="14" t="str">
        <f>IFERROR(VLOOKUP(IF(MOD(COLUMN(BI30),2)=1,$A30&amp;"-"&amp;BI$3,$A30&amp;"-"&amp;BH$3),CoSo4[],DoanhThuThang!BI$38,0),"")</f>
        <v/>
      </c>
      <c r="BJ30" s="14" t="str">
        <f>IFERROR(VLOOKUP(IF(MOD(COLUMN(BJ30),2)=1,$A30&amp;"-"&amp;BJ$3,$A30&amp;"-"&amp;BI$3),CoSo4[],DoanhThuThang!BJ$38,0),"")</f>
        <v/>
      </c>
      <c r="BK30" s="14" t="str">
        <f>IFERROR(VLOOKUP(IF(MOD(COLUMN(BK30),2)=1,$A30&amp;"-"&amp;BK$3,$A30&amp;"-"&amp;BJ$3),CoSo4[],DoanhThuThang!BK$38,0),"")</f>
        <v/>
      </c>
      <c r="BL30" s="14" t="str">
        <f>IFERROR(VLOOKUP(IF(MOD(COLUMN(BL30),2)=1,$A30&amp;"-"&amp;BL$3,$A30&amp;"-"&amp;BK$3),CoSo4[],DoanhThuThang!BL$38,0),"")</f>
        <v/>
      </c>
      <c r="BM30" s="11">
        <f t="shared" si="6"/>
        <v>0</v>
      </c>
      <c r="BN30" s="11">
        <f t="shared" si="7"/>
        <v>0</v>
      </c>
      <c r="BO30" s="14"/>
      <c r="BP30" s="14" t="str">
        <f>IFERROR(VLOOKUP(IF(MOD(COLUMN(BP30),2)=0,$A30&amp;"-"&amp;BP$3,$A30&amp;"-"&amp;BO$3),CoSo4[],DoanhThuThang!BP$38,0),"")</f>
        <v/>
      </c>
      <c r="BQ30" s="14" t="str">
        <f>IFERROR(VLOOKUP(IF(MOD(COLUMN(BQ30),2)=0,$A30&amp;"-"&amp;BQ$3,$A30&amp;"-"&amp;BP$3),CoSo4[],DoanhThuThang!BQ$38,0),"")</f>
        <v/>
      </c>
      <c r="BR30" s="14" t="str">
        <f>IFERROR(VLOOKUP(IF(MOD(COLUMN(BR30),2)=0,$A30&amp;"-"&amp;BR$3,$A30&amp;"-"&amp;BQ$3),CoSo4[],DoanhThuThang!BR$38,0),"")</f>
        <v/>
      </c>
      <c r="BS30" s="14" t="str">
        <f>IFERROR(VLOOKUP(IF(MOD(COLUMN(BS30),2)=0,$A30&amp;"-"&amp;BS$3,$A30&amp;"-"&amp;BR$3),CoSo4[],DoanhThuThang!BS$38,0),"")</f>
        <v/>
      </c>
      <c r="BT30" s="11">
        <f t="shared" si="12"/>
        <v>0</v>
      </c>
      <c r="BU30" s="11">
        <f t="shared" si="12"/>
        <v>0</v>
      </c>
      <c r="BV30" s="14"/>
      <c r="BW30" s="14">
        <f>IFERROR(VLOOKUP(IF(MOD(COLUMN(BW30),2)=1,$A30&amp;"-"&amp;BW$3,$A30&amp;"-"&amp;P$3),CoSo1[],BW$38,0),"")</f>
        <v>0</v>
      </c>
      <c r="BX30" s="14">
        <f>IFERROR(VLOOKUP(IF(MOD(COLUMN(BX30),2)=1,$A30&amp;"-"&amp;BX$3,$A30&amp;"-"&amp;BW$3),CoSo1[],BX$38,0),"")</f>
        <v>0</v>
      </c>
      <c r="BY30" s="14">
        <f>IFERROR(VLOOKUP(IF(MOD(COLUMN(BY30),2)=1,$A30&amp;"-"&amp;BY$3,$A30&amp;"-"&amp;BX$3),CoSo1[],BY$38,0),"")</f>
        <v>182</v>
      </c>
      <c r="BZ30" s="14">
        <f>IFERROR(VLOOKUP(IF(MOD(COLUMN(BZ30),2)=1,$A30&amp;"-"&amp;BZ$3,$A30&amp;"-"&amp;BY$3),CoSo1[],BZ$38,0),"")</f>
        <v>2</v>
      </c>
      <c r="CA30" s="14">
        <f>IFERROR(VLOOKUP(IF(MOD(COLUMN(CA30),2)=1,$A30&amp;"-"&amp;CA$3,$A30&amp;"-"&amp;BZ$3),CoSo1[],CA$38,0),"")</f>
        <v>0</v>
      </c>
      <c r="CB30" s="14">
        <f>IFERROR(VLOOKUP(IF(MOD(COLUMN(CB30),2)=1,$A30&amp;"-"&amp;CB$3,$A30&amp;"-"&amp;CA$3),CoSo1[],CB$38,0),"")</f>
        <v>0</v>
      </c>
      <c r="CC30" s="14">
        <f>IFERROR(VLOOKUP(IF(MOD(COLUMN(CC30),2)=1,$A30&amp;"-"&amp;CC$3,$A30&amp;"-"&amp;CB$3),CoSo1[],CC$38,0),"")</f>
        <v>0</v>
      </c>
      <c r="CD30" s="14">
        <f>IFERROR(VLOOKUP(IF(MOD(COLUMN(CD30),2)=1,$A30&amp;"-"&amp;CD$3,$A30&amp;"-"&amp;CC$3),CoSo1[],CD$38,0),"")</f>
        <v>0</v>
      </c>
      <c r="CE30" s="14">
        <f>IFERROR(VLOOKUP(IF(MOD(COLUMN(CE30),2)=1,$A30&amp;"-"&amp;CE$3,$A30&amp;"-"&amp;CD$3),CoSo1[],CE$38,0),"")</f>
        <v>0</v>
      </c>
      <c r="CF30" s="14">
        <f>IFERROR(VLOOKUP(IF(MOD(COLUMN(CF30),2)=1,$A30&amp;"-"&amp;CF$3,$A30&amp;"-"&amp;CE$3),CoSo1[],CF$38,0),"")</f>
        <v>0</v>
      </c>
      <c r="CG30" s="14">
        <f>IFERROR(VLOOKUP(IF(MOD(COLUMN(CG30),2)=1,$A30&amp;"-"&amp;CG$3,$A30&amp;"-"&amp;CF$3),CoSo1[],CG$38,0),"")</f>
        <v>0</v>
      </c>
      <c r="CH30" s="14">
        <f>IFERROR(VLOOKUP(IF(MOD(COLUMN(CH30),2)=1,$A30&amp;"-"&amp;CH$3,$A30&amp;"-"&amp;CG$3),CoSo1[],CH$38,0),"")</f>
        <v>0</v>
      </c>
      <c r="CI30" s="11">
        <f t="shared" si="9"/>
        <v>182</v>
      </c>
      <c r="CJ30" s="11">
        <f t="shared" si="9"/>
        <v>2</v>
      </c>
      <c r="CK30" s="14"/>
    </row>
    <row r="31" spans="1:89" x14ac:dyDescent="0.25">
      <c r="A31" s="13">
        <v>26</v>
      </c>
      <c r="B31" s="14">
        <f>IFERROR(VLOOKUP(IF(MOD(COLUMN(B31),2)=0,$A31&amp;"-"&amp;B$3,$A31&amp;"-"&amp;A$3),CoSo1[],B$38,0),"")</f>
        <v>310</v>
      </c>
      <c r="C31" s="14">
        <f>IFERROR(VLOOKUP(IF(MOD(COLUMN(C31),2)=0,$A31&amp;"-"&amp;C$3,$A31&amp;"-"&amp;B$3),CoSo1[],C$38,0),"")</f>
        <v>2</v>
      </c>
      <c r="D31" s="14">
        <f>IFERROR(VLOOKUP(IF(MOD(COLUMN(D31),2)=0,$A31&amp;"-"&amp;D$3,$A31&amp;"-"&amp;C$3),CoSo1[],D$38,0),"")</f>
        <v>1078</v>
      </c>
      <c r="E31" s="14">
        <f>IFERROR(VLOOKUP(IF(MOD(COLUMN(E31),2)=0,$A31&amp;"-"&amp;E$3,$A31&amp;"-"&amp;D$3),CoSo1[],E$38,0),"")</f>
        <v>16</v>
      </c>
      <c r="F31" s="14">
        <f>IFERROR(VLOOKUP(IF(MOD(COLUMN(F31),2)=0,$A31&amp;"-"&amp;F$3,$A31&amp;"-"&amp;E$3),CoSo1[],F$38,0),"")</f>
        <v>0</v>
      </c>
      <c r="G31" s="14">
        <f>IFERROR(VLOOKUP(IF(MOD(COLUMN(G31),2)=0,$A31&amp;"-"&amp;G$3,$A31&amp;"-"&amp;F$3),CoSo1[],G$38,0),"")</f>
        <v>0</v>
      </c>
      <c r="H31" s="14">
        <f>IFERROR(VLOOKUP(IF(MOD(COLUMN(H31),2)=0,$A31&amp;"-"&amp;H$3,$A31&amp;"-"&amp;G$3),CoSo1[],H$38,0),"")</f>
        <v>24</v>
      </c>
      <c r="I31" s="14">
        <f>IFERROR(VLOOKUP(IF(MOD(COLUMN(I31),2)=0,$A31&amp;"-"&amp;I$3,$A31&amp;"-"&amp;H$3),CoSo1[],I$38,0),"")</f>
        <v>1</v>
      </c>
      <c r="J31" s="14">
        <f>IFERROR(VLOOKUP(IF(MOD(COLUMN(J31),2)=0,$A31&amp;"-"&amp;J$3,$A31&amp;"-"&amp;I$3),CoSo1[],J$38,0),"")</f>
        <v>0</v>
      </c>
      <c r="K31" s="14">
        <f>IFERROR(VLOOKUP(IF(MOD(COLUMN(K31),2)=0,$A31&amp;"-"&amp;K$3,$A31&amp;"-"&amp;J$3),CoSo1[],K$38,0),"")</f>
        <v>0</v>
      </c>
      <c r="L31" s="14">
        <f>IFERROR(VLOOKUP(IF(MOD(COLUMN(L31),2)=0,$A31&amp;"-"&amp;L$3,$A31&amp;"-"&amp;K$3),CoSo1[],L$38,0),"")</f>
        <v>0</v>
      </c>
      <c r="M31" s="14">
        <f>IFERROR(VLOOKUP(IF(MOD(COLUMN(M31),2)=0,$A31&amp;"-"&amp;M$3,$A31&amp;"-"&amp;L$3),CoSo1[],M$38,0),"")</f>
        <v>0</v>
      </c>
      <c r="N31" s="11">
        <f t="shared" si="13"/>
        <v>1412</v>
      </c>
      <c r="O31" s="11">
        <f t="shared" si="14"/>
        <v>19</v>
      </c>
      <c r="P31" s="14"/>
      <c r="Q31" s="14">
        <f>IFERROR(VLOOKUP(IF(MOD(COLUMN(Q31),2)=1,$A31&amp;"-"&amp;Q$3,$A31&amp;"-"&amp;AT$3),CoSo3[],DoanhThuThang!AU$38,0),"")</f>
        <v>0</v>
      </c>
      <c r="R31" s="14">
        <f>IFERROR(VLOOKUP(IF(MOD(COLUMN(R31),2)=1,$A31&amp;"-"&amp;R$3,$A31&amp;"-"&amp;Q$3),CoSo3[],DoanhThuThang!AV$38,0),"")</f>
        <v>0</v>
      </c>
      <c r="S31" s="14">
        <f>IFERROR(VLOOKUP(IF(MOD(COLUMN(S31),2)=1,$A31&amp;"-"&amp;S$3,$A31&amp;"-"&amp;R$3),CoSo3[],DoanhThuThang!AW$38,0),"")</f>
        <v>584</v>
      </c>
      <c r="T31" s="14">
        <f>IFERROR(VLOOKUP(IF(MOD(COLUMN(T31),2)=1,$A31&amp;"-"&amp;T$3,$A31&amp;"-"&amp;S$3),CoSo3[],DoanhThuThang!AX$38,0),"")</f>
        <v>6</v>
      </c>
      <c r="U31" s="11">
        <f t="shared" si="10"/>
        <v>584</v>
      </c>
      <c r="V31" s="11">
        <f t="shared" si="10"/>
        <v>6</v>
      </c>
      <c r="W31" s="14"/>
      <c r="X31" s="14" t="str">
        <f>IFERROR(VLOOKUP(IF(MOD(COLUMN(BI31),2)=1,$A31&amp;"-"&amp;BI$3,$A31&amp;"-"&amp;BH$3),CoSo4[],DoanhThuThang!BI$38,0),"")</f>
        <v/>
      </c>
      <c r="Y31" s="14" t="str">
        <f>IFERROR(VLOOKUP(IF(MOD(COLUMN(BJ31),2)=1,$A31&amp;"-"&amp;BJ$3,$A31&amp;"-"&amp;BI$3),CoSo4[],DoanhThuThang!BJ$38,0),"")</f>
        <v/>
      </c>
      <c r="Z31" s="14" t="str">
        <f>IFERROR(VLOOKUP(IF(MOD(COLUMN(BK31),2)=1,$A31&amp;"-"&amp;BK$3,$A31&amp;"-"&amp;BJ$3),CoSo4[],DoanhThuThang!BK$38,0),"")</f>
        <v/>
      </c>
      <c r="AA31" s="14" t="str">
        <f>IFERROR(VLOOKUP(IF(MOD(COLUMN(BL31),2)=1,$A31&amp;"-"&amp;BL$3,$A31&amp;"-"&amp;BK$3),CoSo4[],DoanhThuThang!BL$38,0),"")</f>
        <v/>
      </c>
      <c r="AB31" s="11">
        <f t="shared" si="1"/>
        <v>0</v>
      </c>
      <c r="AC31" s="11">
        <f t="shared" si="2"/>
        <v>0</v>
      </c>
      <c r="AD31" s="14"/>
      <c r="AF31" s="14">
        <f>IFERROR(VLOOKUP(IF(MOD(COLUMN(AF31),2)=0,$A31&amp;"-"&amp;AF$3,$A31&amp;"-"&amp;CK$3),CoSo1[],AF$38,0),"")</f>
        <v>0</v>
      </c>
      <c r="AG31" s="14">
        <f>IFERROR(VLOOKUP(IF(MOD(COLUMN(AG31),2)=0,$A31&amp;"-"&amp;AG$3,$A31&amp;"-"&amp;AF$3),CoSo1[],AG$38,0),"")</f>
        <v>0</v>
      </c>
      <c r="AH31" s="14">
        <f>IFERROR(VLOOKUP(IF(MOD(COLUMN(AH31),2)=0,$A31&amp;"-"&amp;AH$3,$A31&amp;"-"&amp;AG$3),CoSo1[],AH$38,0),"")</f>
        <v>90</v>
      </c>
      <c r="AI31" s="14">
        <f>IFERROR(VLOOKUP(IF(MOD(COLUMN(AI31),2)=0,$A31&amp;"-"&amp;AI$3,$A31&amp;"-"&amp;AH$3),CoSo1[],AI$38,0),"")</f>
        <v>1</v>
      </c>
      <c r="AJ31" s="14">
        <f>IFERROR(VLOOKUP(IF(MOD(COLUMN(AJ31),2)=0,$A31&amp;"-"&amp;AJ$3,$A31&amp;"-"&amp;AI$3),CoSo1[],AJ$38,0),"")</f>
        <v>0</v>
      </c>
      <c r="AK31" s="14">
        <f>IFERROR(VLOOKUP(IF(MOD(COLUMN(AK31),2)=0,$A31&amp;"-"&amp;AK$3,$A31&amp;"-"&amp;AJ$3),CoSo1[],AK$38,0),"")</f>
        <v>0</v>
      </c>
      <c r="AL31" s="14">
        <f>IFERROR(VLOOKUP(IF(MOD(COLUMN(AL31),2)=0,$A31&amp;"-"&amp;AL$3,$A31&amp;"-"&amp;AK$3),CoSo1[],AL$38,0),"")</f>
        <v>0</v>
      </c>
      <c r="AM31" s="14">
        <f>IFERROR(VLOOKUP(IF(MOD(COLUMN(AM31),2)=0,$A31&amp;"-"&amp;AM$3,$A31&amp;"-"&amp;AL$3),CoSo1[],AM$38,0),"")</f>
        <v>0</v>
      </c>
      <c r="AN31" s="14">
        <f>IFERROR(VLOOKUP(IF(MOD(COLUMN(AN31),2)=0,$A31&amp;"-"&amp;AN$3,$A31&amp;"-"&amp;AM$3),CoSo1[],AN$38,0),"")</f>
        <v>0</v>
      </c>
      <c r="AO31" s="14">
        <f>IFERROR(VLOOKUP(IF(MOD(COLUMN(AO31),2)=0,$A31&amp;"-"&amp;AO$3,$A31&amp;"-"&amp;AN$3),CoSo1[],AO$38,0),"")</f>
        <v>0</v>
      </c>
      <c r="AP31" s="14">
        <f>IFERROR(VLOOKUP(IF(MOD(COLUMN(AP31),2)=0,$A31&amp;"-"&amp;AP$3,$A31&amp;"-"&amp;AO$3),CoSo1[],AP$38,0),"")</f>
        <v>0</v>
      </c>
      <c r="AQ31" s="14">
        <f>IFERROR(VLOOKUP(IF(MOD(COLUMN(AQ31),2)=0,$A31&amp;"-"&amp;AQ$3,$A31&amp;"-"&amp;AP$3),CoSo1[],AQ$38,0),"")</f>
        <v>0</v>
      </c>
      <c r="AR31" s="11">
        <f t="shared" si="4"/>
        <v>90</v>
      </c>
      <c r="AS31" s="11">
        <f t="shared" si="4"/>
        <v>1</v>
      </c>
      <c r="AT31" s="14"/>
      <c r="BB31" s="14">
        <f>IFERROR(VLOOKUP(IF(MOD(COLUMN(BB31),2)=0,$A31&amp;"-"&amp;BB$3,$A31&amp;"-"&amp;W$3),CoSo3[],DoanhThuThang!BB$38,0),"")</f>
        <v>0</v>
      </c>
      <c r="BC31" s="14">
        <f>IFERROR(VLOOKUP(IF(MOD(COLUMN(BC31),2)=0,$A31&amp;"-"&amp;BC$3,$A31&amp;"-"&amp;BB$3),CoSo3[],DoanhThuThang!BC$38,0),"")</f>
        <v>0</v>
      </c>
      <c r="BD31" s="14">
        <f>IFERROR(VLOOKUP(IF(MOD(COLUMN(BD31),2)=0,$A31&amp;"-"&amp;BD$3,$A31&amp;"-"&amp;BC$3),CoSo3[],DoanhThuThang!BD$38,0),"")</f>
        <v>0</v>
      </c>
      <c r="BE31" s="14">
        <f>IFERROR(VLOOKUP(IF(MOD(COLUMN(BE31),2)=0,$A31&amp;"-"&amp;BE$3,$A31&amp;"-"&amp;BD$3),CoSo3[],DoanhThuThang!BE$38,0),"")</f>
        <v>0</v>
      </c>
      <c r="BF31" s="11">
        <f t="shared" si="11"/>
        <v>0</v>
      </c>
      <c r="BG31" s="11">
        <f t="shared" si="11"/>
        <v>0</v>
      </c>
      <c r="BH31" s="14"/>
      <c r="BI31" s="14" t="str">
        <f>IFERROR(VLOOKUP(IF(MOD(COLUMN(BI31),2)=1,$A31&amp;"-"&amp;BI$3,$A31&amp;"-"&amp;BH$3),CoSo4[],DoanhThuThang!BI$38,0),"")</f>
        <v/>
      </c>
      <c r="BJ31" s="14" t="str">
        <f>IFERROR(VLOOKUP(IF(MOD(COLUMN(BJ31),2)=1,$A31&amp;"-"&amp;BJ$3,$A31&amp;"-"&amp;BI$3),CoSo4[],DoanhThuThang!BJ$38,0),"")</f>
        <v/>
      </c>
      <c r="BK31" s="14" t="str">
        <f>IFERROR(VLOOKUP(IF(MOD(COLUMN(BK31),2)=1,$A31&amp;"-"&amp;BK$3,$A31&amp;"-"&amp;BJ$3),CoSo4[],DoanhThuThang!BK$38,0),"")</f>
        <v/>
      </c>
      <c r="BL31" s="14" t="str">
        <f>IFERROR(VLOOKUP(IF(MOD(COLUMN(BL31),2)=1,$A31&amp;"-"&amp;BL$3,$A31&amp;"-"&amp;BK$3),CoSo4[],DoanhThuThang!BL$38,0),"")</f>
        <v/>
      </c>
      <c r="BM31" s="11">
        <f t="shared" si="6"/>
        <v>0</v>
      </c>
      <c r="BN31" s="11">
        <f t="shared" si="7"/>
        <v>0</v>
      </c>
      <c r="BO31" s="14"/>
      <c r="BP31" s="14" t="str">
        <f>IFERROR(VLOOKUP(IF(MOD(COLUMN(BP31),2)=0,$A31&amp;"-"&amp;BP$3,$A31&amp;"-"&amp;BO$3),CoSo4[],DoanhThuThang!BP$38,0),"")</f>
        <v/>
      </c>
      <c r="BQ31" s="14" t="str">
        <f>IFERROR(VLOOKUP(IF(MOD(COLUMN(BQ31),2)=0,$A31&amp;"-"&amp;BQ$3,$A31&amp;"-"&amp;BP$3),CoSo4[],DoanhThuThang!BQ$38,0),"")</f>
        <v/>
      </c>
      <c r="BR31" s="14" t="str">
        <f>IFERROR(VLOOKUP(IF(MOD(COLUMN(BR31),2)=0,$A31&amp;"-"&amp;BR$3,$A31&amp;"-"&amp;BQ$3),CoSo4[],DoanhThuThang!BR$38,0),"")</f>
        <v/>
      </c>
      <c r="BS31" s="14" t="str">
        <f>IFERROR(VLOOKUP(IF(MOD(COLUMN(BS31),2)=0,$A31&amp;"-"&amp;BS$3,$A31&amp;"-"&amp;BR$3),CoSo4[],DoanhThuThang!BS$38,0),"")</f>
        <v/>
      </c>
      <c r="BT31" s="11">
        <f t="shared" si="12"/>
        <v>0</v>
      </c>
      <c r="BU31" s="11">
        <f t="shared" si="12"/>
        <v>0</v>
      </c>
      <c r="BV31" s="14"/>
      <c r="BW31" s="14">
        <f>IFERROR(VLOOKUP(IF(MOD(COLUMN(BW31),2)=1,$A31&amp;"-"&amp;BW$3,$A31&amp;"-"&amp;P$3),CoSo1[],BW$38,0),"")</f>
        <v>0</v>
      </c>
      <c r="BX31" s="14">
        <f>IFERROR(VLOOKUP(IF(MOD(COLUMN(BX31),2)=1,$A31&amp;"-"&amp;BX$3,$A31&amp;"-"&amp;BW$3),CoSo1[],BX$38,0),"")</f>
        <v>0</v>
      </c>
      <c r="BY31" s="14">
        <f>IFERROR(VLOOKUP(IF(MOD(COLUMN(BY31),2)=1,$A31&amp;"-"&amp;BY$3,$A31&amp;"-"&amp;BX$3),CoSo1[],BY$38,0),"")</f>
        <v>38</v>
      </c>
      <c r="BZ31" s="14">
        <f>IFERROR(VLOOKUP(IF(MOD(COLUMN(BZ31),2)=1,$A31&amp;"-"&amp;BZ$3,$A31&amp;"-"&amp;BY$3),CoSo1[],BZ$38,0),"")</f>
        <v>1</v>
      </c>
      <c r="CA31" s="14">
        <f>IFERROR(VLOOKUP(IF(MOD(COLUMN(CA31),2)=1,$A31&amp;"-"&amp;CA$3,$A31&amp;"-"&amp;BZ$3),CoSo1[],CA$38,0),"")</f>
        <v>0</v>
      </c>
      <c r="CB31" s="14">
        <f>IFERROR(VLOOKUP(IF(MOD(COLUMN(CB31),2)=1,$A31&amp;"-"&amp;CB$3,$A31&amp;"-"&amp;CA$3),CoSo1[],CB$38,0),"")</f>
        <v>0</v>
      </c>
      <c r="CC31" s="14">
        <f>IFERROR(VLOOKUP(IF(MOD(COLUMN(CC31),2)=1,$A31&amp;"-"&amp;CC$3,$A31&amp;"-"&amp;CB$3),CoSo1[],CC$38,0),"")</f>
        <v>0</v>
      </c>
      <c r="CD31" s="14">
        <f>IFERROR(VLOOKUP(IF(MOD(COLUMN(CD31),2)=1,$A31&amp;"-"&amp;CD$3,$A31&amp;"-"&amp;CC$3),CoSo1[],CD$38,0),"")</f>
        <v>0</v>
      </c>
      <c r="CE31" s="14">
        <f>IFERROR(VLOOKUP(IF(MOD(COLUMN(CE31),2)=1,$A31&amp;"-"&amp;CE$3,$A31&amp;"-"&amp;CD$3),CoSo1[],CE$38,0),"")</f>
        <v>0</v>
      </c>
      <c r="CF31" s="14">
        <f>IFERROR(VLOOKUP(IF(MOD(COLUMN(CF31),2)=1,$A31&amp;"-"&amp;CF$3,$A31&amp;"-"&amp;CE$3),CoSo1[],CF$38,0),"")</f>
        <v>0</v>
      </c>
      <c r="CG31" s="14">
        <f>IFERROR(VLOOKUP(IF(MOD(COLUMN(CG31),2)=1,$A31&amp;"-"&amp;CG$3,$A31&amp;"-"&amp;CF$3),CoSo1[],CG$38,0),"")</f>
        <v>0</v>
      </c>
      <c r="CH31" s="14">
        <f>IFERROR(VLOOKUP(IF(MOD(COLUMN(CH31),2)=1,$A31&amp;"-"&amp;CH$3,$A31&amp;"-"&amp;CG$3),CoSo1[],CH$38,0),"")</f>
        <v>0</v>
      </c>
      <c r="CI31" s="11">
        <f t="shared" si="9"/>
        <v>38</v>
      </c>
      <c r="CJ31" s="11">
        <f t="shared" si="9"/>
        <v>1</v>
      </c>
      <c r="CK31" s="14"/>
    </row>
    <row r="32" spans="1:89" x14ac:dyDescent="0.25">
      <c r="A32" s="13">
        <v>27</v>
      </c>
      <c r="B32" s="14">
        <f>IFERROR(VLOOKUP(IF(MOD(COLUMN(B32),2)=0,$A32&amp;"-"&amp;B$3,$A32&amp;"-"&amp;A$3),CoSo1[],B$38,0),"")</f>
        <v>621</v>
      </c>
      <c r="C32" s="14">
        <f>IFERROR(VLOOKUP(IF(MOD(COLUMN(C32),2)=0,$A32&amp;"-"&amp;C$3,$A32&amp;"-"&amp;B$3),CoSo1[],C$38,0),"")</f>
        <v>9</v>
      </c>
      <c r="D32" s="14">
        <f>IFERROR(VLOOKUP(IF(MOD(COLUMN(D32),2)=0,$A32&amp;"-"&amp;D$3,$A32&amp;"-"&amp;C$3),CoSo1[],D$38,0),"")</f>
        <v>319</v>
      </c>
      <c r="E32" s="14">
        <f>IFERROR(VLOOKUP(IF(MOD(COLUMN(E32),2)=0,$A32&amp;"-"&amp;E$3,$A32&amp;"-"&amp;D$3),CoSo1[],E$38,0),"")</f>
        <v>8</v>
      </c>
      <c r="F32" s="14">
        <f>IFERROR(VLOOKUP(IF(MOD(COLUMN(F32),2)=0,$A32&amp;"-"&amp;F$3,$A32&amp;"-"&amp;E$3),CoSo1[],F$38,0),"")</f>
        <v>0</v>
      </c>
      <c r="G32" s="14">
        <f>IFERROR(VLOOKUP(IF(MOD(COLUMN(G32),2)=0,$A32&amp;"-"&amp;G$3,$A32&amp;"-"&amp;F$3),CoSo1[],G$38,0),"")</f>
        <v>0</v>
      </c>
      <c r="H32" s="14">
        <f>IFERROR(VLOOKUP(IF(MOD(COLUMN(H32),2)=0,$A32&amp;"-"&amp;H$3,$A32&amp;"-"&amp;G$3),CoSo1[],H$38,0),"")</f>
        <v>172</v>
      </c>
      <c r="I32" s="14">
        <f>IFERROR(VLOOKUP(IF(MOD(COLUMN(I32),2)=0,$A32&amp;"-"&amp;I$3,$A32&amp;"-"&amp;H$3),CoSo1[],I$38,0),"")</f>
        <v>1</v>
      </c>
      <c r="J32" s="14">
        <f>IFERROR(VLOOKUP(IF(MOD(COLUMN(J32),2)=0,$A32&amp;"-"&amp;J$3,$A32&amp;"-"&amp;I$3),CoSo1[],J$38,0),"")</f>
        <v>0</v>
      </c>
      <c r="K32" s="14">
        <f>IFERROR(VLOOKUP(IF(MOD(COLUMN(K32),2)=0,$A32&amp;"-"&amp;K$3,$A32&amp;"-"&amp;J$3),CoSo1[],K$38,0),"")</f>
        <v>0</v>
      </c>
      <c r="L32" s="14">
        <f>IFERROR(VLOOKUP(IF(MOD(COLUMN(L32),2)=0,$A32&amp;"-"&amp;L$3,$A32&amp;"-"&amp;K$3),CoSo1[],L$38,0),"")</f>
        <v>0</v>
      </c>
      <c r="M32" s="14">
        <f>IFERROR(VLOOKUP(IF(MOD(COLUMN(M32),2)=0,$A32&amp;"-"&amp;M$3,$A32&amp;"-"&amp;L$3),CoSo1[],M$38,0),"")</f>
        <v>0</v>
      </c>
      <c r="N32" s="11">
        <f t="shared" si="13"/>
        <v>1112</v>
      </c>
      <c r="O32" s="11">
        <f t="shared" si="14"/>
        <v>18</v>
      </c>
      <c r="P32" s="14"/>
      <c r="Q32" s="14">
        <f>IFERROR(VLOOKUP(IF(MOD(COLUMN(Q32),2)=1,$A32&amp;"-"&amp;Q$3,$A32&amp;"-"&amp;AT$3),CoSo3[],DoanhThuThang!AU$38,0),"")</f>
        <v>102</v>
      </c>
      <c r="R32" s="14">
        <f>IFERROR(VLOOKUP(IF(MOD(COLUMN(R32),2)=1,$A32&amp;"-"&amp;R$3,$A32&amp;"-"&amp;Q$3),CoSo3[],DoanhThuThang!AV$38,0),"")</f>
        <v>3</v>
      </c>
      <c r="S32" s="14">
        <f>IFERROR(VLOOKUP(IF(MOD(COLUMN(S32),2)=1,$A32&amp;"-"&amp;S$3,$A32&amp;"-"&amp;R$3),CoSo3[],DoanhThuThang!AW$38,0),"")</f>
        <v>175</v>
      </c>
      <c r="T32" s="14">
        <f>IFERROR(VLOOKUP(IF(MOD(COLUMN(T32),2)=1,$A32&amp;"-"&amp;T$3,$A32&amp;"-"&amp;S$3),CoSo3[],DoanhThuThang!AX$38,0),"")</f>
        <v>3</v>
      </c>
      <c r="U32" s="11">
        <f t="shared" si="10"/>
        <v>277</v>
      </c>
      <c r="V32" s="11">
        <f t="shared" si="10"/>
        <v>6</v>
      </c>
      <c r="W32" s="14"/>
      <c r="X32" s="14" t="str">
        <f>IFERROR(VLOOKUP(IF(MOD(COLUMN(BI32),2)=1,$A32&amp;"-"&amp;BI$3,$A32&amp;"-"&amp;BH$3),CoSo4[],DoanhThuThang!BI$38,0),"")</f>
        <v/>
      </c>
      <c r="Y32" s="14" t="str">
        <f>IFERROR(VLOOKUP(IF(MOD(COLUMN(BJ32),2)=1,$A32&amp;"-"&amp;BJ$3,$A32&amp;"-"&amp;BI$3),CoSo4[],DoanhThuThang!BJ$38,0),"")</f>
        <v/>
      </c>
      <c r="Z32" s="14" t="str">
        <f>IFERROR(VLOOKUP(IF(MOD(COLUMN(BK32),2)=1,$A32&amp;"-"&amp;BK$3,$A32&amp;"-"&amp;BJ$3),CoSo4[],DoanhThuThang!BK$38,0),"")</f>
        <v/>
      </c>
      <c r="AA32" s="14" t="str">
        <f>IFERROR(VLOOKUP(IF(MOD(COLUMN(BL32),2)=1,$A32&amp;"-"&amp;BL$3,$A32&amp;"-"&amp;BK$3),CoSo4[],DoanhThuThang!BL$38,0),"")</f>
        <v/>
      </c>
      <c r="AB32" s="11">
        <f t="shared" si="1"/>
        <v>0</v>
      </c>
      <c r="AC32" s="11">
        <f t="shared" si="2"/>
        <v>0</v>
      </c>
      <c r="AD32" s="14"/>
      <c r="AF32" s="14">
        <f>IFERROR(VLOOKUP(IF(MOD(COLUMN(AF32),2)=0,$A32&amp;"-"&amp;AF$3,$A32&amp;"-"&amp;CK$3),CoSo1[],AF$38,0),"")</f>
        <v>0</v>
      </c>
      <c r="AG32" s="14">
        <f>IFERROR(VLOOKUP(IF(MOD(COLUMN(AG32),2)=0,$A32&amp;"-"&amp;AG$3,$A32&amp;"-"&amp;AF$3),CoSo1[],AG$38,0),"")</f>
        <v>0</v>
      </c>
      <c r="AH32" s="14">
        <f>IFERROR(VLOOKUP(IF(MOD(COLUMN(AH32),2)=0,$A32&amp;"-"&amp;AH$3,$A32&amp;"-"&amp;AG$3),CoSo1[],AH$38,0),"")</f>
        <v>0</v>
      </c>
      <c r="AI32" s="14">
        <f>IFERROR(VLOOKUP(IF(MOD(COLUMN(AI32),2)=0,$A32&amp;"-"&amp;AI$3,$A32&amp;"-"&amp;AH$3),CoSo1[],AI$38,0),"")</f>
        <v>0</v>
      </c>
      <c r="AJ32" s="14">
        <f>IFERROR(VLOOKUP(IF(MOD(COLUMN(AJ32),2)=0,$A32&amp;"-"&amp;AJ$3,$A32&amp;"-"&amp;AI$3),CoSo1[],AJ$38,0),"")</f>
        <v>0</v>
      </c>
      <c r="AK32" s="14">
        <f>IFERROR(VLOOKUP(IF(MOD(COLUMN(AK32),2)=0,$A32&amp;"-"&amp;AK$3,$A32&amp;"-"&amp;AJ$3),CoSo1[],AK$38,0),"")</f>
        <v>0</v>
      </c>
      <c r="AL32" s="14">
        <f>IFERROR(VLOOKUP(IF(MOD(COLUMN(AL32),2)=0,$A32&amp;"-"&amp;AL$3,$A32&amp;"-"&amp;AK$3),CoSo1[],AL$38,0),"")</f>
        <v>0</v>
      </c>
      <c r="AM32" s="14">
        <f>IFERROR(VLOOKUP(IF(MOD(COLUMN(AM32),2)=0,$A32&amp;"-"&amp;AM$3,$A32&amp;"-"&amp;AL$3),CoSo1[],AM$38,0),"")</f>
        <v>0</v>
      </c>
      <c r="AN32" s="14">
        <f>IFERROR(VLOOKUP(IF(MOD(COLUMN(AN32),2)=0,$A32&amp;"-"&amp;AN$3,$A32&amp;"-"&amp;AM$3),CoSo1[],AN$38,0),"")</f>
        <v>0</v>
      </c>
      <c r="AO32" s="14">
        <f>IFERROR(VLOOKUP(IF(MOD(COLUMN(AO32),2)=0,$A32&amp;"-"&amp;AO$3,$A32&amp;"-"&amp;AN$3),CoSo1[],AO$38,0),"")</f>
        <v>0</v>
      </c>
      <c r="AP32" s="14">
        <f>IFERROR(VLOOKUP(IF(MOD(COLUMN(AP32),2)=0,$A32&amp;"-"&amp;AP$3,$A32&amp;"-"&amp;AO$3),CoSo1[],AP$38,0),"")</f>
        <v>0</v>
      </c>
      <c r="AQ32" s="14">
        <f>IFERROR(VLOOKUP(IF(MOD(COLUMN(AQ32),2)=0,$A32&amp;"-"&amp;AQ$3,$A32&amp;"-"&amp;AP$3),CoSo1[],AQ$38,0),"")</f>
        <v>0</v>
      </c>
      <c r="AR32" s="11">
        <f t="shared" si="4"/>
        <v>0</v>
      </c>
      <c r="AS32" s="11">
        <f t="shared" si="4"/>
        <v>0</v>
      </c>
      <c r="AT32" s="14"/>
      <c r="BB32" s="14">
        <f>IFERROR(VLOOKUP(IF(MOD(COLUMN(BB32),2)=0,$A32&amp;"-"&amp;BB$3,$A32&amp;"-"&amp;W$3),CoSo3[],DoanhThuThang!BB$38,0),"")</f>
        <v>0</v>
      </c>
      <c r="BC32" s="14">
        <f>IFERROR(VLOOKUP(IF(MOD(COLUMN(BC32),2)=0,$A32&amp;"-"&amp;BC$3,$A32&amp;"-"&amp;BB$3),CoSo3[],DoanhThuThang!BC$38,0),"")</f>
        <v>0</v>
      </c>
      <c r="BD32" s="14">
        <f>IFERROR(VLOOKUP(IF(MOD(COLUMN(BD32),2)=0,$A32&amp;"-"&amp;BD$3,$A32&amp;"-"&amp;BC$3),CoSo3[],DoanhThuThang!BD$38,0),"")</f>
        <v>0</v>
      </c>
      <c r="BE32" s="14">
        <f>IFERROR(VLOOKUP(IF(MOD(COLUMN(BE32),2)=0,$A32&amp;"-"&amp;BE$3,$A32&amp;"-"&amp;BD$3),CoSo3[],DoanhThuThang!BE$38,0),"")</f>
        <v>0</v>
      </c>
      <c r="BF32" s="11">
        <f t="shared" si="11"/>
        <v>0</v>
      </c>
      <c r="BG32" s="11">
        <f t="shared" si="11"/>
        <v>0</v>
      </c>
      <c r="BH32" s="14"/>
      <c r="BI32" s="14" t="str">
        <f>IFERROR(VLOOKUP(IF(MOD(COLUMN(BI32),2)=1,$A32&amp;"-"&amp;BI$3,$A32&amp;"-"&amp;BH$3),CoSo4[],DoanhThuThang!BI$38,0),"")</f>
        <v/>
      </c>
      <c r="BJ32" s="14" t="str">
        <f>IFERROR(VLOOKUP(IF(MOD(COLUMN(BJ32),2)=1,$A32&amp;"-"&amp;BJ$3,$A32&amp;"-"&amp;BI$3),CoSo4[],DoanhThuThang!BJ$38,0),"")</f>
        <v/>
      </c>
      <c r="BK32" s="14" t="str">
        <f>IFERROR(VLOOKUP(IF(MOD(COLUMN(BK32),2)=1,$A32&amp;"-"&amp;BK$3,$A32&amp;"-"&amp;BJ$3),CoSo4[],DoanhThuThang!BK$38,0),"")</f>
        <v/>
      </c>
      <c r="BL32" s="14" t="str">
        <f>IFERROR(VLOOKUP(IF(MOD(COLUMN(BL32),2)=1,$A32&amp;"-"&amp;BL$3,$A32&amp;"-"&amp;BK$3),CoSo4[],DoanhThuThang!BL$38,0),"")</f>
        <v/>
      </c>
      <c r="BM32" s="11">
        <f t="shared" si="6"/>
        <v>0</v>
      </c>
      <c r="BN32" s="11">
        <f t="shared" si="7"/>
        <v>0</v>
      </c>
      <c r="BO32" s="14"/>
      <c r="BP32" s="14" t="str">
        <f>IFERROR(VLOOKUP(IF(MOD(COLUMN(BP32),2)=0,$A32&amp;"-"&amp;BP$3,$A32&amp;"-"&amp;BO$3),CoSo4[],DoanhThuThang!BP$38,0),"")</f>
        <v/>
      </c>
      <c r="BQ32" s="14" t="str">
        <f>IFERROR(VLOOKUP(IF(MOD(COLUMN(BQ32),2)=0,$A32&amp;"-"&amp;BQ$3,$A32&amp;"-"&amp;BP$3),CoSo4[],DoanhThuThang!BQ$38,0),"")</f>
        <v/>
      </c>
      <c r="BR32" s="14" t="str">
        <f>IFERROR(VLOOKUP(IF(MOD(COLUMN(BR32),2)=0,$A32&amp;"-"&amp;BR$3,$A32&amp;"-"&amp;BQ$3),CoSo4[],DoanhThuThang!BR$38,0),"")</f>
        <v/>
      </c>
      <c r="BS32" s="14" t="str">
        <f>IFERROR(VLOOKUP(IF(MOD(COLUMN(BS32),2)=0,$A32&amp;"-"&amp;BS$3,$A32&amp;"-"&amp;BR$3),CoSo4[],DoanhThuThang!BS$38,0),"")</f>
        <v/>
      </c>
      <c r="BT32" s="11">
        <f t="shared" si="12"/>
        <v>0</v>
      </c>
      <c r="BU32" s="11">
        <f t="shared" si="12"/>
        <v>0</v>
      </c>
      <c r="BV32" s="14"/>
      <c r="BW32" s="14">
        <f>IFERROR(VLOOKUP(IF(MOD(COLUMN(BW32),2)=1,$A32&amp;"-"&amp;BW$3,$A32&amp;"-"&amp;P$3),CoSo1[],BW$38,0),"")</f>
        <v>0</v>
      </c>
      <c r="BX32" s="14">
        <f>IFERROR(VLOOKUP(IF(MOD(COLUMN(BX32),2)=1,$A32&amp;"-"&amp;BX$3,$A32&amp;"-"&amp;BW$3),CoSo1[],BX$38,0),"")</f>
        <v>0</v>
      </c>
      <c r="BY32" s="14">
        <f>IFERROR(VLOOKUP(IF(MOD(COLUMN(BY32),2)=1,$A32&amp;"-"&amp;BY$3,$A32&amp;"-"&amp;BX$3),CoSo1[],BY$38,0),"")</f>
        <v>0</v>
      </c>
      <c r="BZ32" s="14">
        <f>IFERROR(VLOOKUP(IF(MOD(COLUMN(BZ32),2)=1,$A32&amp;"-"&amp;BZ$3,$A32&amp;"-"&amp;BY$3),CoSo1[],BZ$38,0),"")</f>
        <v>0</v>
      </c>
      <c r="CA32" s="14">
        <f>IFERROR(VLOOKUP(IF(MOD(COLUMN(CA32),2)=1,$A32&amp;"-"&amp;CA$3,$A32&amp;"-"&amp;BZ$3),CoSo1[],CA$38,0),"")</f>
        <v>0</v>
      </c>
      <c r="CB32" s="14">
        <f>IFERROR(VLOOKUP(IF(MOD(COLUMN(CB32),2)=1,$A32&amp;"-"&amp;CB$3,$A32&amp;"-"&amp;CA$3),CoSo1[],CB$38,0),"")</f>
        <v>0</v>
      </c>
      <c r="CC32" s="14">
        <f>IFERROR(VLOOKUP(IF(MOD(COLUMN(CC32),2)=1,$A32&amp;"-"&amp;CC$3,$A32&amp;"-"&amp;CB$3),CoSo1[],CC$38,0),"")</f>
        <v>0</v>
      </c>
      <c r="CD32" s="14">
        <f>IFERROR(VLOOKUP(IF(MOD(COLUMN(CD32),2)=1,$A32&amp;"-"&amp;CD$3,$A32&amp;"-"&amp;CC$3),CoSo1[],CD$38,0),"")</f>
        <v>0</v>
      </c>
      <c r="CE32" s="14">
        <f>IFERROR(VLOOKUP(IF(MOD(COLUMN(CE32),2)=1,$A32&amp;"-"&amp;CE$3,$A32&amp;"-"&amp;CD$3),CoSo1[],CE$38,0),"")</f>
        <v>0</v>
      </c>
      <c r="CF32" s="14">
        <f>IFERROR(VLOOKUP(IF(MOD(COLUMN(CF32),2)=1,$A32&amp;"-"&amp;CF$3,$A32&amp;"-"&amp;CE$3),CoSo1[],CF$38,0),"")</f>
        <v>0</v>
      </c>
      <c r="CG32" s="14">
        <f>IFERROR(VLOOKUP(IF(MOD(COLUMN(CG32),2)=1,$A32&amp;"-"&amp;CG$3,$A32&amp;"-"&amp;CF$3),CoSo1[],CG$38,0),"")</f>
        <v>0</v>
      </c>
      <c r="CH32" s="14">
        <f>IFERROR(VLOOKUP(IF(MOD(COLUMN(CH32),2)=1,$A32&amp;"-"&amp;CH$3,$A32&amp;"-"&amp;CG$3),CoSo1[],CH$38,0),"")</f>
        <v>0</v>
      </c>
      <c r="CI32" s="11">
        <f t="shared" si="9"/>
        <v>0</v>
      </c>
      <c r="CJ32" s="11">
        <f t="shared" si="9"/>
        <v>0</v>
      </c>
      <c r="CK32" s="14"/>
    </row>
    <row r="33" spans="1:89" x14ac:dyDescent="0.25">
      <c r="A33" s="13">
        <v>28</v>
      </c>
      <c r="B33" s="14">
        <f>IFERROR(VLOOKUP(IF(MOD(COLUMN(B33),2)=0,$A33&amp;"-"&amp;B$3,$A33&amp;"-"&amp;A$3),CoSo1[],B$38,0),"")</f>
        <v>1014</v>
      </c>
      <c r="C33" s="14">
        <f>IFERROR(VLOOKUP(IF(MOD(COLUMN(C33),2)=0,$A33&amp;"-"&amp;C$3,$A33&amp;"-"&amp;B$3),CoSo1[],C$38,0),"")</f>
        <v>10</v>
      </c>
      <c r="D33" s="14">
        <f>IFERROR(VLOOKUP(IF(MOD(COLUMN(D33),2)=0,$A33&amp;"-"&amp;D$3,$A33&amp;"-"&amp;C$3),CoSo1[],D$38,0),"")</f>
        <v>1208</v>
      </c>
      <c r="E33" s="14">
        <f>IFERROR(VLOOKUP(IF(MOD(COLUMN(E33),2)=0,$A33&amp;"-"&amp;E$3,$A33&amp;"-"&amp;D$3),CoSo1[],E$38,0),"")</f>
        <v>16</v>
      </c>
      <c r="F33" s="14">
        <f>IFERROR(VLOOKUP(IF(MOD(COLUMN(F33),2)=0,$A33&amp;"-"&amp;F$3,$A33&amp;"-"&amp;E$3),CoSo1[],F$38,0),"")</f>
        <v>0</v>
      </c>
      <c r="G33" s="14">
        <f>IFERROR(VLOOKUP(IF(MOD(COLUMN(G33),2)=0,$A33&amp;"-"&amp;G$3,$A33&amp;"-"&amp;F$3),CoSo1[],G$38,0),"")</f>
        <v>0</v>
      </c>
      <c r="H33" s="14">
        <f>IFERROR(VLOOKUP(IF(MOD(COLUMN(H33),2)=0,$A33&amp;"-"&amp;H$3,$A33&amp;"-"&amp;G$3),CoSo1[],H$38,0),"")</f>
        <v>195</v>
      </c>
      <c r="I33" s="14">
        <f>IFERROR(VLOOKUP(IF(MOD(COLUMN(I33),2)=0,$A33&amp;"-"&amp;I$3,$A33&amp;"-"&amp;H$3),CoSo1[],I$38,0),"")</f>
        <v>2</v>
      </c>
      <c r="J33" s="14">
        <f>IFERROR(VLOOKUP(IF(MOD(COLUMN(J33),2)=0,$A33&amp;"-"&amp;J$3,$A33&amp;"-"&amp;I$3),CoSo1[],J$38,0),"")</f>
        <v>0</v>
      </c>
      <c r="K33" s="14">
        <f>IFERROR(VLOOKUP(IF(MOD(COLUMN(K33),2)=0,$A33&amp;"-"&amp;K$3,$A33&amp;"-"&amp;J$3),CoSo1[],K$38,0),"")</f>
        <v>0</v>
      </c>
      <c r="L33" s="14">
        <f>IFERROR(VLOOKUP(IF(MOD(COLUMN(L33),2)=0,$A33&amp;"-"&amp;L$3,$A33&amp;"-"&amp;K$3),CoSo1[],L$38,0),"")</f>
        <v>0</v>
      </c>
      <c r="M33" s="14">
        <f>IFERROR(VLOOKUP(IF(MOD(COLUMN(M33),2)=0,$A33&amp;"-"&amp;M$3,$A33&amp;"-"&amp;L$3),CoSo1[],M$38,0),"")</f>
        <v>0</v>
      </c>
      <c r="N33" s="11">
        <f t="shared" si="13"/>
        <v>2417</v>
      </c>
      <c r="O33" s="11">
        <f t="shared" si="14"/>
        <v>28</v>
      </c>
      <c r="P33" s="14"/>
      <c r="Q33" s="14">
        <f>IFERROR(VLOOKUP(IF(MOD(COLUMN(Q33),2)=1,$A33&amp;"-"&amp;Q$3,$A33&amp;"-"&amp;AT$3),CoSo3[],DoanhThuThang!AU$38,0),"")</f>
        <v>205</v>
      </c>
      <c r="R33" s="14">
        <f>IFERROR(VLOOKUP(IF(MOD(COLUMN(R33),2)=1,$A33&amp;"-"&amp;R$3,$A33&amp;"-"&amp;Q$3),CoSo3[],DoanhThuThang!AV$38,0),"")</f>
        <v>3</v>
      </c>
      <c r="S33" s="14">
        <f>IFERROR(VLOOKUP(IF(MOD(COLUMN(S33),2)=1,$A33&amp;"-"&amp;S$3,$A33&amp;"-"&amp;R$3),CoSo3[],DoanhThuThang!AW$38,0),"")</f>
        <v>279</v>
      </c>
      <c r="T33" s="14">
        <f>IFERROR(VLOOKUP(IF(MOD(COLUMN(T33),2)=1,$A33&amp;"-"&amp;T$3,$A33&amp;"-"&amp;S$3),CoSo3[],DoanhThuThang!AX$38,0),"")</f>
        <v>3</v>
      </c>
      <c r="U33" s="11">
        <f t="shared" si="10"/>
        <v>484</v>
      </c>
      <c r="V33" s="11">
        <f t="shared" si="10"/>
        <v>6</v>
      </c>
      <c r="W33" s="14"/>
      <c r="X33" s="14" t="str">
        <f>IFERROR(VLOOKUP(IF(MOD(COLUMN(BI33),2)=1,$A33&amp;"-"&amp;BI$3,$A33&amp;"-"&amp;BH$3),CoSo4[],DoanhThuThang!BI$38,0),"")</f>
        <v/>
      </c>
      <c r="Y33" s="14" t="str">
        <f>IFERROR(VLOOKUP(IF(MOD(COLUMN(BJ33),2)=1,$A33&amp;"-"&amp;BJ$3,$A33&amp;"-"&amp;BI$3),CoSo4[],DoanhThuThang!BJ$38,0),"")</f>
        <v/>
      </c>
      <c r="Z33" s="14" t="str">
        <f>IFERROR(VLOOKUP(IF(MOD(COLUMN(BK33),2)=1,$A33&amp;"-"&amp;BK$3,$A33&amp;"-"&amp;BJ$3),CoSo4[],DoanhThuThang!BK$38,0),"")</f>
        <v/>
      </c>
      <c r="AA33" s="14" t="str">
        <f>IFERROR(VLOOKUP(IF(MOD(COLUMN(BL33),2)=1,$A33&amp;"-"&amp;BL$3,$A33&amp;"-"&amp;BK$3),CoSo4[],DoanhThuThang!BL$38,0),"")</f>
        <v/>
      </c>
      <c r="AB33" s="11">
        <f t="shared" si="1"/>
        <v>0</v>
      </c>
      <c r="AC33" s="11">
        <f t="shared" si="2"/>
        <v>0</v>
      </c>
      <c r="AD33" s="14"/>
      <c r="AF33" s="14">
        <f>IFERROR(VLOOKUP(IF(MOD(COLUMN(AF33),2)=0,$A33&amp;"-"&amp;AF$3,$A33&amp;"-"&amp;CK$3),CoSo1[],AF$38,0),"")</f>
        <v>0</v>
      </c>
      <c r="AG33" s="14">
        <f>IFERROR(VLOOKUP(IF(MOD(COLUMN(AG33),2)=0,$A33&amp;"-"&amp;AG$3,$A33&amp;"-"&amp;AF$3),CoSo1[],AG$38,0),"")</f>
        <v>0</v>
      </c>
      <c r="AH33" s="14">
        <f>IFERROR(VLOOKUP(IF(MOD(COLUMN(AH33),2)=0,$A33&amp;"-"&amp;AH$3,$A33&amp;"-"&amp;AG$3),CoSo1[],AH$38,0),"")</f>
        <v>0</v>
      </c>
      <c r="AI33" s="14">
        <f>IFERROR(VLOOKUP(IF(MOD(COLUMN(AI33),2)=0,$A33&amp;"-"&amp;AI$3,$A33&amp;"-"&amp;AH$3),CoSo1[],AI$38,0),"")</f>
        <v>0</v>
      </c>
      <c r="AJ33" s="14">
        <f>IFERROR(VLOOKUP(IF(MOD(COLUMN(AJ33),2)=0,$A33&amp;"-"&amp;AJ$3,$A33&amp;"-"&amp;AI$3),CoSo1[],AJ$38,0),"")</f>
        <v>0</v>
      </c>
      <c r="AK33" s="14">
        <f>IFERROR(VLOOKUP(IF(MOD(COLUMN(AK33),2)=0,$A33&amp;"-"&amp;AK$3,$A33&amp;"-"&amp;AJ$3),CoSo1[],AK$38,0),"")</f>
        <v>0</v>
      </c>
      <c r="AL33" s="14">
        <f>IFERROR(VLOOKUP(IF(MOD(COLUMN(AL33),2)=0,$A33&amp;"-"&amp;AL$3,$A33&amp;"-"&amp;AK$3),CoSo1[],AL$38,0),"")</f>
        <v>0</v>
      </c>
      <c r="AM33" s="14">
        <f>IFERROR(VLOOKUP(IF(MOD(COLUMN(AM33),2)=0,$A33&amp;"-"&amp;AM$3,$A33&amp;"-"&amp;AL$3),CoSo1[],AM$38,0),"")</f>
        <v>0</v>
      </c>
      <c r="AN33" s="14">
        <f>IFERROR(VLOOKUP(IF(MOD(COLUMN(AN33),2)=0,$A33&amp;"-"&amp;AN$3,$A33&amp;"-"&amp;AM$3),CoSo1[],AN$38,0),"")</f>
        <v>0</v>
      </c>
      <c r="AO33" s="14">
        <f>IFERROR(VLOOKUP(IF(MOD(COLUMN(AO33),2)=0,$A33&amp;"-"&amp;AO$3,$A33&amp;"-"&amp;AN$3),CoSo1[],AO$38,0),"")</f>
        <v>0</v>
      </c>
      <c r="AP33" s="14">
        <f>IFERROR(VLOOKUP(IF(MOD(COLUMN(AP33),2)=0,$A33&amp;"-"&amp;AP$3,$A33&amp;"-"&amp;AO$3),CoSo1[],AP$38,0),"")</f>
        <v>0</v>
      </c>
      <c r="AQ33" s="14">
        <f>IFERROR(VLOOKUP(IF(MOD(COLUMN(AQ33),2)=0,$A33&amp;"-"&amp;AQ$3,$A33&amp;"-"&amp;AP$3),CoSo1[],AQ$38,0),"")</f>
        <v>0</v>
      </c>
      <c r="AR33" s="11">
        <f t="shared" si="4"/>
        <v>0</v>
      </c>
      <c r="AS33" s="11">
        <f t="shared" si="4"/>
        <v>0</v>
      </c>
      <c r="AT33" s="14"/>
      <c r="BB33" s="14">
        <f>IFERROR(VLOOKUP(IF(MOD(COLUMN(BB33),2)=0,$A33&amp;"-"&amp;BB$3,$A33&amp;"-"&amp;W$3),CoSo3[],DoanhThuThang!BB$38,0),"")</f>
        <v>0</v>
      </c>
      <c r="BC33" s="14">
        <f>IFERROR(VLOOKUP(IF(MOD(COLUMN(BC33),2)=0,$A33&amp;"-"&amp;BC$3,$A33&amp;"-"&amp;BB$3),CoSo3[],DoanhThuThang!BC$38,0),"")</f>
        <v>0</v>
      </c>
      <c r="BD33" s="14">
        <f>IFERROR(VLOOKUP(IF(MOD(COLUMN(BD33),2)=0,$A33&amp;"-"&amp;BD$3,$A33&amp;"-"&amp;BC$3),CoSo3[],DoanhThuThang!BD$38,0),"")</f>
        <v>0</v>
      </c>
      <c r="BE33" s="14">
        <f>IFERROR(VLOOKUP(IF(MOD(COLUMN(BE33),2)=0,$A33&amp;"-"&amp;BE$3,$A33&amp;"-"&amp;BD$3),CoSo3[],DoanhThuThang!BE$38,0),"")</f>
        <v>0</v>
      </c>
      <c r="BF33" s="11">
        <f t="shared" si="11"/>
        <v>0</v>
      </c>
      <c r="BG33" s="11">
        <f t="shared" si="11"/>
        <v>0</v>
      </c>
      <c r="BH33" s="14"/>
      <c r="BI33" s="14" t="str">
        <f>IFERROR(VLOOKUP(IF(MOD(COLUMN(BI33),2)=1,$A33&amp;"-"&amp;BI$3,$A33&amp;"-"&amp;BH$3),CoSo4[],DoanhThuThang!BI$38,0),"")</f>
        <v/>
      </c>
      <c r="BJ33" s="14" t="str">
        <f>IFERROR(VLOOKUP(IF(MOD(COLUMN(BJ33),2)=1,$A33&amp;"-"&amp;BJ$3,$A33&amp;"-"&amp;BI$3),CoSo4[],DoanhThuThang!BJ$38,0),"")</f>
        <v/>
      </c>
      <c r="BK33" s="14" t="str">
        <f>IFERROR(VLOOKUP(IF(MOD(COLUMN(BK33),2)=1,$A33&amp;"-"&amp;BK$3,$A33&amp;"-"&amp;BJ$3),CoSo4[],DoanhThuThang!BK$38,0),"")</f>
        <v/>
      </c>
      <c r="BL33" s="14" t="str">
        <f>IFERROR(VLOOKUP(IF(MOD(COLUMN(BL33),2)=1,$A33&amp;"-"&amp;BL$3,$A33&amp;"-"&amp;BK$3),CoSo4[],DoanhThuThang!BL$38,0),"")</f>
        <v/>
      </c>
      <c r="BM33" s="11">
        <f t="shared" si="6"/>
        <v>0</v>
      </c>
      <c r="BN33" s="11">
        <f t="shared" si="7"/>
        <v>0</v>
      </c>
      <c r="BO33" s="14"/>
      <c r="BP33" s="14" t="str">
        <f>IFERROR(VLOOKUP(IF(MOD(COLUMN(BP33),2)=0,$A33&amp;"-"&amp;BP$3,$A33&amp;"-"&amp;BO$3),CoSo4[],DoanhThuThang!BP$38,0),"")</f>
        <v/>
      </c>
      <c r="BQ33" s="14" t="str">
        <f>IFERROR(VLOOKUP(IF(MOD(COLUMN(BQ33),2)=0,$A33&amp;"-"&amp;BQ$3,$A33&amp;"-"&amp;BP$3),CoSo4[],DoanhThuThang!BQ$38,0),"")</f>
        <v/>
      </c>
      <c r="BR33" s="14" t="str">
        <f>IFERROR(VLOOKUP(IF(MOD(COLUMN(BR33),2)=0,$A33&amp;"-"&amp;BR$3,$A33&amp;"-"&amp;BQ$3),CoSo4[],DoanhThuThang!BR$38,0),"")</f>
        <v/>
      </c>
      <c r="BS33" s="14" t="str">
        <f>IFERROR(VLOOKUP(IF(MOD(COLUMN(BS33),2)=0,$A33&amp;"-"&amp;BS$3,$A33&amp;"-"&amp;BR$3),CoSo4[],DoanhThuThang!BS$38,0),"")</f>
        <v/>
      </c>
      <c r="BT33" s="11">
        <f t="shared" si="12"/>
        <v>0</v>
      </c>
      <c r="BU33" s="11">
        <f t="shared" si="12"/>
        <v>0</v>
      </c>
      <c r="BV33" s="14"/>
      <c r="BW33" s="14">
        <f>IFERROR(VLOOKUP(IF(MOD(COLUMN(BW33),2)=1,$A33&amp;"-"&amp;BW$3,$A33&amp;"-"&amp;P$3),CoSo1[],BW$38,0),"")</f>
        <v>0</v>
      </c>
      <c r="BX33" s="14">
        <f>IFERROR(VLOOKUP(IF(MOD(COLUMN(BX33),2)=1,$A33&amp;"-"&amp;BX$3,$A33&amp;"-"&amp;BW$3),CoSo1[],BX$38,0),"")</f>
        <v>0</v>
      </c>
      <c r="BY33" s="14">
        <f>IFERROR(VLOOKUP(IF(MOD(COLUMN(BY33),2)=1,$A33&amp;"-"&amp;BY$3,$A33&amp;"-"&amp;BX$3),CoSo1[],BY$38,0),"")</f>
        <v>74</v>
      </c>
      <c r="BZ33" s="14">
        <f>IFERROR(VLOOKUP(IF(MOD(COLUMN(BZ33),2)=1,$A33&amp;"-"&amp;BZ$3,$A33&amp;"-"&amp;BY$3),CoSo1[],BZ$38,0),"")</f>
        <v>1</v>
      </c>
      <c r="CA33" s="14">
        <f>IFERROR(VLOOKUP(IF(MOD(COLUMN(CA33),2)=1,$A33&amp;"-"&amp;CA$3,$A33&amp;"-"&amp;BZ$3),CoSo1[],CA$38,0),"")</f>
        <v>0</v>
      </c>
      <c r="CB33" s="14">
        <f>IFERROR(VLOOKUP(IF(MOD(COLUMN(CB33),2)=1,$A33&amp;"-"&amp;CB$3,$A33&amp;"-"&amp;CA$3),CoSo1[],CB$38,0),"")</f>
        <v>0</v>
      </c>
      <c r="CC33" s="14">
        <f>IFERROR(VLOOKUP(IF(MOD(COLUMN(CC33),2)=1,$A33&amp;"-"&amp;CC$3,$A33&amp;"-"&amp;CB$3),CoSo1[],CC$38,0),"")</f>
        <v>0</v>
      </c>
      <c r="CD33" s="14">
        <f>IFERROR(VLOOKUP(IF(MOD(COLUMN(CD33),2)=1,$A33&amp;"-"&amp;CD$3,$A33&amp;"-"&amp;CC$3),CoSo1[],CD$38,0),"")</f>
        <v>0</v>
      </c>
      <c r="CE33" s="14">
        <f>IFERROR(VLOOKUP(IF(MOD(COLUMN(CE33),2)=1,$A33&amp;"-"&amp;CE$3,$A33&amp;"-"&amp;CD$3),CoSo1[],CE$38,0),"")</f>
        <v>0</v>
      </c>
      <c r="CF33" s="14">
        <f>IFERROR(VLOOKUP(IF(MOD(COLUMN(CF33),2)=1,$A33&amp;"-"&amp;CF$3,$A33&amp;"-"&amp;CE$3),CoSo1[],CF$38,0),"")</f>
        <v>0</v>
      </c>
      <c r="CG33" s="14">
        <f>IFERROR(VLOOKUP(IF(MOD(COLUMN(CG33),2)=1,$A33&amp;"-"&amp;CG$3,$A33&amp;"-"&amp;CF$3),CoSo1[],CG$38,0),"")</f>
        <v>0</v>
      </c>
      <c r="CH33" s="14">
        <f>IFERROR(VLOOKUP(IF(MOD(COLUMN(CH33),2)=1,$A33&amp;"-"&amp;CH$3,$A33&amp;"-"&amp;CG$3),CoSo1[],CH$38,0),"")</f>
        <v>0</v>
      </c>
      <c r="CI33" s="11">
        <f t="shared" si="9"/>
        <v>74</v>
      </c>
      <c r="CJ33" s="11">
        <f t="shared" si="9"/>
        <v>1</v>
      </c>
      <c r="CK33" s="14"/>
    </row>
    <row r="34" spans="1:89" x14ac:dyDescent="0.25">
      <c r="A34" s="13">
        <v>29</v>
      </c>
      <c r="B34" s="14">
        <f>IFERROR(VLOOKUP(IF(MOD(COLUMN(B34),2)=0,$A34&amp;"-"&amp;B$3,$A34&amp;"-"&amp;A$3),CoSo1[],B$38,0),"")</f>
        <v>540</v>
      </c>
      <c r="C34" s="14">
        <f>IFERROR(VLOOKUP(IF(MOD(COLUMN(C34),2)=0,$A34&amp;"-"&amp;C$3,$A34&amp;"-"&amp;B$3),CoSo1[],C$38,0),"")</f>
        <v>7</v>
      </c>
      <c r="D34" s="14">
        <f>IFERROR(VLOOKUP(IF(MOD(COLUMN(D34),2)=0,$A34&amp;"-"&amp;D$3,$A34&amp;"-"&amp;C$3),CoSo1[],D$38,0),"")</f>
        <v>792</v>
      </c>
      <c r="E34" s="14">
        <f>IFERROR(VLOOKUP(IF(MOD(COLUMN(E34),2)=0,$A34&amp;"-"&amp;E$3,$A34&amp;"-"&amp;D$3),CoSo1[],E$38,0),"")</f>
        <v>13</v>
      </c>
      <c r="F34" s="14">
        <f>IFERROR(VLOOKUP(IF(MOD(COLUMN(F34),2)=0,$A34&amp;"-"&amp;F$3,$A34&amp;"-"&amp;E$3),CoSo1[],F$38,0),"")</f>
        <v>0</v>
      </c>
      <c r="G34" s="14">
        <f>IFERROR(VLOOKUP(IF(MOD(COLUMN(G34),2)=0,$A34&amp;"-"&amp;G$3,$A34&amp;"-"&amp;F$3),CoSo1[],G$38,0),"")</f>
        <v>0</v>
      </c>
      <c r="H34" s="14">
        <f>IFERROR(VLOOKUP(IF(MOD(COLUMN(H34),2)=0,$A34&amp;"-"&amp;H$3,$A34&amp;"-"&amp;G$3),CoSo1[],H$38,0),"")</f>
        <v>0</v>
      </c>
      <c r="I34" s="14">
        <f>IFERROR(VLOOKUP(IF(MOD(COLUMN(I34),2)=0,$A34&amp;"-"&amp;I$3,$A34&amp;"-"&amp;H$3),CoSo1[],I$38,0),"")</f>
        <v>0</v>
      </c>
      <c r="J34" s="14">
        <f>IFERROR(VLOOKUP(IF(MOD(COLUMN(J34),2)=0,$A34&amp;"-"&amp;J$3,$A34&amp;"-"&amp;I$3),CoSo1[],J$38,0),"")</f>
        <v>0</v>
      </c>
      <c r="K34" s="14">
        <f>IFERROR(VLOOKUP(IF(MOD(COLUMN(K34),2)=0,$A34&amp;"-"&amp;K$3,$A34&amp;"-"&amp;J$3),CoSo1[],K$38,0),"")</f>
        <v>0</v>
      </c>
      <c r="L34" s="14">
        <f>IFERROR(VLOOKUP(IF(MOD(COLUMN(L34),2)=0,$A34&amp;"-"&amp;L$3,$A34&amp;"-"&amp;K$3),CoSo1[],L$38,0),"")</f>
        <v>0</v>
      </c>
      <c r="M34" s="14">
        <f>IFERROR(VLOOKUP(IF(MOD(COLUMN(M34),2)=0,$A34&amp;"-"&amp;M$3,$A34&amp;"-"&amp;L$3),CoSo1[],M$38,0),"")</f>
        <v>0</v>
      </c>
      <c r="N34" s="11">
        <f t="shared" si="13"/>
        <v>1332</v>
      </c>
      <c r="O34" s="11">
        <f t="shared" si="14"/>
        <v>20</v>
      </c>
      <c r="P34" s="14"/>
      <c r="Q34" s="14">
        <f>IFERROR(VLOOKUP(IF(MOD(COLUMN(Q34),2)=1,$A34&amp;"-"&amp;Q$3,$A34&amp;"-"&amp;AT$3),CoSo3[],DoanhThuThang!AU$38,0),"")</f>
        <v>670</v>
      </c>
      <c r="R34" s="14">
        <f>IFERROR(VLOOKUP(IF(MOD(COLUMN(R34),2)=1,$A34&amp;"-"&amp;R$3,$A34&amp;"-"&amp;Q$3),CoSo3[],DoanhThuThang!AV$38,0),"")</f>
        <v>6</v>
      </c>
      <c r="S34" s="14">
        <f>IFERROR(VLOOKUP(IF(MOD(COLUMN(S34),2)=1,$A34&amp;"-"&amp;S$3,$A34&amp;"-"&amp;R$3),CoSo3[],DoanhThuThang!AW$38,0),"")</f>
        <v>499</v>
      </c>
      <c r="T34" s="14">
        <f>IFERROR(VLOOKUP(IF(MOD(COLUMN(T34),2)=1,$A34&amp;"-"&amp;T$3,$A34&amp;"-"&amp;S$3),CoSo3[],DoanhThuThang!AX$38,0),"")</f>
        <v>8</v>
      </c>
      <c r="U34" s="11">
        <f t="shared" si="10"/>
        <v>1169</v>
      </c>
      <c r="V34" s="11">
        <f t="shared" si="10"/>
        <v>14</v>
      </c>
      <c r="W34" s="14"/>
      <c r="X34" s="14" t="str">
        <f>IFERROR(VLOOKUP(IF(MOD(COLUMN(BI34),2)=1,$A34&amp;"-"&amp;BI$3,$A34&amp;"-"&amp;BH$3),CoSo4[],DoanhThuThang!BI$38,0),"")</f>
        <v/>
      </c>
      <c r="Y34" s="14" t="str">
        <f>IFERROR(VLOOKUP(IF(MOD(COLUMN(BJ34),2)=1,$A34&amp;"-"&amp;BJ$3,$A34&amp;"-"&amp;BI$3),CoSo4[],DoanhThuThang!BJ$38,0),"")</f>
        <v/>
      </c>
      <c r="Z34" s="14" t="str">
        <f>IFERROR(VLOOKUP(IF(MOD(COLUMN(BK34),2)=1,$A34&amp;"-"&amp;BK$3,$A34&amp;"-"&amp;BJ$3),CoSo4[],DoanhThuThang!BK$38,0),"")</f>
        <v/>
      </c>
      <c r="AA34" s="14" t="str">
        <f>IFERROR(VLOOKUP(IF(MOD(COLUMN(BL34),2)=1,$A34&amp;"-"&amp;BL$3,$A34&amp;"-"&amp;BK$3),CoSo4[],DoanhThuThang!BL$38,0),"")</f>
        <v/>
      </c>
      <c r="AB34" s="11">
        <f t="shared" si="1"/>
        <v>0</v>
      </c>
      <c r="AC34" s="11">
        <f t="shared" si="2"/>
        <v>0</v>
      </c>
      <c r="AD34" s="14"/>
      <c r="AF34" s="14">
        <f>IFERROR(VLOOKUP(IF(MOD(COLUMN(AF34),2)=0,$A34&amp;"-"&amp;AF$3,$A34&amp;"-"&amp;CK$3),CoSo1[],AF$38,0),"")</f>
        <v>0</v>
      </c>
      <c r="AG34" s="14">
        <f>IFERROR(VLOOKUP(IF(MOD(COLUMN(AG34),2)=0,$A34&amp;"-"&amp;AG$3,$A34&amp;"-"&amp;AF$3),CoSo1[],AG$38,0),"")</f>
        <v>0</v>
      </c>
      <c r="AH34" s="14">
        <f>IFERROR(VLOOKUP(IF(MOD(COLUMN(AH34),2)=0,$A34&amp;"-"&amp;AH$3,$A34&amp;"-"&amp;AG$3),CoSo1[],AH$38,0),"")</f>
        <v>0</v>
      </c>
      <c r="AI34" s="14">
        <f>IFERROR(VLOOKUP(IF(MOD(COLUMN(AI34),2)=0,$A34&amp;"-"&amp;AI$3,$A34&amp;"-"&amp;AH$3),CoSo1[],AI$38,0),"")</f>
        <v>0</v>
      </c>
      <c r="AJ34" s="14">
        <f>IFERROR(VLOOKUP(IF(MOD(COLUMN(AJ34),2)=0,$A34&amp;"-"&amp;AJ$3,$A34&amp;"-"&amp;AI$3),CoSo1[],AJ$38,0),"")</f>
        <v>0</v>
      </c>
      <c r="AK34" s="14">
        <f>IFERROR(VLOOKUP(IF(MOD(COLUMN(AK34),2)=0,$A34&amp;"-"&amp;AK$3,$A34&amp;"-"&amp;AJ$3),CoSo1[],AK$38,0),"")</f>
        <v>0</v>
      </c>
      <c r="AL34" s="14">
        <f>IFERROR(VLOOKUP(IF(MOD(COLUMN(AL34),2)=0,$A34&amp;"-"&amp;AL$3,$A34&amp;"-"&amp;AK$3),CoSo1[],AL$38,0),"")</f>
        <v>0</v>
      </c>
      <c r="AM34" s="14">
        <f>IFERROR(VLOOKUP(IF(MOD(COLUMN(AM34),2)=0,$A34&amp;"-"&amp;AM$3,$A34&amp;"-"&amp;AL$3),CoSo1[],AM$38,0),"")</f>
        <v>0</v>
      </c>
      <c r="AN34" s="14">
        <f>IFERROR(VLOOKUP(IF(MOD(COLUMN(AN34),2)=0,$A34&amp;"-"&amp;AN$3,$A34&amp;"-"&amp;AM$3),CoSo1[],AN$38,0),"")</f>
        <v>0</v>
      </c>
      <c r="AO34" s="14">
        <f>IFERROR(VLOOKUP(IF(MOD(COLUMN(AO34),2)=0,$A34&amp;"-"&amp;AO$3,$A34&amp;"-"&amp;AN$3),CoSo1[],AO$38,0),"")</f>
        <v>0</v>
      </c>
      <c r="AP34" s="14">
        <f>IFERROR(VLOOKUP(IF(MOD(COLUMN(AP34),2)=0,$A34&amp;"-"&amp;AP$3,$A34&amp;"-"&amp;AO$3),CoSo1[],AP$38,0),"")</f>
        <v>0</v>
      </c>
      <c r="AQ34" s="14">
        <f>IFERROR(VLOOKUP(IF(MOD(COLUMN(AQ34),2)=0,$A34&amp;"-"&amp;AQ$3,$A34&amp;"-"&amp;AP$3),CoSo1[],AQ$38,0),"")</f>
        <v>0</v>
      </c>
      <c r="AR34" s="11">
        <f t="shared" si="4"/>
        <v>0</v>
      </c>
      <c r="AS34" s="11">
        <f t="shared" si="4"/>
        <v>0</v>
      </c>
      <c r="AT34" s="14"/>
      <c r="BB34" s="14">
        <f>IFERROR(VLOOKUP(IF(MOD(COLUMN(BB34),2)=0,$A34&amp;"-"&amp;BB$3,$A34&amp;"-"&amp;W$3),CoSo3[],DoanhThuThang!BB$38,0),"")</f>
        <v>0</v>
      </c>
      <c r="BC34" s="14">
        <f>IFERROR(VLOOKUP(IF(MOD(COLUMN(BC34),2)=0,$A34&amp;"-"&amp;BC$3,$A34&amp;"-"&amp;BB$3),CoSo3[],DoanhThuThang!BC$38,0),"")</f>
        <v>0</v>
      </c>
      <c r="BD34" s="14">
        <f>IFERROR(VLOOKUP(IF(MOD(COLUMN(BD34),2)=0,$A34&amp;"-"&amp;BD$3,$A34&amp;"-"&amp;BC$3),CoSo3[],DoanhThuThang!BD$38,0),"")</f>
        <v>0</v>
      </c>
      <c r="BE34" s="14">
        <f>IFERROR(VLOOKUP(IF(MOD(COLUMN(BE34),2)=0,$A34&amp;"-"&amp;BE$3,$A34&amp;"-"&amp;BD$3),CoSo3[],DoanhThuThang!BE$38,0),"")</f>
        <v>0</v>
      </c>
      <c r="BF34" s="11">
        <f t="shared" si="11"/>
        <v>0</v>
      </c>
      <c r="BG34" s="11">
        <f t="shared" si="11"/>
        <v>0</v>
      </c>
      <c r="BH34" s="14"/>
      <c r="BI34" s="14" t="str">
        <f>IFERROR(VLOOKUP(IF(MOD(COLUMN(BI34),2)=1,$A34&amp;"-"&amp;BI$3,$A34&amp;"-"&amp;BH$3),CoSo4[],DoanhThuThang!BI$38,0),"")</f>
        <v/>
      </c>
      <c r="BJ34" s="14" t="str">
        <f>IFERROR(VLOOKUP(IF(MOD(COLUMN(BJ34),2)=1,$A34&amp;"-"&amp;BJ$3,$A34&amp;"-"&amp;BI$3),CoSo4[],DoanhThuThang!BJ$38,0),"")</f>
        <v/>
      </c>
      <c r="BK34" s="14" t="str">
        <f>IFERROR(VLOOKUP(IF(MOD(COLUMN(BK34),2)=1,$A34&amp;"-"&amp;BK$3,$A34&amp;"-"&amp;BJ$3),CoSo4[],DoanhThuThang!BK$38,0),"")</f>
        <v/>
      </c>
      <c r="BL34" s="14" t="str">
        <f>IFERROR(VLOOKUP(IF(MOD(COLUMN(BL34),2)=1,$A34&amp;"-"&amp;BL$3,$A34&amp;"-"&amp;BK$3),CoSo4[],DoanhThuThang!BL$38,0),"")</f>
        <v/>
      </c>
      <c r="BM34" s="11">
        <f t="shared" si="6"/>
        <v>0</v>
      </c>
      <c r="BN34" s="11">
        <f t="shared" si="7"/>
        <v>0</v>
      </c>
      <c r="BO34" s="14"/>
      <c r="BP34" s="14" t="str">
        <f>IFERROR(VLOOKUP(IF(MOD(COLUMN(BP34),2)=0,$A34&amp;"-"&amp;BP$3,$A34&amp;"-"&amp;BO$3),CoSo4[],DoanhThuThang!BP$38,0),"")</f>
        <v/>
      </c>
      <c r="BQ34" s="14" t="str">
        <f>IFERROR(VLOOKUP(IF(MOD(COLUMN(BQ34),2)=0,$A34&amp;"-"&amp;BQ$3,$A34&amp;"-"&amp;BP$3),CoSo4[],DoanhThuThang!BQ$38,0),"")</f>
        <v/>
      </c>
      <c r="BR34" s="14" t="str">
        <f>IFERROR(VLOOKUP(IF(MOD(COLUMN(BR34),2)=0,$A34&amp;"-"&amp;BR$3,$A34&amp;"-"&amp;BQ$3),CoSo4[],DoanhThuThang!BR$38,0),"")</f>
        <v/>
      </c>
      <c r="BS34" s="14" t="str">
        <f>IFERROR(VLOOKUP(IF(MOD(COLUMN(BS34),2)=0,$A34&amp;"-"&amp;BS$3,$A34&amp;"-"&amp;BR$3),CoSo4[],DoanhThuThang!BS$38,0),"")</f>
        <v/>
      </c>
      <c r="BT34" s="11">
        <f t="shared" si="12"/>
        <v>0</v>
      </c>
      <c r="BU34" s="11">
        <f t="shared" si="12"/>
        <v>0</v>
      </c>
      <c r="BV34" s="14"/>
      <c r="BW34" s="14">
        <f>IFERROR(VLOOKUP(IF(MOD(COLUMN(BW34),2)=1,$A34&amp;"-"&amp;BW$3,$A34&amp;"-"&amp;P$3),CoSo1[],BW$38,0),"")</f>
        <v>0</v>
      </c>
      <c r="BX34" s="14">
        <f>IFERROR(VLOOKUP(IF(MOD(COLUMN(BX34),2)=1,$A34&amp;"-"&amp;BX$3,$A34&amp;"-"&amp;BW$3),CoSo1[],BX$38,0),"")</f>
        <v>0</v>
      </c>
      <c r="BY34" s="14">
        <f>IFERROR(VLOOKUP(IF(MOD(COLUMN(BY34),2)=1,$A34&amp;"-"&amp;BY$3,$A34&amp;"-"&amp;BX$3),CoSo1[],BY$38,0),"")</f>
        <v>55</v>
      </c>
      <c r="BZ34" s="14">
        <f>IFERROR(VLOOKUP(IF(MOD(COLUMN(BZ34),2)=1,$A34&amp;"-"&amp;BZ$3,$A34&amp;"-"&amp;BY$3),CoSo1[],BZ$38,0),"")</f>
        <v>1</v>
      </c>
      <c r="CA34" s="14">
        <f>IFERROR(VLOOKUP(IF(MOD(COLUMN(CA34),2)=1,$A34&amp;"-"&amp;CA$3,$A34&amp;"-"&amp;BZ$3),CoSo1[],CA$38,0),"")</f>
        <v>0</v>
      </c>
      <c r="CB34" s="14">
        <f>IFERROR(VLOOKUP(IF(MOD(COLUMN(CB34),2)=1,$A34&amp;"-"&amp;CB$3,$A34&amp;"-"&amp;CA$3),CoSo1[],CB$38,0),"")</f>
        <v>0</v>
      </c>
      <c r="CC34" s="14">
        <f>IFERROR(VLOOKUP(IF(MOD(COLUMN(CC34),2)=1,$A34&amp;"-"&amp;CC$3,$A34&amp;"-"&amp;CB$3),CoSo1[],CC$38,0),"")</f>
        <v>0</v>
      </c>
      <c r="CD34" s="14">
        <f>IFERROR(VLOOKUP(IF(MOD(COLUMN(CD34),2)=1,$A34&amp;"-"&amp;CD$3,$A34&amp;"-"&amp;CC$3),CoSo1[],CD$38,0),"")</f>
        <v>0</v>
      </c>
      <c r="CE34" s="14">
        <f>IFERROR(VLOOKUP(IF(MOD(COLUMN(CE34),2)=1,$A34&amp;"-"&amp;CE$3,$A34&amp;"-"&amp;CD$3),CoSo1[],CE$38,0),"")</f>
        <v>0</v>
      </c>
      <c r="CF34" s="14">
        <f>IFERROR(VLOOKUP(IF(MOD(COLUMN(CF34),2)=1,$A34&amp;"-"&amp;CF$3,$A34&amp;"-"&amp;CE$3),CoSo1[],CF$38,0),"")</f>
        <v>0</v>
      </c>
      <c r="CG34" s="14">
        <f>IFERROR(VLOOKUP(IF(MOD(COLUMN(CG34),2)=1,$A34&amp;"-"&amp;CG$3,$A34&amp;"-"&amp;CF$3),CoSo1[],CG$38,0),"")</f>
        <v>0</v>
      </c>
      <c r="CH34" s="14">
        <f>IFERROR(VLOOKUP(IF(MOD(COLUMN(CH34),2)=1,$A34&amp;"-"&amp;CH$3,$A34&amp;"-"&amp;CG$3),CoSo1[],CH$38,0),"")</f>
        <v>0</v>
      </c>
      <c r="CI34" s="11">
        <f t="shared" si="9"/>
        <v>55</v>
      </c>
      <c r="CJ34" s="11">
        <f t="shared" si="9"/>
        <v>1</v>
      </c>
      <c r="CK34" s="14"/>
    </row>
    <row r="35" spans="1:89" x14ac:dyDescent="0.25">
      <c r="A35" s="13">
        <v>30</v>
      </c>
      <c r="B35" s="14">
        <f>IFERROR(VLOOKUP(IF(MOD(COLUMN(B35),2)=0,$A35&amp;"-"&amp;B$3,$A35&amp;"-"&amp;A$3),CoSo1[],B$38,0),"")</f>
        <v>704</v>
      </c>
      <c r="C35" s="14">
        <f>IFERROR(VLOOKUP(IF(MOD(COLUMN(C35),2)=0,$A35&amp;"-"&amp;C$3,$A35&amp;"-"&amp;B$3),CoSo1[],C$38,0),"")</f>
        <v>9</v>
      </c>
      <c r="D35" s="14">
        <f>IFERROR(VLOOKUP(IF(MOD(COLUMN(D35),2)=0,$A35&amp;"-"&amp;D$3,$A35&amp;"-"&amp;C$3),CoSo1[],D$38,0),"")</f>
        <v>1194</v>
      </c>
      <c r="E35" s="14">
        <f>IFERROR(VLOOKUP(IF(MOD(COLUMN(E35),2)=0,$A35&amp;"-"&amp;E$3,$A35&amp;"-"&amp;D$3),CoSo1[],E$38,0),"")</f>
        <v>14</v>
      </c>
      <c r="F35" s="14">
        <f>IFERROR(VLOOKUP(IF(MOD(COLUMN(F35),2)=0,$A35&amp;"-"&amp;F$3,$A35&amp;"-"&amp;E$3),CoSo1[],F$38,0),"")</f>
        <v>0</v>
      </c>
      <c r="G35" s="14">
        <f>IFERROR(VLOOKUP(IF(MOD(COLUMN(G35),2)=0,$A35&amp;"-"&amp;G$3,$A35&amp;"-"&amp;F$3),CoSo1[],G$38,0),"")</f>
        <v>0</v>
      </c>
      <c r="H35" s="14">
        <f>IFERROR(VLOOKUP(IF(MOD(COLUMN(H35),2)=0,$A35&amp;"-"&amp;H$3,$A35&amp;"-"&amp;G$3),CoSo1[],H$38,0),"")</f>
        <v>365</v>
      </c>
      <c r="I35" s="14">
        <f>IFERROR(VLOOKUP(IF(MOD(COLUMN(I35),2)=0,$A35&amp;"-"&amp;I$3,$A35&amp;"-"&amp;H$3),CoSo1[],I$38,0),"")</f>
        <v>3</v>
      </c>
      <c r="J35" s="14">
        <f>IFERROR(VLOOKUP(IF(MOD(COLUMN(J35),2)=0,$A35&amp;"-"&amp;J$3,$A35&amp;"-"&amp;I$3),CoSo1[],J$38,0),"")</f>
        <v>0</v>
      </c>
      <c r="K35" s="14">
        <f>IFERROR(VLOOKUP(IF(MOD(COLUMN(K35),2)=0,$A35&amp;"-"&amp;K$3,$A35&amp;"-"&amp;J$3),CoSo1[],K$38,0),"")</f>
        <v>0</v>
      </c>
      <c r="L35" s="14">
        <f>IFERROR(VLOOKUP(IF(MOD(COLUMN(L35),2)=0,$A35&amp;"-"&amp;L$3,$A35&amp;"-"&amp;K$3),CoSo1[],L$38,0),"")</f>
        <v>434</v>
      </c>
      <c r="M35" s="14">
        <f>IFERROR(VLOOKUP(IF(MOD(COLUMN(M35),2)=0,$A35&amp;"-"&amp;M$3,$A35&amp;"-"&amp;L$3),CoSo1[],M$38,0),"")</f>
        <v>2</v>
      </c>
      <c r="N35" s="11">
        <f t="shared" si="13"/>
        <v>2697</v>
      </c>
      <c r="O35" s="11">
        <f t="shared" si="14"/>
        <v>28</v>
      </c>
      <c r="P35" s="14"/>
      <c r="Q35" s="14">
        <f>IFERROR(VLOOKUP(IF(MOD(COLUMN(Q35),2)=1,$A35&amp;"-"&amp;Q$3,$A35&amp;"-"&amp;AT$3),CoSo3[],DoanhThuThang!AU$38,0),"")</f>
        <v>348</v>
      </c>
      <c r="R35" s="14">
        <f>IFERROR(VLOOKUP(IF(MOD(COLUMN(R35),2)=1,$A35&amp;"-"&amp;R$3,$A35&amp;"-"&amp;Q$3),CoSo3[],DoanhThuThang!AV$38,0),"")</f>
        <v>5</v>
      </c>
      <c r="S35" s="14">
        <f>IFERROR(VLOOKUP(IF(MOD(COLUMN(S35),2)=1,$A35&amp;"-"&amp;S$3,$A35&amp;"-"&amp;R$3),CoSo3[],DoanhThuThang!AW$38,0),"")</f>
        <v>465</v>
      </c>
      <c r="T35" s="14">
        <f>IFERROR(VLOOKUP(IF(MOD(COLUMN(T35),2)=1,$A35&amp;"-"&amp;T$3,$A35&amp;"-"&amp;S$3),CoSo3[],DoanhThuThang!AX$38,0),"")</f>
        <v>5</v>
      </c>
      <c r="U35" s="11">
        <f t="shared" si="10"/>
        <v>813</v>
      </c>
      <c r="V35" s="11">
        <f t="shared" si="10"/>
        <v>10</v>
      </c>
      <c r="W35" s="14"/>
      <c r="X35" s="14" t="str">
        <f>IFERROR(VLOOKUP(IF(MOD(COLUMN(BI35),2)=1,$A35&amp;"-"&amp;BI$3,$A35&amp;"-"&amp;BH$3),CoSo4[],DoanhThuThang!BI$38,0),"")</f>
        <v/>
      </c>
      <c r="Y35" s="14" t="str">
        <f>IFERROR(VLOOKUP(IF(MOD(COLUMN(BJ35),2)=1,$A35&amp;"-"&amp;BJ$3,$A35&amp;"-"&amp;BI$3),CoSo4[],DoanhThuThang!BJ$38,0),"")</f>
        <v/>
      </c>
      <c r="Z35" s="14" t="str">
        <f>IFERROR(VLOOKUP(IF(MOD(COLUMN(BK35),2)=1,$A35&amp;"-"&amp;BK$3,$A35&amp;"-"&amp;BJ$3),CoSo4[],DoanhThuThang!BK$38,0),"")</f>
        <v/>
      </c>
      <c r="AA35" s="14" t="str">
        <f>IFERROR(VLOOKUP(IF(MOD(COLUMN(BL35),2)=1,$A35&amp;"-"&amp;BL$3,$A35&amp;"-"&amp;BK$3),CoSo4[],DoanhThuThang!BL$38,0),"")</f>
        <v/>
      </c>
      <c r="AB35" s="11">
        <f t="shared" si="1"/>
        <v>0</v>
      </c>
      <c r="AC35" s="11">
        <f t="shared" si="2"/>
        <v>0</v>
      </c>
      <c r="AD35" s="14"/>
      <c r="AF35" s="14">
        <f>IFERROR(VLOOKUP(IF(MOD(COLUMN(AF35),2)=0,$A35&amp;"-"&amp;AF$3,$A35&amp;"-"&amp;CK$3),CoSo1[],AF$38,0),"")</f>
        <v>0</v>
      </c>
      <c r="AG35" s="14">
        <f>IFERROR(VLOOKUP(IF(MOD(COLUMN(AG35),2)=0,$A35&amp;"-"&amp;AG$3,$A35&amp;"-"&amp;AF$3),CoSo1[],AG$38,0),"")</f>
        <v>0</v>
      </c>
      <c r="AH35" s="14">
        <f>IFERROR(VLOOKUP(IF(MOD(COLUMN(AH35),2)=0,$A35&amp;"-"&amp;AH$3,$A35&amp;"-"&amp;AG$3),CoSo1[],AH$38,0),"")</f>
        <v>126</v>
      </c>
      <c r="AI35" s="14">
        <f>IFERROR(VLOOKUP(IF(MOD(COLUMN(AI35),2)=0,$A35&amp;"-"&amp;AI$3,$A35&amp;"-"&amp;AH$3),CoSo1[],AI$38,0),"")</f>
        <v>2</v>
      </c>
      <c r="AJ35" s="14">
        <f>IFERROR(VLOOKUP(IF(MOD(COLUMN(AJ35),2)=0,$A35&amp;"-"&amp;AJ$3,$A35&amp;"-"&amp;AI$3),CoSo1[],AJ$38,0),"")</f>
        <v>0</v>
      </c>
      <c r="AK35" s="14">
        <f>IFERROR(VLOOKUP(IF(MOD(COLUMN(AK35),2)=0,$A35&amp;"-"&amp;AK$3,$A35&amp;"-"&amp;AJ$3),CoSo1[],AK$38,0),"")</f>
        <v>0</v>
      </c>
      <c r="AL35" s="14">
        <f>IFERROR(VLOOKUP(IF(MOD(COLUMN(AL35),2)=0,$A35&amp;"-"&amp;AL$3,$A35&amp;"-"&amp;AK$3),CoSo1[],AL$38,0),"")</f>
        <v>0</v>
      </c>
      <c r="AM35" s="14">
        <f>IFERROR(VLOOKUP(IF(MOD(COLUMN(AM35),2)=0,$A35&amp;"-"&amp;AM$3,$A35&amp;"-"&amp;AL$3),CoSo1[],AM$38,0),"")</f>
        <v>0</v>
      </c>
      <c r="AN35" s="14">
        <f>IFERROR(VLOOKUP(IF(MOD(COLUMN(AN35),2)=0,$A35&amp;"-"&amp;AN$3,$A35&amp;"-"&amp;AM$3),CoSo1[],AN$38,0),"")</f>
        <v>0</v>
      </c>
      <c r="AO35" s="14">
        <f>IFERROR(VLOOKUP(IF(MOD(COLUMN(AO35),2)=0,$A35&amp;"-"&amp;AO$3,$A35&amp;"-"&amp;AN$3),CoSo1[],AO$38,0),"")</f>
        <v>0</v>
      </c>
      <c r="AP35" s="14">
        <f>IFERROR(VLOOKUP(IF(MOD(COLUMN(AP35),2)=0,$A35&amp;"-"&amp;AP$3,$A35&amp;"-"&amp;AO$3),CoSo1[],AP$38,0),"")</f>
        <v>0</v>
      </c>
      <c r="AQ35" s="14">
        <f>IFERROR(VLOOKUP(IF(MOD(COLUMN(AQ35),2)=0,$A35&amp;"-"&amp;AQ$3,$A35&amp;"-"&amp;AP$3),CoSo1[],AQ$38,0),"")</f>
        <v>0</v>
      </c>
      <c r="AR35" s="11">
        <f t="shared" si="4"/>
        <v>126</v>
      </c>
      <c r="AS35" s="11">
        <f t="shared" si="4"/>
        <v>2</v>
      </c>
      <c r="AT35" s="14"/>
      <c r="BB35" s="14">
        <f>IFERROR(VLOOKUP(IF(MOD(COLUMN(BB35),2)=0,$A35&amp;"-"&amp;BB$3,$A35&amp;"-"&amp;W$3),CoSo3[],DoanhThuThang!BB$38,0),"")</f>
        <v>0</v>
      </c>
      <c r="BC35" s="14">
        <f>IFERROR(VLOOKUP(IF(MOD(COLUMN(BC35),2)=0,$A35&amp;"-"&amp;BC$3,$A35&amp;"-"&amp;BB$3),CoSo3[],DoanhThuThang!BC$38,0),"")</f>
        <v>0</v>
      </c>
      <c r="BD35" s="14">
        <f>IFERROR(VLOOKUP(IF(MOD(COLUMN(BD35),2)=0,$A35&amp;"-"&amp;BD$3,$A35&amp;"-"&amp;BC$3),CoSo3[],DoanhThuThang!BD$38,0),"")</f>
        <v>0</v>
      </c>
      <c r="BE35" s="14">
        <f>IFERROR(VLOOKUP(IF(MOD(COLUMN(BE35),2)=0,$A35&amp;"-"&amp;BE$3,$A35&amp;"-"&amp;BD$3),CoSo3[],DoanhThuThang!BE$38,0),"")</f>
        <v>0</v>
      </c>
      <c r="BF35" s="11">
        <f t="shared" si="11"/>
        <v>0</v>
      </c>
      <c r="BG35" s="11">
        <f t="shared" si="11"/>
        <v>0</v>
      </c>
      <c r="BH35" s="14"/>
      <c r="BI35" s="14" t="str">
        <f>IFERROR(VLOOKUP(IF(MOD(COLUMN(BI35),2)=1,$A35&amp;"-"&amp;BI$3,$A35&amp;"-"&amp;BH$3),CoSo4[],DoanhThuThang!BI$38,0),"")</f>
        <v/>
      </c>
      <c r="BJ35" s="14" t="str">
        <f>IFERROR(VLOOKUP(IF(MOD(COLUMN(BJ35),2)=1,$A35&amp;"-"&amp;BJ$3,$A35&amp;"-"&amp;BI$3),CoSo4[],DoanhThuThang!BJ$38,0),"")</f>
        <v/>
      </c>
      <c r="BK35" s="14" t="str">
        <f>IFERROR(VLOOKUP(IF(MOD(COLUMN(BK35),2)=1,$A35&amp;"-"&amp;BK$3,$A35&amp;"-"&amp;BJ$3),CoSo4[],DoanhThuThang!BK$38,0),"")</f>
        <v/>
      </c>
      <c r="BL35" s="14" t="str">
        <f>IFERROR(VLOOKUP(IF(MOD(COLUMN(BL35),2)=1,$A35&amp;"-"&amp;BL$3,$A35&amp;"-"&amp;BK$3),CoSo4[],DoanhThuThang!BL$38,0),"")</f>
        <v/>
      </c>
      <c r="BM35" s="11">
        <f t="shared" si="6"/>
        <v>0</v>
      </c>
      <c r="BN35" s="11">
        <f t="shared" si="7"/>
        <v>0</v>
      </c>
      <c r="BO35" s="14"/>
      <c r="BP35" s="14" t="str">
        <f>IFERROR(VLOOKUP(IF(MOD(COLUMN(BP35),2)=0,$A35&amp;"-"&amp;BP$3,$A35&amp;"-"&amp;BO$3),CoSo4[],DoanhThuThang!BP$38,0),"")</f>
        <v/>
      </c>
      <c r="BQ35" s="14" t="str">
        <f>IFERROR(VLOOKUP(IF(MOD(COLUMN(BQ35),2)=0,$A35&amp;"-"&amp;BQ$3,$A35&amp;"-"&amp;BP$3),CoSo4[],DoanhThuThang!BQ$38,0),"")</f>
        <v/>
      </c>
      <c r="BR35" s="14" t="str">
        <f>IFERROR(VLOOKUP(IF(MOD(COLUMN(BR35),2)=0,$A35&amp;"-"&amp;BR$3,$A35&amp;"-"&amp;BQ$3),CoSo4[],DoanhThuThang!BR$38,0),"")</f>
        <v/>
      </c>
      <c r="BS35" s="14" t="str">
        <f>IFERROR(VLOOKUP(IF(MOD(COLUMN(BS35),2)=0,$A35&amp;"-"&amp;BS$3,$A35&amp;"-"&amp;BR$3),CoSo4[],DoanhThuThang!BS$38,0),"")</f>
        <v/>
      </c>
      <c r="BT35" s="11">
        <f t="shared" si="12"/>
        <v>0</v>
      </c>
      <c r="BU35" s="11">
        <f t="shared" si="12"/>
        <v>0</v>
      </c>
      <c r="BV35" s="14"/>
      <c r="BW35" s="14">
        <f>IFERROR(VLOOKUP(IF(MOD(COLUMN(BW35),2)=1,$A35&amp;"-"&amp;BW$3,$A35&amp;"-"&amp;P$3),CoSo1[],BW$38,0),"")</f>
        <v>0</v>
      </c>
      <c r="BX35" s="14">
        <f>IFERROR(VLOOKUP(IF(MOD(COLUMN(BX35),2)=1,$A35&amp;"-"&amp;BX$3,$A35&amp;"-"&amp;BW$3),CoSo1[],BX$38,0),"")</f>
        <v>0</v>
      </c>
      <c r="BY35" s="14">
        <f>IFERROR(VLOOKUP(IF(MOD(COLUMN(BY35),2)=1,$A35&amp;"-"&amp;BY$3,$A35&amp;"-"&amp;BX$3),CoSo1[],BY$38,0),"")</f>
        <v>0</v>
      </c>
      <c r="BZ35" s="14">
        <f>IFERROR(VLOOKUP(IF(MOD(COLUMN(BZ35),2)=1,$A35&amp;"-"&amp;BZ$3,$A35&amp;"-"&amp;BY$3),CoSo1[],BZ$38,0),"")</f>
        <v>0</v>
      </c>
      <c r="CA35" s="14">
        <f>IFERROR(VLOOKUP(IF(MOD(COLUMN(CA35),2)=1,$A35&amp;"-"&amp;CA$3,$A35&amp;"-"&amp;BZ$3),CoSo1[],CA$38,0),"")</f>
        <v>0</v>
      </c>
      <c r="CB35" s="14">
        <f>IFERROR(VLOOKUP(IF(MOD(COLUMN(CB35),2)=1,$A35&amp;"-"&amp;CB$3,$A35&amp;"-"&amp;CA$3),CoSo1[],CB$38,0),"")</f>
        <v>0</v>
      </c>
      <c r="CC35" s="14">
        <f>IFERROR(VLOOKUP(IF(MOD(COLUMN(CC35),2)=1,$A35&amp;"-"&amp;CC$3,$A35&amp;"-"&amp;CB$3),CoSo1[],CC$38,0),"")</f>
        <v>0</v>
      </c>
      <c r="CD35" s="14">
        <f>IFERROR(VLOOKUP(IF(MOD(COLUMN(CD35),2)=1,$A35&amp;"-"&amp;CD$3,$A35&amp;"-"&amp;CC$3),CoSo1[],CD$38,0),"")</f>
        <v>0</v>
      </c>
      <c r="CE35" s="14">
        <f>IFERROR(VLOOKUP(IF(MOD(COLUMN(CE35),2)=1,$A35&amp;"-"&amp;CE$3,$A35&amp;"-"&amp;CD$3),CoSo1[],CE$38,0),"")</f>
        <v>0</v>
      </c>
      <c r="CF35" s="14">
        <f>IFERROR(VLOOKUP(IF(MOD(COLUMN(CF35),2)=1,$A35&amp;"-"&amp;CF$3,$A35&amp;"-"&amp;CE$3),CoSo1[],CF$38,0),"")</f>
        <v>0</v>
      </c>
      <c r="CG35" s="14">
        <f>IFERROR(VLOOKUP(IF(MOD(COLUMN(CG35),2)=1,$A35&amp;"-"&amp;CG$3,$A35&amp;"-"&amp;CF$3),CoSo1[],CG$38,0),"")</f>
        <v>0</v>
      </c>
      <c r="CH35" s="14">
        <f>IFERROR(VLOOKUP(IF(MOD(COLUMN(CH35),2)=1,$A35&amp;"-"&amp;CH$3,$A35&amp;"-"&amp;CG$3),CoSo1[],CH$38,0),"")</f>
        <v>0</v>
      </c>
      <c r="CI35" s="11">
        <f t="shared" si="9"/>
        <v>0</v>
      </c>
      <c r="CJ35" s="11">
        <f t="shared" si="9"/>
        <v>0</v>
      </c>
      <c r="CK35" s="14"/>
    </row>
    <row r="36" spans="1:89" x14ac:dyDescent="0.25">
      <c r="A36" s="13">
        <v>31</v>
      </c>
      <c r="B36" s="14" t="str">
        <f>IFERROR(VLOOKUP(IF(MOD(COLUMN(B36),2)=0,$A36&amp;"-"&amp;B$3,$A36&amp;"-"&amp;A$3),CoSo1[],B$38,0),"")</f>
        <v/>
      </c>
      <c r="C36" s="14" t="str">
        <f>IFERROR(VLOOKUP(IF(MOD(COLUMN(C36),2)=0,$A36&amp;"-"&amp;C$3,$A36&amp;"-"&amp;B$3),CoSo1[],C$38,0),"")</f>
        <v/>
      </c>
      <c r="D36" s="14" t="str">
        <f>IFERROR(VLOOKUP(IF(MOD(COLUMN(D36),2)=0,$A36&amp;"-"&amp;D$3,$A36&amp;"-"&amp;C$3),CoSo1[],D$38,0),"")</f>
        <v/>
      </c>
      <c r="E36" s="14" t="str">
        <f>IFERROR(VLOOKUP(IF(MOD(COLUMN(E36),2)=0,$A36&amp;"-"&amp;E$3,$A36&amp;"-"&amp;D$3),CoSo1[],E$38,0),"")</f>
        <v/>
      </c>
      <c r="F36" s="14" t="str">
        <f>IFERROR(VLOOKUP(IF(MOD(COLUMN(F36),2)=0,$A36&amp;"-"&amp;F$3,$A36&amp;"-"&amp;E$3),CoSo1[],F$38,0),"")</f>
        <v/>
      </c>
      <c r="G36" s="14" t="str">
        <f>IFERROR(VLOOKUP(IF(MOD(COLUMN(G36),2)=0,$A36&amp;"-"&amp;G$3,$A36&amp;"-"&amp;F$3),CoSo1[],G$38,0),"")</f>
        <v/>
      </c>
      <c r="H36" s="14" t="str">
        <f>IFERROR(VLOOKUP(IF(MOD(COLUMN(H36),2)=0,$A36&amp;"-"&amp;H$3,$A36&amp;"-"&amp;G$3),CoSo1[],H$38,0),"")</f>
        <v/>
      </c>
      <c r="I36" s="14" t="str">
        <f>IFERROR(VLOOKUP(IF(MOD(COLUMN(I36),2)=0,$A36&amp;"-"&amp;I$3,$A36&amp;"-"&amp;H$3),CoSo1[],I$38,0),"")</f>
        <v/>
      </c>
      <c r="J36" s="14" t="str">
        <f>IFERROR(VLOOKUP(IF(MOD(COLUMN(J36),2)=0,$A36&amp;"-"&amp;J$3,$A36&amp;"-"&amp;I$3),CoSo1[],J$38,0),"")</f>
        <v/>
      </c>
      <c r="K36" s="14" t="str">
        <f>IFERROR(VLOOKUP(IF(MOD(COLUMN(K36),2)=0,$A36&amp;"-"&amp;K$3,$A36&amp;"-"&amp;J$3),CoSo1[],K$38,0),"")</f>
        <v/>
      </c>
      <c r="L36" s="14" t="str">
        <f>IFERROR(VLOOKUP(IF(MOD(COLUMN(L36),2)=0,$A36&amp;"-"&amp;L$3,$A36&amp;"-"&amp;K$3),CoSo1[],L$38,0),"")</f>
        <v/>
      </c>
      <c r="M36" s="14" t="str">
        <f>IFERROR(VLOOKUP(IF(MOD(COLUMN(M36),2)=0,$A36&amp;"-"&amp;M$3,$A36&amp;"-"&amp;L$3),CoSo1[],M$38,0),"")</f>
        <v/>
      </c>
      <c r="N36" s="11">
        <f t="shared" si="13"/>
        <v>0</v>
      </c>
      <c r="O36" s="11">
        <f t="shared" si="14"/>
        <v>0</v>
      </c>
      <c r="P36" s="14"/>
      <c r="Q36" s="14" t="str">
        <f>IFERROR(VLOOKUP(IF(MOD(COLUMN(Q36),2)=1,$A36&amp;"-"&amp;Q$3,$A36&amp;"-"&amp;AT$3),CoSo3[],DoanhThuThang!AU$38,0),"")</f>
        <v/>
      </c>
      <c r="R36" s="14" t="str">
        <f>IFERROR(VLOOKUP(IF(MOD(COLUMN(R36),2)=1,$A36&amp;"-"&amp;R$3,$A36&amp;"-"&amp;Q$3),CoSo3[],DoanhThuThang!AV$38,0),"")</f>
        <v/>
      </c>
      <c r="S36" s="14" t="str">
        <f>IFERROR(VLOOKUP(IF(MOD(COLUMN(S36),2)=1,$A36&amp;"-"&amp;S$3,$A36&amp;"-"&amp;R$3),CoSo3[],DoanhThuThang!AW$38,0),"")</f>
        <v/>
      </c>
      <c r="T36" s="14" t="str">
        <f>IFERROR(VLOOKUP(IF(MOD(COLUMN(T36),2)=1,$A36&amp;"-"&amp;T$3,$A36&amp;"-"&amp;S$3),CoSo3[],DoanhThuThang!AX$38,0),"")</f>
        <v/>
      </c>
      <c r="U36" s="11">
        <f t="shared" si="10"/>
        <v>0</v>
      </c>
      <c r="V36" s="11">
        <f t="shared" si="10"/>
        <v>0</v>
      </c>
      <c r="W36" s="14"/>
      <c r="X36" s="14" t="str">
        <f>IFERROR(VLOOKUP(IF(MOD(COLUMN(BI36),2)=1,$A36&amp;"-"&amp;BI$3,$A36&amp;"-"&amp;BH$3),CoSo4[],DoanhThuThang!BI$38,0),"")</f>
        <v/>
      </c>
      <c r="Y36" s="14" t="str">
        <f>IFERROR(VLOOKUP(IF(MOD(COLUMN(BJ36),2)=1,$A36&amp;"-"&amp;BJ$3,$A36&amp;"-"&amp;BI$3),CoSo4[],DoanhThuThang!BJ$38,0),"")</f>
        <v/>
      </c>
      <c r="Z36" s="14" t="str">
        <f>IFERROR(VLOOKUP(IF(MOD(COLUMN(BK36),2)=1,$A36&amp;"-"&amp;BK$3,$A36&amp;"-"&amp;BJ$3),CoSo4[],DoanhThuThang!BK$38,0),"")</f>
        <v/>
      </c>
      <c r="AA36" s="14" t="str">
        <f>IFERROR(VLOOKUP(IF(MOD(COLUMN(BL36),2)=1,$A36&amp;"-"&amp;BL$3,$A36&amp;"-"&amp;BK$3),CoSo4[],DoanhThuThang!BL$38,0),"")</f>
        <v/>
      </c>
      <c r="AB36" s="11">
        <f t="shared" si="1"/>
        <v>0</v>
      </c>
      <c r="AC36" s="11">
        <f t="shared" si="2"/>
        <v>0</v>
      </c>
      <c r="AD36" s="14"/>
      <c r="AF36" s="14" t="str">
        <f>IFERROR(VLOOKUP(IF(MOD(COLUMN(AF36),2)=0,$A36&amp;"-"&amp;AF$3,$A36&amp;"-"&amp;CK$3),CoSo1[],AF$38,0),"")</f>
        <v/>
      </c>
      <c r="AG36" s="14" t="str">
        <f>IFERROR(VLOOKUP(IF(MOD(COLUMN(AG36),2)=0,$A36&amp;"-"&amp;AG$3,$A36&amp;"-"&amp;AF$3),CoSo1[],AG$38,0),"")</f>
        <v/>
      </c>
      <c r="AH36" s="14" t="str">
        <f>IFERROR(VLOOKUP(IF(MOD(COLUMN(AH36),2)=0,$A36&amp;"-"&amp;AH$3,$A36&amp;"-"&amp;AG$3),CoSo1[],AH$38,0),"")</f>
        <v/>
      </c>
      <c r="AI36" s="14" t="str">
        <f>IFERROR(VLOOKUP(IF(MOD(COLUMN(AI36),2)=0,$A36&amp;"-"&amp;AI$3,$A36&amp;"-"&amp;AH$3),CoSo1[],AI$38,0),"")</f>
        <v/>
      </c>
      <c r="AJ36" s="14" t="str">
        <f>IFERROR(VLOOKUP(IF(MOD(COLUMN(AJ36),2)=0,$A36&amp;"-"&amp;AJ$3,$A36&amp;"-"&amp;AI$3),CoSo1[],AJ$38,0),"")</f>
        <v/>
      </c>
      <c r="AK36" s="14" t="str">
        <f>IFERROR(VLOOKUP(IF(MOD(COLUMN(AK36),2)=0,$A36&amp;"-"&amp;AK$3,$A36&amp;"-"&amp;AJ$3),CoSo1[],AK$38,0),"")</f>
        <v/>
      </c>
      <c r="AL36" s="14" t="str">
        <f>IFERROR(VLOOKUP(IF(MOD(COLUMN(AL36),2)=0,$A36&amp;"-"&amp;AL$3,$A36&amp;"-"&amp;AK$3),CoSo1[],AL$38,0),"")</f>
        <v/>
      </c>
      <c r="AM36" s="14" t="str">
        <f>IFERROR(VLOOKUP(IF(MOD(COLUMN(AM36),2)=0,$A36&amp;"-"&amp;AM$3,$A36&amp;"-"&amp;AL$3),CoSo1[],AM$38,0),"")</f>
        <v/>
      </c>
      <c r="AN36" s="14" t="str">
        <f>IFERROR(VLOOKUP(IF(MOD(COLUMN(AN36),2)=0,$A36&amp;"-"&amp;AN$3,$A36&amp;"-"&amp;AM$3),CoSo1[],AN$38,0),"")</f>
        <v/>
      </c>
      <c r="AO36" s="14" t="str">
        <f>IFERROR(VLOOKUP(IF(MOD(COLUMN(AO36),2)=0,$A36&amp;"-"&amp;AO$3,$A36&amp;"-"&amp;AN$3),CoSo1[],AO$38,0),"")</f>
        <v/>
      </c>
      <c r="AP36" s="14" t="str">
        <f>IFERROR(VLOOKUP(IF(MOD(COLUMN(AP36),2)=0,$A36&amp;"-"&amp;AP$3,$A36&amp;"-"&amp;AO$3),CoSo1[],AP$38,0),"")</f>
        <v/>
      </c>
      <c r="AQ36" s="14" t="str">
        <f>IFERROR(VLOOKUP(IF(MOD(COLUMN(AQ36),2)=0,$A36&amp;"-"&amp;AQ$3,$A36&amp;"-"&amp;AP$3),CoSo1[],AQ$38,0),"")</f>
        <v/>
      </c>
      <c r="AR36" s="11">
        <f t="shared" si="4"/>
        <v>0</v>
      </c>
      <c r="AS36" s="11">
        <f t="shared" si="4"/>
        <v>0</v>
      </c>
      <c r="AT36" s="14"/>
      <c r="BB36" s="14" t="str">
        <f>IFERROR(VLOOKUP(IF(MOD(COLUMN(BB36),2)=0,$A36&amp;"-"&amp;BB$3,$A36&amp;"-"&amp;W$3),CoSo3[],DoanhThuThang!BB$38,0),"")</f>
        <v/>
      </c>
      <c r="BC36" s="14" t="str">
        <f>IFERROR(VLOOKUP(IF(MOD(COLUMN(BC36),2)=0,$A36&amp;"-"&amp;BC$3,$A36&amp;"-"&amp;BB$3),CoSo3[],DoanhThuThang!BC$38,0),"")</f>
        <v/>
      </c>
      <c r="BD36" s="14" t="str">
        <f>IFERROR(VLOOKUP(IF(MOD(COLUMN(BD36),2)=0,$A36&amp;"-"&amp;BD$3,$A36&amp;"-"&amp;BC$3),CoSo3[],DoanhThuThang!BD$38,0),"")</f>
        <v/>
      </c>
      <c r="BE36" s="14" t="str">
        <f>IFERROR(VLOOKUP(IF(MOD(COLUMN(BE36),2)=0,$A36&amp;"-"&amp;BE$3,$A36&amp;"-"&amp;BD$3),CoSo3[],DoanhThuThang!BE$38,0),"")</f>
        <v/>
      </c>
      <c r="BF36" s="11">
        <f t="shared" si="11"/>
        <v>0</v>
      </c>
      <c r="BG36" s="11">
        <f t="shared" si="11"/>
        <v>0</v>
      </c>
      <c r="BH36" s="14"/>
      <c r="BI36" s="14" t="str">
        <f>IFERROR(VLOOKUP(IF(MOD(COLUMN(BI36),2)=1,$A36&amp;"-"&amp;BI$3,$A36&amp;"-"&amp;BH$3),CoSo4[],DoanhThuThang!BI$38,0),"")</f>
        <v/>
      </c>
      <c r="BJ36" s="14" t="str">
        <f>IFERROR(VLOOKUP(IF(MOD(COLUMN(BJ36),2)=1,$A36&amp;"-"&amp;BJ$3,$A36&amp;"-"&amp;BI$3),CoSo4[],DoanhThuThang!BJ$38,0),"")</f>
        <v/>
      </c>
      <c r="BK36" s="14" t="str">
        <f>IFERROR(VLOOKUP(IF(MOD(COLUMN(BK36),2)=1,$A36&amp;"-"&amp;BK$3,$A36&amp;"-"&amp;BJ$3),CoSo4[],DoanhThuThang!BK$38,0),"")</f>
        <v/>
      </c>
      <c r="BL36" s="14" t="str">
        <f>IFERROR(VLOOKUP(IF(MOD(COLUMN(BL36),2)=1,$A36&amp;"-"&amp;BL$3,$A36&amp;"-"&amp;BK$3),CoSo4[],DoanhThuThang!BL$38,0),"")</f>
        <v/>
      </c>
      <c r="BM36" s="11">
        <f t="shared" si="6"/>
        <v>0</v>
      </c>
      <c r="BN36" s="11">
        <f t="shared" si="7"/>
        <v>0</v>
      </c>
      <c r="BO36" s="14"/>
      <c r="BP36" s="14" t="str">
        <f>IFERROR(VLOOKUP(IF(MOD(COLUMN(BP36),2)=0,$A36&amp;"-"&amp;BP$3,$A36&amp;"-"&amp;BO$3),CoSo4[],DoanhThuThang!BP$38,0),"")</f>
        <v/>
      </c>
      <c r="BQ36" s="14" t="str">
        <f>IFERROR(VLOOKUP(IF(MOD(COLUMN(BQ36),2)=0,$A36&amp;"-"&amp;BQ$3,$A36&amp;"-"&amp;BP$3),CoSo4[],DoanhThuThang!BQ$38,0),"")</f>
        <v/>
      </c>
      <c r="BR36" s="14" t="str">
        <f>IFERROR(VLOOKUP(IF(MOD(COLUMN(BR36),2)=0,$A36&amp;"-"&amp;BR$3,$A36&amp;"-"&amp;BQ$3),CoSo4[],DoanhThuThang!BR$38,0),"")</f>
        <v/>
      </c>
      <c r="BS36" s="14" t="str">
        <f>IFERROR(VLOOKUP(IF(MOD(COLUMN(BS36),2)=0,$A36&amp;"-"&amp;BS$3,$A36&amp;"-"&amp;BR$3),CoSo4[],DoanhThuThang!BS$38,0),"")</f>
        <v/>
      </c>
      <c r="BT36" s="11">
        <f t="shared" si="12"/>
        <v>0</v>
      </c>
      <c r="BU36" s="11">
        <f t="shared" si="12"/>
        <v>0</v>
      </c>
      <c r="BV36" s="14"/>
      <c r="BW36" s="14" t="str">
        <f>IFERROR(VLOOKUP(IF(MOD(COLUMN(BW36),2)=1,$A36&amp;"-"&amp;BW$3,$A36&amp;"-"&amp;P$3),CoSo1[],BW$38,0),"")</f>
        <v/>
      </c>
      <c r="BX36" s="14" t="str">
        <f>IFERROR(VLOOKUP(IF(MOD(COLUMN(BX36),2)=1,$A36&amp;"-"&amp;BX$3,$A36&amp;"-"&amp;BW$3),CoSo1[],BX$38,0),"")</f>
        <v/>
      </c>
      <c r="BY36" s="14" t="str">
        <f>IFERROR(VLOOKUP(IF(MOD(COLUMN(BY36),2)=1,$A36&amp;"-"&amp;BY$3,$A36&amp;"-"&amp;BX$3),CoSo1[],BY$38,0),"")</f>
        <v/>
      </c>
      <c r="BZ36" s="14" t="str">
        <f>IFERROR(VLOOKUP(IF(MOD(COLUMN(BZ36),2)=1,$A36&amp;"-"&amp;BZ$3,$A36&amp;"-"&amp;BY$3),CoSo1[],BZ$38,0),"")</f>
        <v/>
      </c>
      <c r="CA36" s="14" t="str">
        <f>IFERROR(VLOOKUP(IF(MOD(COLUMN(CA36),2)=1,$A36&amp;"-"&amp;CA$3,$A36&amp;"-"&amp;BZ$3),CoSo1[],CA$38,0),"")</f>
        <v/>
      </c>
      <c r="CB36" s="14" t="str">
        <f>IFERROR(VLOOKUP(IF(MOD(COLUMN(CB36),2)=1,$A36&amp;"-"&amp;CB$3,$A36&amp;"-"&amp;CA$3),CoSo1[],CB$38,0),"")</f>
        <v/>
      </c>
      <c r="CC36" s="14" t="str">
        <f>IFERROR(VLOOKUP(IF(MOD(COLUMN(CC36),2)=1,$A36&amp;"-"&amp;CC$3,$A36&amp;"-"&amp;CB$3),CoSo1[],CC$38,0),"")</f>
        <v/>
      </c>
      <c r="CD36" s="14" t="str">
        <f>IFERROR(VLOOKUP(IF(MOD(COLUMN(CD36),2)=1,$A36&amp;"-"&amp;CD$3,$A36&amp;"-"&amp;CC$3),CoSo1[],CD$38,0),"")</f>
        <v/>
      </c>
      <c r="CE36" s="14" t="str">
        <f>IFERROR(VLOOKUP(IF(MOD(COLUMN(CE36),2)=1,$A36&amp;"-"&amp;CE$3,$A36&amp;"-"&amp;CD$3),CoSo1[],CE$38,0),"")</f>
        <v/>
      </c>
      <c r="CF36" s="14" t="str">
        <f>IFERROR(VLOOKUP(IF(MOD(COLUMN(CF36),2)=1,$A36&amp;"-"&amp;CF$3,$A36&amp;"-"&amp;CE$3),CoSo1[],CF$38,0),"")</f>
        <v/>
      </c>
      <c r="CG36" s="14" t="str">
        <f>IFERROR(VLOOKUP(IF(MOD(COLUMN(CG36),2)=1,$A36&amp;"-"&amp;CG$3,$A36&amp;"-"&amp;CF$3),CoSo1[],CG$38,0),"")</f>
        <v/>
      </c>
      <c r="CH36" s="14" t="str">
        <f>IFERROR(VLOOKUP(IF(MOD(COLUMN(CH36),2)=1,$A36&amp;"-"&amp;CH$3,$A36&amp;"-"&amp;CG$3),CoSo1[],CH$38,0),"")</f>
        <v/>
      </c>
      <c r="CI36" s="11">
        <f t="shared" si="9"/>
        <v>0</v>
      </c>
      <c r="CJ36" s="11">
        <f t="shared" si="9"/>
        <v>0</v>
      </c>
      <c r="CK36" s="14"/>
    </row>
    <row r="38" spans="1:89" x14ac:dyDescent="0.25">
      <c r="B38">
        <v>5</v>
      </c>
      <c r="C38">
        <v>6</v>
      </c>
      <c r="D38">
        <v>5</v>
      </c>
      <c r="E38">
        <v>6</v>
      </c>
      <c r="F38">
        <v>7</v>
      </c>
      <c r="G38">
        <v>8</v>
      </c>
      <c r="H38">
        <v>7</v>
      </c>
      <c r="I38">
        <v>8</v>
      </c>
      <c r="J38">
        <v>9</v>
      </c>
      <c r="K38">
        <v>10</v>
      </c>
      <c r="L38">
        <v>9</v>
      </c>
      <c r="M38">
        <v>10</v>
      </c>
      <c r="Q38">
        <v>5</v>
      </c>
      <c r="R38">
        <v>6</v>
      </c>
      <c r="S38">
        <v>5</v>
      </c>
      <c r="T38">
        <v>6</v>
      </c>
      <c r="X38">
        <v>5</v>
      </c>
      <c r="Y38">
        <v>6</v>
      </c>
      <c r="Z38">
        <v>5</v>
      </c>
      <c r="AA38">
        <v>6</v>
      </c>
      <c r="AF38">
        <v>17</v>
      </c>
      <c r="AG38">
        <v>18</v>
      </c>
      <c r="AH38">
        <v>17</v>
      </c>
      <c r="AI38">
        <v>18</v>
      </c>
      <c r="AJ38">
        <v>19</v>
      </c>
      <c r="AK38">
        <v>20</v>
      </c>
      <c r="AL38">
        <v>19</v>
      </c>
      <c r="AM38">
        <v>20</v>
      </c>
      <c r="AN38">
        <v>21</v>
      </c>
      <c r="AO38">
        <v>22</v>
      </c>
      <c r="AP38">
        <v>21</v>
      </c>
      <c r="AQ38">
        <v>22</v>
      </c>
      <c r="BB38">
        <v>7</v>
      </c>
      <c r="BC38">
        <v>8</v>
      </c>
      <c r="BD38">
        <v>7</v>
      </c>
      <c r="BE38">
        <v>8</v>
      </c>
      <c r="BI38">
        <v>5</v>
      </c>
      <c r="BJ38">
        <v>6</v>
      </c>
      <c r="BK38">
        <v>5</v>
      </c>
      <c r="BL38">
        <v>6</v>
      </c>
      <c r="BP38">
        <v>7</v>
      </c>
      <c r="BQ38">
        <v>8</v>
      </c>
      <c r="BR38">
        <v>7</v>
      </c>
      <c r="BS38">
        <v>8</v>
      </c>
      <c r="BW38">
        <v>11</v>
      </c>
      <c r="BX38">
        <v>12</v>
      </c>
      <c r="BY38">
        <v>11</v>
      </c>
      <c r="BZ38">
        <v>12</v>
      </c>
      <c r="CA38">
        <v>13</v>
      </c>
      <c r="CB38">
        <v>14</v>
      </c>
      <c r="CC38">
        <v>13</v>
      </c>
      <c r="CD38">
        <v>14</v>
      </c>
      <c r="CE38">
        <v>15</v>
      </c>
      <c r="CF38">
        <v>16</v>
      </c>
      <c r="CG38">
        <v>15</v>
      </c>
      <c r="CH38">
        <v>16</v>
      </c>
    </row>
  </sheetData>
  <sheetProtection sheet="1" objects="1" scenarios="1"/>
  <mergeCells count="67">
    <mergeCell ref="Z3:AA3"/>
    <mergeCell ref="AB3:AB4"/>
    <mergeCell ref="AS3:AS4"/>
    <mergeCell ref="CE3:CF3"/>
    <mergeCell ref="CG3:CH3"/>
    <mergeCell ref="BY3:BZ3"/>
    <mergeCell ref="CC3:CD3"/>
    <mergeCell ref="BP3:BQ3"/>
    <mergeCell ref="BR3:BS3"/>
    <mergeCell ref="BT3:BT4"/>
    <mergeCell ref="BU3:BU4"/>
    <mergeCell ref="BD3:BE3"/>
    <mergeCell ref="BF3:BF4"/>
    <mergeCell ref="BG3:BG4"/>
    <mergeCell ref="CI3:CI4"/>
    <mergeCell ref="CJ3:CJ4"/>
    <mergeCell ref="Q3:R3"/>
    <mergeCell ref="S3:T3"/>
    <mergeCell ref="U3:U4"/>
    <mergeCell ref="V3:V4"/>
    <mergeCell ref="BB3:BC3"/>
    <mergeCell ref="AC3:AC4"/>
    <mergeCell ref="AH3:AI3"/>
    <mergeCell ref="AJ3:AK3"/>
    <mergeCell ref="AL3:AM3"/>
    <mergeCell ref="AN3:AO3"/>
    <mergeCell ref="AP3:AQ3"/>
    <mergeCell ref="AR3:AR4"/>
    <mergeCell ref="CA3:CB3"/>
    <mergeCell ref="BW3:BX3"/>
    <mergeCell ref="A3:A4"/>
    <mergeCell ref="B3:C3"/>
    <mergeCell ref="D3:E3"/>
    <mergeCell ref="F3:G3"/>
    <mergeCell ref="H3:I3"/>
    <mergeCell ref="J3:K3"/>
    <mergeCell ref="BP1:BV1"/>
    <mergeCell ref="B2:E2"/>
    <mergeCell ref="F2:I2"/>
    <mergeCell ref="J2:M2"/>
    <mergeCell ref="B1:P1"/>
    <mergeCell ref="BN3:BN4"/>
    <mergeCell ref="L3:M3"/>
    <mergeCell ref="N3:N4"/>
    <mergeCell ref="O3:O4"/>
    <mergeCell ref="AF3:AG3"/>
    <mergeCell ref="BI3:BJ3"/>
    <mergeCell ref="BK3:BL3"/>
    <mergeCell ref="BM3:BM4"/>
    <mergeCell ref="X2:AA2"/>
    <mergeCell ref="X3:Y3"/>
    <mergeCell ref="CE2:CH2"/>
    <mergeCell ref="AF2:AI2"/>
    <mergeCell ref="AJ2:AM2"/>
    <mergeCell ref="AN2:AQ2"/>
    <mergeCell ref="Q2:T2"/>
    <mergeCell ref="BB2:BE2"/>
    <mergeCell ref="BI2:BL2"/>
    <mergeCell ref="BP2:BS2"/>
    <mergeCell ref="BU2:BV2"/>
    <mergeCell ref="CA2:CD2"/>
    <mergeCell ref="BW1:CK1"/>
    <mergeCell ref="AF1:AT1"/>
    <mergeCell ref="Q1:W1"/>
    <mergeCell ref="BB1:BH1"/>
    <mergeCell ref="BI1:BO1"/>
    <mergeCell ref="X1:AD1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D34"/>
  <sheetViews>
    <sheetView workbookViewId="0">
      <selection activeCell="C4" sqref="C4"/>
    </sheetView>
  </sheetViews>
  <sheetFormatPr defaultColWidth="8.85546875" defaultRowHeight="15" x14ac:dyDescent="0.25"/>
  <cols>
    <col min="1" max="1" width="9.140625" customWidth="1"/>
    <col min="2" max="4" width="16.42578125" style="42" customWidth="1"/>
    <col min="5" max="5" width="8.140625" customWidth="1"/>
  </cols>
  <sheetData>
    <row r="1" spans="1:4" x14ac:dyDescent="0.25">
      <c r="A1" s="169" t="s">
        <v>10</v>
      </c>
      <c r="B1" s="166" t="s">
        <v>70</v>
      </c>
      <c r="C1" s="167" t="s">
        <v>71</v>
      </c>
      <c r="D1" s="168" t="s">
        <v>72</v>
      </c>
    </row>
    <row r="2" spans="1:4" x14ac:dyDescent="0.25">
      <c r="A2" s="169"/>
      <c r="B2" s="166"/>
      <c r="C2" s="167"/>
      <c r="D2" s="168"/>
    </row>
    <row r="3" spans="1:4" x14ac:dyDescent="0.25">
      <c r="A3" s="169"/>
      <c r="B3" s="166"/>
      <c r="C3" s="167"/>
      <c r="D3" s="168"/>
    </row>
    <row r="4" spans="1:4" x14ac:dyDescent="0.25">
      <c r="A4" s="37">
        <v>1</v>
      </c>
      <c r="B4" s="65">
        <f>VLOOKUP(1,DoanhThuThang!A6:N36,14,TRUE)+VLOOKUP(1,DoanhThuThang!A6:AY36,51,TRUE)+VLOOKUP(1,DoanhThuThang!A6:BM36,65,TRUE)</f>
        <v>2669</v>
      </c>
      <c r="C4" s="66">
        <f>VLOOKUP(1,DoanhThuThang!A6:AC36,29,TRUE)+VLOOKUP(1,DoanhThuThang!A6:BT36,72,TRUE)</f>
        <v>129</v>
      </c>
      <c r="D4" s="67">
        <f>VLOOKUP(1,DoanhThuThang!A6:AS36,44,TRUE)+VLOOKUP(1,DoanhThuThang!A6:BF36,58,TRUE)</f>
        <v>0</v>
      </c>
    </row>
    <row r="5" spans="1:4" x14ac:dyDescent="0.25">
      <c r="A5" s="37">
        <v>2</v>
      </c>
      <c r="B5" s="41">
        <f>VLOOKUP(2,DoanhThuThang!A6:N36,14,TRUE)+VLOOKUP(2,DoanhThuThang!A6:AY36,51,TRUE)+VLOOKUP(2,DoanhThuThang!A6:BM36,65,TRUE)</f>
        <v>4071</v>
      </c>
      <c r="C5" s="45">
        <f>VLOOKUP(2,DoanhThuThang!A6:AC36,29,TRUE)+VLOOKUP(2,DoanhThuThang!A6:BT36,72,TRUE)</f>
        <v>0</v>
      </c>
      <c r="D5" s="48">
        <f>VLOOKUP(2,DoanhThuThang!A6:AS36,44,TRUE)+VLOOKUP(2,DoanhThuThang!A6:BF36,58,TRUE)</f>
        <v>0</v>
      </c>
    </row>
    <row r="6" spans="1:4" x14ac:dyDescent="0.25">
      <c r="A6" s="37">
        <v>3</v>
      </c>
      <c r="B6" s="41">
        <f>VLOOKUP(3,DoanhThuThang!A6:N36,14,TRUE)+VLOOKUP(3,DoanhThuThang!A6:AY36,51,TRUE)+VLOOKUP(3,DoanhThuThang!A6:BM36,65,TRUE)</f>
        <v>1875</v>
      </c>
      <c r="C6" s="45">
        <f>VLOOKUP(3,DoanhThuThang!A6:AC36,29,TRUE)+VLOOKUP(3,DoanhThuThang!A6:BT36,72,TRUE)</f>
        <v>166</v>
      </c>
      <c r="D6" s="48">
        <f>VLOOKUP(3,DoanhThuThang!A6:AS36,44,TRUE)+VLOOKUP(3,DoanhThuThang!A6:BF36,58,TRUE)</f>
        <v>90</v>
      </c>
    </row>
    <row r="7" spans="1:4" x14ac:dyDescent="0.25">
      <c r="A7" s="37">
        <v>4</v>
      </c>
      <c r="B7" s="41">
        <f>VLOOKUP(4,DoanhThuThang!A6:N36,14,TRUE)+VLOOKUP(4,DoanhThuThang!A6:AY36,51,TRUE)+VLOOKUP(4,DoanhThuThang!A6:BM36,65,TRUE)</f>
        <v>1719</v>
      </c>
      <c r="C7" s="45">
        <f>VLOOKUP(4,DoanhThuThang!A6:AC36,29,TRUE)+VLOOKUP(4,DoanhThuThang!A6:BT36,72,TRUE)</f>
        <v>0</v>
      </c>
      <c r="D7" s="48">
        <f>VLOOKUP(4,DoanhThuThang!A6:AS36,44,TRUE)+VLOOKUP(4,DoanhThuThang!A6:BF36,58,TRUE)</f>
        <v>80</v>
      </c>
    </row>
    <row r="8" spans="1:4" x14ac:dyDescent="0.25">
      <c r="A8" s="37">
        <v>5</v>
      </c>
      <c r="B8" s="41">
        <f>VLOOKUP(5,DoanhThuThang!A6:N36,14,TRUE)+VLOOKUP(5,DoanhThuThang!A6:AY36,51,TRUE)+VLOOKUP(5,DoanhThuThang!A6:BM36,65,TRUE)</f>
        <v>2287</v>
      </c>
      <c r="C8" s="45">
        <f>VLOOKUP(5,DoanhThuThang!A6:AC36,29,TRUE)+VLOOKUP(5,DoanhThuThang!A6:BT36,72,TRUE)</f>
        <v>25</v>
      </c>
      <c r="D8" s="48">
        <f>VLOOKUP(5,DoanhThuThang!A6:AS36,44,TRUE)+VLOOKUP(5,DoanhThuThang!A6:BF36,58,TRUE)</f>
        <v>168</v>
      </c>
    </row>
    <row r="9" spans="1:4" x14ac:dyDescent="0.25">
      <c r="A9" s="37">
        <v>6</v>
      </c>
      <c r="B9" s="41">
        <f>VLOOKUP(6,DoanhThuThang!A6:N36,14,TRUE)+VLOOKUP(6,DoanhThuThang!A6:AY36,51,TRUE)+VLOOKUP(6,DoanhThuThang!A6:BM36,65,TRUE)</f>
        <v>2415</v>
      </c>
      <c r="C9" s="45">
        <f>VLOOKUP(6,DoanhThuThang!A6:AC36,29,TRUE)+VLOOKUP(6,DoanhThuThang!A6:BT36,72,TRUE)</f>
        <v>108</v>
      </c>
      <c r="D9" s="48">
        <f>VLOOKUP(6,DoanhThuThang!A6:AS36,44,TRUE)+VLOOKUP(6,DoanhThuThang!A6:BF36,58,TRUE)</f>
        <v>0</v>
      </c>
    </row>
    <row r="10" spans="1:4" x14ac:dyDescent="0.25">
      <c r="A10" s="37">
        <v>7</v>
      </c>
      <c r="B10" s="41">
        <f>VLOOKUP(7,DoanhThuThang!A6:N36,14,TRUE)+VLOOKUP(7,DoanhThuThang!A6:AY36,51,TRUE)+VLOOKUP(7,DoanhThuThang!A6:BM36,65,TRUE)</f>
        <v>1581</v>
      </c>
      <c r="C10" s="45">
        <f>VLOOKUP(7,DoanhThuThang!A6:AC36,29,TRUE)+VLOOKUP(7,DoanhThuThang!A6:BT36,72,TRUE)</f>
        <v>100</v>
      </c>
      <c r="D10" s="48">
        <f>VLOOKUP(7,DoanhThuThang!A6:AS36,44,TRUE)+VLOOKUP(7,DoanhThuThang!A6:BF36,58,TRUE)</f>
        <v>18</v>
      </c>
    </row>
    <row r="11" spans="1:4" x14ac:dyDescent="0.25">
      <c r="A11" s="37">
        <v>8</v>
      </c>
      <c r="B11" s="41">
        <f>VLOOKUP(8,DoanhThuThang!A6:N36,14,TRUE)+VLOOKUP(8,DoanhThuThang!A6:AY36,51,TRUE)+VLOOKUP(8,DoanhThuThang!A6:BM36,65,TRUE)</f>
        <v>2547</v>
      </c>
      <c r="C11" s="45">
        <f>VLOOKUP(8,DoanhThuThang!A6:AC36,29,TRUE)+VLOOKUP(8,DoanhThuThang!A6:BT36,72,TRUE)</f>
        <v>22</v>
      </c>
      <c r="D11" s="48">
        <f>VLOOKUP(8,DoanhThuThang!A6:AS36,44,TRUE)+VLOOKUP(8,DoanhThuThang!A6:BF36,58,TRUE)</f>
        <v>0</v>
      </c>
    </row>
    <row r="12" spans="1:4" x14ac:dyDescent="0.25">
      <c r="A12" s="37">
        <v>9</v>
      </c>
      <c r="B12" s="41">
        <f>VLOOKUP(9,DoanhThuThang!A6:N36,14,TRUE)+VLOOKUP(9,DoanhThuThang!A6:AY36,51,TRUE)+VLOOKUP(9,DoanhThuThang!A6:BM36,65,TRUE)</f>
        <v>1766</v>
      </c>
      <c r="C12" s="45">
        <f>VLOOKUP(9,DoanhThuThang!A6:AC36,29,TRUE)+VLOOKUP(9,DoanhThuThang!A6:BT36,72,TRUE)</f>
        <v>0</v>
      </c>
      <c r="D12" s="48">
        <f>VLOOKUP(9,DoanhThuThang!A6:AS36,44,TRUE)+VLOOKUP(9,DoanhThuThang!A6:BF36,58,TRUE)</f>
        <v>180</v>
      </c>
    </row>
    <row r="13" spans="1:4" x14ac:dyDescent="0.25">
      <c r="A13" s="37">
        <v>10</v>
      </c>
      <c r="B13" s="41">
        <f>VLOOKUP(10,DoanhThuThang!A6:N36,14,TRUE)+VLOOKUP(10,DoanhThuThang!A6:AY36,51,TRUE)+VLOOKUP(10,DoanhThuThang!A6:BM36,65,TRUE)</f>
        <v>2533</v>
      </c>
      <c r="C13" s="45">
        <f>VLOOKUP(10,DoanhThuThang!A6:AC36,29,TRUE)+VLOOKUP(10,DoanhThuThang!A6:BT36,72,TRUE)</f>
        <v>90</v>
      </c>
      <c r="D13" s="48">
        <f>VLOOKUP(10,DoanhThuThang!A6:AS36,44,TRUE)+VLOOKUP(10,DoanhThuThang!A6:BF36,58,TRUE)</f>
        <v>35</v>
      </c>
    </row>
    <row r="14" spans="1:4" x14ac:dyDescent="0.25">
      <c r="A14" s="37">
        <v>11</v>
      </c>
      <c r="B14" s="41">
        <f>VLOOKUP(11,DoanhThuThang!A6:N36,14,TRUE)+VLOOKUP(11,DoanhThuThang!A6:AY36,51,TRUE)+VLOOKUP(11,DoanhThuThang!A6:BM36,65,TRUE)</f>
        <v>2546.5</v>
      </c>
      <c r="C14" s="45">
        <f>VLOOKUP(11,DoanhThuThang!A6:AC36,29,TRUE)+VLOOKUP(11,DoanhThuThang!A6:BT36,72,TRUE)</f>
        <v>59</v>
      </c>
      <c r="D14" s="48">
        <f>VLOOKUP(11,DoanhThuThang!A6:AS36,44,TRUE)+VLOOKUP(11,DoanhThuThang!A6:BF36,58,TRUE)</f>
        <v>170</v>
      </c>
    </row>
    <row r="15" spans="1:4" x14ac:dyDescent="0.25">
      <c r="A15" s="37">
        <v>12</v>
      </c>
      <c r="B15" s="41">
        <f>VLOOKUP(12,DoanhThuThang!A6:N36,14,TRUE)+VLOOKUP(12,DoanhThuThang!A6:AY36,51,TRUE)+VLOOKUP(12,DoanhThuThang!A6:BM36,65,TRUE)</f>
        <v>2861</v>
      </c>
      <c r="C15" s="45">
        <f>VLOOKUP(12,DoanhThuThang!A6:AC36,29,TRUE)+VLOOKUP(12,DoanhThuThang!A6:BT36,72,TRUE)</f>
        <v>36</v>
      </c>
      <c r="D15" s="48">
        <f>VLOOKUP(12,DoanhThuThang!A6:AS36,44,TRUE)+VLOOKUP(12,DoanhThuThang!A6:BF36,58,TRUE)</f>
        <v>20</v>
      </c>
    </row>
    <row r="16" spans="1:4" x14ac:dyDescent="0.25">
      <c r="A16" s="37">
        <v>13</v>
      </c>
      <c r="B16" s="41">
        <f>VLOOKUP(13,DoanhThuThang!A6:N36,14,TRUE)+VLOOKUP(13,DoanhThuThang!A6:AY36,51,TRUE)+VLOOKUP(13,DoanhThuThang!A6:BM36,65,TRUE)</f>
        <v>3017</v>
      </c>
      <c r="C16" s="45">
        <f>VLOOKUP(13,DoanhThuThang!A6:AC36,29,TRUE)+VLOOKUP(13,DoanhThuThang!A6:BT36,72,TRUE)</f>
        <v>16</v>
      </c>
      <c r="D16" s="48">
        <f>VLOOKUP(13,DoanhThuThang!A6:AS36,44,TRUE)+VLOOKUP(13,DoanhThuThang!A6:BF36,58,TRUE)</f>
        <v>240</v>
      </c>
    </row>
    <row r="17" spans="1:4" x14ac:dyDescent="0.25">
      <c r="A17" s="37">
        <v>14</v>
      </c>
      <c r="B17" s="41">
        <f>VLOOKUP(14,DoanhThuThang!A6:N36,14,TRUE)+VLOOKUP(14,DoanhThuThang!A6:AY36,51,TRUE)+VLOOKUP(14,DoanhThuThang!A6:BM36,65,TRUE)</f>
        <v>2948</v>
      </c>
      <c r="C17" s="45">
        <f>VLOOKUP(14,DoanhThuThang!A6:AC36,29,TRUE)+VLOOKUP(14,DoanhThuThang!A6:BT36,72,TRUE)</f>
        <v>164</v>
      </c>
      <c r="D17" s="48">
        <f>VLOOKUP(14,DoanhThuThang!A6:AS36,44,TRUE)+VLOOKUP(14,DoanhThuThang!A6:BF36,58,TRUE)</f>
        <v>45</v>
      </c>
    </row>
    <row r="18" spans="1:4" x14ac:dyDescent="0.25">
      <c r="A18" s="37">
        <v>15</v>
      </c>
      <c r="B18" s="41">
        <f>VLOOKUP(15,DoanhThuThang!A6:N36,14,TRUE)+VLOOKUP(15,DoanhThuThang!A6:AY36,51,TRUE)+VLOOKUP(15,DoanhThuThang!A6:BM36,65,TRUE)</f>
        <v>2069</v>
      </c>
      <c r="C18" s="45">
        <f>VLOOKUP(15,DoanhThuThang!A6:AC36,29,TRUE)+VLOOKUP(15,DoanhThuThang!A6:BT36,72,TRUE)</f>
        <v>234</v>
      </c>
      <c r="D18" s="48">
        <f>VLOOKUP(15,DoanhThuThang!A6:AS36,44,TRUE)+VLOOKUP(15,DoanhThuThang!A6:BF36,58,TRUE)</f>
        <v>60</v>
      </c>
    </row>
    <row r="19" spans="1:4" x14ac:dyDescent="0.25">
      <c r="A19" s="37">
        <v>16</v>
      </c>
      <c r="B19" s="41">
        <f>VLOOKUP(16,DoanhThuThang!A6:N36,14,TRUE)+VLOOKUP(16,DoanhThuThang!A6:AY36,51,TRUE)+VLOOKUP(16,DoanhThuThang!A6:BM36,65,TRUE)</f>
        <v>3691</v>
      </c>
      <c r="C19" s="45">
        <f>VLOOKUP(16,DoanhThuThang!A6:AC36,29,TRUE)+VLOOKUP(16,DoanhThuThang!A6:BT36,72,TRUE)</f>
        <v>84</v>
      </c>
      <c r="D19" s="48">
        <f>VLOOKUP(16,DoanhThuThang!A6:AS36,44,TRUE)+VLOOKUP(16,DoanhThuThang!A6:BF36,58,TRUE)</f>
        <v>129</v>
      </c>
    </row>
    <row r="20" spans="1:4" x14ac:dyDescent="0.25">
      <c r="A20" s="37">
        <v>17</v>
      </c>
      <c r="B20" s="41">
        <f>VLOOKUP(17,DoanhThuThang!A6:N36,14,TRUE)+VLOOKUP(17,DoanhThuThang!A6:AY36,51,TRUE)+VLOOKUP(17,DoanhThuThang!A6:BM36,65,TRUE)</f>
        <v>2698</v>
      </c>
      <c r="C20" s="45">
        <f>VLOOKUP(17,DoanhThuThang!A6:AC36,29,TRUE)+VLOOKUP(17,DoanhThuThang!A6:BT36,72,TRUE)</f>
        <v>142</v>
      </c>
      <c r="D20" s="48">
        <f>VLOOKUP(17,DoanhThuThang!A6:AS36,44,TRUE)+VLOOKUP(17,DoanhThuThang!A6:BF36,58,TRUE)</f>
        <v>190</v>
      </c>
    </row>
    <row r="21" spans="1:4" x14ac:dyDescent="0.25">
      <c r="A21" s="37">
        <v>18</v>
      </c>
      <c r="B21" s="41">
        <f>VLOOKUP(18,DoanhThuThang!A6:N36,14,TRUE)+VLOOKUP(18,DoanhThuThang!A6:AY36,51,TRUE)+VLOOKUP(18,DoanhThuThang!A6:BM36,65,TRUE)</f>
        <v>4018</v>
      </c>
      <c r="C21" s="45">
        <f>VLOOKUP(18,DoanhThuThang!A6:AC36,29,TRUE)+VLOOKUP(18,DoanhThuThang!A6:BT36,72,TRUE)</f>
        <v>166</v>
      </c>
      <c r="D21" s="48">
        <f>VLOOKUP(18,DoanhThuThang!A6:AS36,44,TRUE)+VLOOKUP(18,DoanhThuThang!A6:BF36,58,TRUE)</f>
        <v>0</v>
      </c>
    </row>
    <row r="22" spans="1:4" x14ac:dyDescent="0.25">
      <c r="A22" s="37">
        <v>19</v>
      </c>
      <c r="B22" s="41">
        <f>VLOOKUP(19,DoanhThuThang!A6:N36,14,TRUE)+VLOOKUP(19,DoanhThuThang!A6:AY36,51,TRUE)+VLOOKUP(19,DoanhThuThang!A6:BM36,65,TRUE)</f>
        <v>3487</v>
      </c>
      <c r="C22" s="45">
        <f>VLOOKUP(19,DoanhThuThang!A6:AC36,29,TRUE)+VLOOKUP(19,DoanhThuThang!A6:BT36,72,TRUE)</f>
        <v>0</v>
      </c>
      <c r="D22" s="48">
        <f>VLOOKUP(19,DoanhThuThang!A6:AS36,44,TRUE)+VLOOKUP(19,DoanhThuThang!A6:BF36,58,TRUE)</f>
        <v>0</v>
      </c>
    </row>
    <row r="23" spans="1:4" x14ac:dyDescent="0.25">
      <c r="A23" s="37">
        <v>20</v>
      </c>
      <c r="B23" s="41">
        <f>VLOOKUP(20,DoanhThuThang!A6:N36,14,TRUE)+VLOOKUP(20,DoanhThuThang!A6:AY36,51,TRUE)+VLOOKUP(20,DoanhThuThang!A6:BM36,65,TRUE)</f>
        <v>2451</v>
      </c>
      <c r="C23" s="45">
        <f>VLOOKUP(20,DoanhThuThang!A6:AC36,29,TRUE)+VLOOKUP(20,DoanhThuThang!A6:BT36,72,TRUE)</f>
        <v>40</v>
      </c>
      <c r="D23" s="48">
        <f>VLOOKUP(20,DoanhThuThang!A6:AS36,44,TRUE)+VLOOKUP(20,DoanhThuThang!A6:BF36,58,TRUE)</f>
        <v>309</v>
      </c>
    </row>
    <row r="24" spans="1:4" x14ac:dyDescent="0.25">
      <c r="A24" s="37">
        <v>21</v>
      </c>
      <c r="B24" s="41">
        <f>VLOOKUP(21,DoanhThuThang!A6:N36,14,TRUE)+VLOOKUP(21,DoanhThuThang!A6:AY36,51,TRUE)+VLOOKUP(21,DoanhThuThang!A6:BM36,65,TRUE)</f>
        <v>2029</v>
      </c>
      <c r="C24" s="45">
        <f>VLOOKUP(21,DoanhThuThang!A6:AC36,29,TRUE)+VLOOKUP(21,DoanhThuThang!A6:BT36,72,TRUE)</f>
        <v>0</v>
      </c>
      <c r="D24" s="48">
        <f>VLOOKUP(21,DoanhThuThang!A6:AS36,44,TRUE)+VLOOKUP(21,DoanhThuThang!A6:BF36,58,TRUE)</f>
        <v>60000</v>
      </c>
    </row>
    <row r="25" spans="1:4" x14ac:dyDescent="0.25">
      <c r="A25" s="37">
        <v>22</v>
      </c>
      <c r="B25" s="41">
        <f>VLOOKUP(22,DoanhThuThang!A6:N36,14,TRUE)+VLOOKUP(22,DoanhThuThang!A6:AY36,51,TRUE)+VLOOKUP(22,DoanhThuThang!A6:BM36,65,TRUE)</f>
        <v>2967</v>
      </c>
      <c r="C25" s="45">
        <f>VLOOKUP(22,DoanhThuThang!A6:AC36,29,TRUE)+VLOOKUP(22,DoanhThuThang!A6:BT36,72,TRUE)</f>
        <v>80</v>
      </c>
      <c r="D25" s="48">
        <f>VLOOKUP(22,DoanhThuThang!A6:AS36,44,TRUE)+VLOOKUP(22,DoanhThuThang!A6:BF36,58,TRUE)</f>
        <v>75</v>
      </c>
    </row>
    <row r="26" spans="1:4" x14ac:dyDescent="0.25">
      <c r="A26" s="37">
        <v>23</v>
      </c>
      <c r="B26" s="41">
        <f>VLOOKUP(23,DoanhThuThang!A6:N36,14,TRUE)+VLOOKUP(23,DoanhThuThang!A6:AY36,51,TRUE)+VLOOKUP(23,DoanhThuThang!A6:BM36,65,TRUE)</f>
        <v>3567</v>
      </c>
      <c r="C26" s="45">
        <f>VLOOKUP(23,DoanhThuThang!A6:AC36,29,TRUE)+VLOOKUP(23,DoanhThuThang!A6:BT36,72,TRUE)</f>
        <v>60</v>
      </c>
      <c r="D26" s="48">
        <f>VLOOKUP(23,DoanhThuThang!A6:AS36,44,TRUE)+VLOOKUP(23,DoanhThuThang!A6:BF36,58,TRUE)</f>
        <v>310</v>
      </c>
    </row>
    <row r="27" spans="1:4" x14ac:dyDescent="0.25">
      <c r="A27" s="37">
        <v>24</v>
      </c>
      <c r="B27" s="41">
        <f>VLOOKUP(24,DoanhThuThang!A6:N36,14,TRUE)+VLOOKUP(24,DoanhThuThang!A6:AY36,51,TRUE)+VLOOKUP(24,DoanhThuThang!A6:BM36,65,TRUE)</f>
        <v>3536</v>
      </c>
      <c r="C27" s="45">
        <f>VLOOKUP(24,DoanhThuThang!A6:AC36,29,TRUE)+VLOOKUP(24,DoanhThuThang!A6:BT36,72,TRUE)</f>
        <v>0</v>
      </c>
      <c r="D27" s="48">
        <f>VLOOKUP(24,DoanhThuThang!A6:AS36,44,TRUE)+VLOOKUP(24,DoanhThuThang!A6:BF36,58,TRUE)</f>
        <v>0</v>
      </c>
    </row>
    <row r="28" spans="1:4" x14ac:dyDescent="0.25">
      <c r="A28" s="37">
        <v>25</v>
      </c>
      <c r="B28" s="41">
        <f>VLOOKUP(25,DoanhThuThang!A6:N36,14,TRUE)+VLOOKUP(25,DoanhThuThang!A6:AY36,51,TRUE)+VLOOKUP(25,DoanhThuThang!A6:BM36,65,TRUE)</f>
        <v>2502</v>
      </c>
      <c r="C28" s="45">
        <f>VLOOKUP(25,DoanhThuThang!A6:AC36,29,TRUE)+VLOOKUP(25,DoanhThuThang!A6:BT36,72,TRUE)</f>
        <v>182</v>
      </c>
      <c r="D28" s="48">
        <f>VLOOKUP(25,DoanhThuThang!A6:AS36,44,TRUE)+VLOOKUP(25,DoanhThuThang!A6:BF36,58,TRUE)</f>
        <v>45</v>
      </c>
    </row>
    <row r="29" spans="1:4" x14ac:dyDescent="0.25">
      <c r="A29" s="37">
        <v>26</v>
      </c>
      <c r="B29" s="41">
        <f>VLOOKUP(26,DoanhThuThang!A6:N36,14,TRUE)+VLOOKUP(26,DoanhThuThang!A6:AY36,51,TRUE)+VLOOKUP(26,DoanhThuThang!A6:BM36,65,TRUE)</f>
        <v>1996</v>
      </c>
      <c r="C29" s="45">
        <f>VLOOKUP(26,DoanhThuThang!A6:AC36,29,TRUE)+VLOOKUP(26,DoanhThuThang!A6:BT36,72,TRUE)</f>
        <v>38</v>
      </c>
      <c r="D29" s="48">
        <f>VLOOKUP(26,DoanhThuThang!A6:AS36,44,TRUE)+VLOOKUP(26,DoanhThuThang!A6:BF36,58,TRUE)</f>
        <v>90</v>
      </c>
    </row>
    <row r="30" spans="1:4" x14ac:dyDescent="0.25">
      <c r="A30" s="37">
        <v>27</v>
      </c>
      <c r="B30" s="41">
        <f>VLOOKUP(27,DoanhThuThang!A6:N36,14,TRUE)+VLOOKUP(27,DoanhThuThang!A6:AY36,51,TRUE)+VLOOKUP(27,DoanhThuThang!A6:BM36,65,TRUE)</f>
        <v>1389</v>
      </c>
      <c r="C30" s="45">
        <f>VLOOKUP(27,DoanhThuThang!A6:AC36,29,TRUE)+VLOOKUP(27,DoanhThuThang!A6:BT36,72,TRUE)</f>
        <v>0</v>
      </c>
      <c r="D30" s="48">
        <f>VLOOKUP(27,DoanhThuThang!A6:AS36,44,TRUE)+VLOOKUP(27,DoanhThuThang!A6:BF36,58,TRUE)</f>
        <v>0</v>
      </c>
    </row>
    <row r="31" spans="1:4" x14ac:dyDescent="0.25">
      <c r="A31" s="37">
        <v>28</v>
      </c>
      <c r="B31" s="41">
        <f>VLOOKUP(28,DoanhThuThang!A6:N36,14,TRUE)+VLOOKUP(28,DoanhThuThang!A6:AY36,51,TRUE)+VLOOKUP(28,DoanhThuThang!A6:BM36,65,TRUE)</f>
        <v>2901</v>
      </c>
      <c r="C31" s="45">
        <f>VLOOKUP(28,DoanhThuThang!A6:AC36,29,TRUE)+VLOOKUP(28,DoanhThuThang!A6:BT36,72,TRUE)</f>
        <v>74</v>
      </c>
      <c r="D31" s="48">
        <f>VLOOKUP(28,DoanhThuThang!A6:AS36,44,TRUE)+VLOOKUP(28,DoanhThuThang!A6:BF36,58,TRUE)</f>
        <v>0</v>
      </c>
    </row>
    <row r="32" spans="1:4" x14ac:dyDescent="0.25">
      <c r="A32" s="37">
        <v>29</v>
      </c>
      <c r="B32" s="41">
        <f>VLOOKUP(29,DoanhThuThang!A6:N36,14,TRUE)+VLOOKUP(29,DoanhThuThang!A6:AY36,51,TRUE)+VLOOKUP(29,DoanhThuThang!A6:BM36,65,TRUE)</f>
        <v>2501</v>
      </c>
      <c r="C32" s="45">
        <f>VLOOKUP(29,DoanhThuThang!A6:AC36,29,TRUE)+VLOOKUP(29,DoanhThuThang!A6:BT36,72,TRUE)</f>
        <v>55</v>
      </c>
      <c r="D32" s="48">
        <f>VLOOKUP(29,DoanhThuThang!A6:AS36,44,TRUE)+VLOOKUP(29,DoanhThuThang!A6:BF36,58,TRUE)</f>
        <v>0</v>
      </c>
    </row>
    <row r="33" spans="1:4" x14ac:dyDescent="0.25">
      <c r="A33" s="37">
        <v>30</v>
      </c>
      <c r="B33" s="41">
        <f>VLOOKUP(30,DoanhThuThang!A6:N36,14,TRUE)+VLOOKUP(30,DoanhThuThang!A6:AY36,51,TRUE)+VLOOKUP(30,DoanhThuThang!A6:BM36,65,TRUE)</f>
        <v>3510</v>
      </c>
      <c r="C33" s="45">
        <f>VLOOKUP(30,DoanhThuThang!A6:AC36,29,TRUE)+VLOOKUP(30,DoanhThuThang!A6:BT36,72,TRUE)</f>
        <v>0</v>
      </c>
      <c r="D33" s="48">
        <f>VLOOKUP(30,DoanhThuThang!A6:AS36,44,TRUE)+VLOOKUP(30,DoanhThuThang!A6:BF36,58,TRUE)</f>
        <v>126</v>
      </c>
    </row>
    <row r="34" spans="1:4" x14ac:dyDescent="0.25">
      <c r="A34" s="37">
        <v>31</v>
      </c>
      <c r="B34" s="41">
        <f>+VLOOKUP(31,DoanhThuThang!A6:AY36,51,TRUE)+VLOOKUP(31,DoanhThuThang!A6:N36,14,TRUE)+VLOOKUP(31,DoanhThuThang!A6:BM36,65,TRUE)</f>
        <v>0</v>
      </c>
      <c r="C34" s="45">
        <f>VLOOKUP(31,DoanhThuThang!A6:AC36,29,TRUE)+VLOOKUP(31,DoanhThuThang!A6:BT36,72,TRUE)</f>
        <v>0</v>
      </c>
      <c r="D34" s="48">
        <f>VLOOKUP(31,DoanhThuThang!A6:AS36,44,TRUE)+VLOOKUP(31,DoanhThuThang!A6:BF36,58,TRUE)</f>
        <v>0</v>
      </c>
    </row>
  </sheetData>
  <sheetProtection sheet="1" objects="1" scenarios="1"/>
  <mergeCells count="4">
    <mergeCell ref="B1:B3"/>
    <mergeCell ref="C1:C3"/>
    <mergeCell ref="D1:D3"/>
    <mergeCell ref="A1:A3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C34"/>
  <sheetViews>
    <sheetView workbookViewId="0">
      <selection activeCell="C5" sqref="C5"/>
    </sheetView>
  </sheetViews>
  <sheetFormatPr defaultColWidth="8.85546875" defaultRowHeight="15" x14ac:dyDescent="0.25"/>
  <cols>
    <col min="2" max="3" width="16.42578125" customWidth="1"/>
  </cols>
  <sheetData>
    <row r="1" spans="1:3" x14ac:dyDescent="0.25">
      <c r="A1" s="170" t="s">
        <v>10</v>
      </c>
      <c r="B1" s="38" t="s">
        <v>70</v>
      </c>
      <c r="C1" s="46" t="s">
        <v>72</v>
      </c>
    </row>
    <row r="2" spans="1:3" x14ac:dyDescent="0.25">
      <c r="A2" s="170"/>
      <c r="B2" s="39"/>
      <c r="C2" s="47"/>
    </row>
    <row r="3" spans="1:3" x14ac:dyDescent="0.25">
      <c r="A3" s="171"/>
      <c r="B3" s="40"/>
      <c r="C3" s="47"/>
    </row>
    <row r="4" spans="1:3" x14ac:dyDescent="0.25">
      <c r="A4" s="37">
        <v>1</v>
      </c>
      <c r="B4" s="41">
        <f>VLOOKUP(1,DoanhThuThang!A6:AY36,51,TRUE)</f>
        <v>1051</v>
      </c>
      <c r="C4" s="48">
        <f>VLOOKUP(1,DoanhThuThang!A6:BF36,58,TRUE)</f>
        <v>0</v>
      </c>
    </row>
    <row r="5" spans="1:3" x14ac:dyDescent="0.25">
      <c r="A5" s="37">
        <v>2</v>
      </c>
      <c r="B5" s="41">
        <f>VLOOKUP(2,DoanhThuThang!A6:AY36,51,TRUE)</f>
        <v>1156</v>
      </c>
      <c r="C5" s="48">
        <f>VLOOKUP(2,DoanhThuThang!A6:BF36,58,TRUE)</f>
        <v>0</v>
      </c>
    </row>
    <row r="6" spans="1:3" x14ac:dyDescent="0.25">
      <c r="A6" s="37">
        <v>3</v>
      </c>
      <c r="B6" s="41">
        <f>VLOOKUP(3,DoanhThuThang!A6:AY36,51,TRUE)</f>
        <v>556</v>
      </c>
      <c r="C6" s="48">
        <f>VLOOKUP(3,DoanhThuThang!A6:BF36,58,TRUE)</f>
        <v>0</v>
      </c>
    </row>
    <row r="7" spans="1:3" x14ac:dyDescent="0.25">
      <c r="A7" s="37">
        <v>4</v>
      </c>
      <c r="B7" s="41">
        <f>VLOOKUP(4,DoanhThuThang!A6:AY36,51,TRUE)</f>
        <v>211</v>
      </c>
      <c r="C7" s="48">
        <f>VLOOKUP(4,DoanhThuThang!A6:BF36,58,TRUE)</f>
        <v>0</v>
      </c>
    </row>
    <row r="8" spans="1:3" x14ac:dyDescent="0.25">
      <c r="A8" s="37">
        <v>5</v>
      </c>
      <c r="B8" s="41">
        <f>VLOOKUP(5,DoanhThuThang!A6:AY36,51,TRUE)</f>
        <v>839</v>
      </c>
      <c r="C8" s="48">
        <f>VLOOKUP(5,DoanhThuThang!A6:BF36,58,TRUE)</f>
        <v>0</v>
      </c>
    </row>
    <row r="9" spans="1:3" x14ac:dyDescent="0.25">
      <c r="A9" s="37">
        <v>6</v>
      </c>
      <c r="B9" s="41">
        <f>VLOOKUP(6,DoanhThuThang!A6:AY36,51,TRUE)</f>
        <v>921</v>
      </c>
      <c r="C9" s="48">
        <f>VLOOKUP(6,DoanhThuThang!A6:BF36,58,TRUE)</f>
        <v>0</v>
      </c>
    </row>
    <row r="10" spans="1:3" x14ac:dyDescent="0.25">
      <c r="A10" s="37">
        <v>7</v>
      </c>
      <c r="B10" s="41">
        <f>VLOOKUP(7,DoanhThuThang!A6:AY36,51,TRUE)</f>
        <v>292</v>
      </c>
      <c r="C10" s="48">
        <f>VLOOKUP(7,DoanhThuThang!A6:BF36,58,TRUE)</f>
        <v>0</v>
      </c>
    </row>
    <row r="11" spans="1:3" x14ac:dyDescent="0.25">
      <c r="A11" s="37">
        <v>8</v>
      </c>
      <c r="B11" s="41">
        <f>VLOOKUP(8,DoanhThuThang!A6:AY36,51,TRUE)</f>
        <v>423.5</v>
      </c>
      <c r="C11" s="48">
        <f>VLOOKUP(8,DoanhThuThang!A6:BF36,58,TRUE)</f>
        <v>0</v>
      </c>
    </row>
    <row r="12" spans="1:3" x14ac:dyDescent="0.25">
      <c r="A12" s="37">
        <v>9</v>
      </c>
      <c r="B12" s="41">
        <f>VLOOKUP(9,DoanhThuThang!A6:AY36,51,TRUE)</f>
        <v>466</v>
      </c>
      <c r="C12" s="48">
        <f>VLOOKUP(9,DoanhThuThang!A6:BF36,58,TRUE)</f>
        <v>0</v>
      </c>
    </row>
    <row r="13" spans="1:3" x14ac:dyDescent="0.25">
      <c r="A13" s="37">
        <v>10</v>
      </c>
      <c r="B13" s="41">
        <f>VLOOKUP(10,DoanhThuThang!A6:AY36,51,TRUE)</f>
        <v>463</v>
      </c>
      <c r="C13" s="48">
        <f>VLOOKUP(10,DoanhThuThang!A6:BF36,58,TRUE)</f>
        <v>0</v>
      </c>
    </row>
    <row r="14" spans="1:3" x14ac:dyDescent="0.25">
      <c r="A14" s="37">
        <v>11</v>
      </c>
      <c r="B14" s="41">
        <f>VLOOKUP(11,DoanhThuThang!A6:AY36,51,TRUE)</f>
        <v>1165.5</v>
      </c>
      <c r="C14" s="48">
        <f>VLOOKUP(11,DoanhThuThang!A6:BF36,58,TRUE)</f>
        <v>0</v>
      </c>
    </row>
    <row r="15" spans="1:3" x14ac:dyDescent="0.25">
      <c r="A15" s="37">
        <v>12</v>
      </c>
      <c r="B15" s="41">
        <f>VLOOKUP(12,DoanhThuThang!A6:AY36,51,TRUE)</f>
        <v>558</v>
      </c>
      <c r="C15" s="48">
        <f>VLOOKUP(12,DoanhThuThang!A6:BF36,58,TRUE)</f>
        <v>0</v>
      </c>
    </row>
    <row r="16" spans="1:3" x14ac:dyDescent="0.25">
      <c r="A16" s="37">
        <v>13</v>
      </c>
      <c r="B16" s="41">
        <f>VLOOKUP(13,DoanhThuThang!A6:AY36,51,TRUE)</f>
        <v>1264</v>
      </c>
      <c r="C16" s="48">
        <f>VLOOKUP(13,DoanhThuThang!A6:BF36,58,TRUE)</f>
        <v>0</v>
      </c>
    </row>
    <row r="17" spans="1:3" x14ac:dyDescent="0.25">
      <c r="A17" s="37">
        <v>14</v>
      </c>
      <c r="B17" s="41">
        <f>VLOOKUP(14,DoanhThuThang!A6:AY36,51,TRUE)</f>
        <v>596</v>
      </c>
      <c r="C17" s="48">
        <f>VLOOKUP(14,DoanhThuThang!A6:BF36,58,TRUE)</f>
        <v>0</v>
      </c>
    </row>
    <row r="18" spans="1:3" x14ac:dyDescent="0.25">
      <c r="A18" s="37">
        <v>15</v>
      </c>
      <c r="B18" s="41">
        <f>VLOOKUP(15,DoanhThuThang!A6:AY36,51,TRUE)</f>
        <v>488</v>
      </c>
      <c r="C18" s="48">
        <f>VLOOKUP(15,DoanhThuThang!A6:BF36,58,TRUE)</f>
        <v>60</v>
      </c>
    </row>
    <row r="19" spans="1:3" x14ac:dyDescent="0.25">
      <c r="A19" s="37">
        <v>16</v>
      </c>
      <c r="B19" s="41">
        <f>VLOOKUP(16,DoanhThuThang!A6:AY36,51,TRUE)</f>
        <v>543</v>
      </c>
      <c r="C19" s="48">
        <f>VLOOKUP(16,DoanhThuThang!A6:BF36,58,TRUE)</f>
        <v>0</v>
      </c>
    </row>
    <row r="20" spans="1:3" x14ac:dyDescent="0.25">
      <c r="A20" s="37">
        <v>17</v>
      </c>
      <c r="B20" s="41">
        <f>VLOOKUP(17,DoanhThuThang!A6:AY36,51,TRUE)</f>
        <v>529</v>
      </c>
      <c r="C20" s="48">
        <f>VLOOKUP(17,DoanhThuThang!A6:BF36,58,TRUE)</f>
        <v>0</v>
      </c>
    </row>
    <row r="21" spans="1:3" x14ac:dyDescent="0.25">
      <c r="A21" s="37">
        <v>18</v>
      </c>
      <c r="B21" s="41">
        <f>VLOOKUP(18,DoanhThuThang!A6:AY36,51,TRUE)</f>
        <v>1572</v>
      </c>
      <c r="C21" s="48">
        <f>VLOOKUP(18,DoanhThuThang!A6:BF36,58,TRUE)</f>
        <v>0</v>
      </c>
    </row>
    <row r="22" spans="1:3" x14ac:dyDescent="0.25">
      <c r="A22" s="37">
        <v>19</v>
      </c>
      <c r="B22" s="41">
        <f>VLOOKUP(19,DoanhThuThang!A6:AY36,51,TRUE)</f>
        <v>953</v>
      </c>
      <c r="C22" s="48">
        <f>VLOOKUP(19,DoanhThuThang!A6:BF36,58,TRUE)</f>
        <v>0</v>
      </c>
    </row>
    <row r="23" spans="1:3" x14ac:dyDescent="0.25">
      <c r="A23" s="37">
        <v>20</v>
      </c>
      <c r="B23" s="41">
        <f>VLOOKUP(20,DoanhThuThang!A6:AY36,51,TRUE)</f>
        <v>494</v>
      </c>
      <c r="C23" s="48">
        <f>VLOOKUP(20,DoanhThuThang!A6:BF36,58,TRUE)</f>
        <v>149</v>
      </c>
    </row>
    <row r="24" spans="1:3" x14ac:dyDescent="0.25">
      <c r="A24" s="37">
        <v>21</v>
      </c>
      <c r="B24" s="41">
        <f>VLOOKUP(21,DoanhThuThang!A6:AY36,51,TRUE)</f>
        <v>1181</v>
      </c>
      <c r="C24" s="48">
        <f>VLOOKUP(21,DoanhThuThang!A6:BF36,58,TRUE)</f>
        <v>60000</v>
      </c>
    </row>
    <row r="25" spans="1:3" x14ac:dyDescent="0.25">
      <c r="A25" s="37">
        <v>22</v>
      </c>
      <c r="B25" s="41">
        <f>VLOOKUP(22,DoanhThuThang!A6:AY36,51,TRUE)</f>
        <v>1710</v>
      </c>
      <c r="C25" s="48">
        <f>VLOOKUP(22,DoanhThuThang!A6:BF36,58,TRUE)</f>
        <v>0</v>
      </c>
    </row>
    <row r="26" spans="1:3" x14ac:dyDescent="0.25">
      <c r="A26" s="37">
        <v>23</v>
      </c>
      <c r="B26" s="41">
        <f>VLOOKUP(23,DoanhThuThang!A6:AY36,51,TRUE)</f>
        <v>1068</v>
      </c>
      <c r="C26" s="48">
        <f>VLOOKUP(23,DoanhThuThang!A6:BF36,58,TRUE)</f>
        <v>0</v>
      </c>
    </row>
    <row r="27" spans="1:3" x14ac:dyDescent="0.25">
      <c r="A27" s="37">
        <v>24</v>
      </c>
      <c r="B27" s="41">
        <f>VLOOKUP(24,DoanhThuThang!A6:AY36,51,TRUE)</f>
        <v>772</v>
      </c>
      <c r="C27" s="48">
        <f>VLOOKUP(24,DoanhThuThang!A6:BF36,58,TRUE)</f>
        <v>0</v>
      </c>
    </row>
    <row r="28" spans="1:3" x14ac:dyDescent="0.25">
      <c r="A28" s="37">
        <v>25</v>
      </c>
      <c r="B28" s="41">
        <f>VLOOKUP(25,DoanhThuThang!A6:AY36,51,TRUE)</f>
        <v>587</v>
      </c>
      <c r="C28" s="48">
        <f>VLOOKUP(25,DoanhThuThang!A6:BF36,58,TRUE)</f>
        <v>0</v>
      </c>
    </row>
    <row r="29" spans="1:3" x14ac:dyDescent="0.25">
      <c r="A29" s="37">
        <v>26</v>
      </c>
      <c r="B29" s="41">
        <f>VLOOKUP(26,DoanhThuThang!A6:AY36,51,TRUE)</f>
        <v>584</v>
      </c>
      <c r="C29" s="48">
        <f>VLOOKUP(26,DoanhThuThang!A6:BF36,58,TRUE)</f>
        <v>0</v>
      </c>
    </row>
    <row r="30" spans="1:3" x14ac:dyDescent="0.25">
      <c r="A30" s="37">
        <v>27</v>
      </c>
      <c r="B30" s="41">
        <f>VLOOKUP(27,DoanhThuThang!A6:AY36,51,TRUE)</f>
        <v>277</v>
      </c>
      <c r="C30" s="48">
        <f>VLOOKUP(27,DoanhThuThang!A6:BF36,58,TRUE)</f>
        <v>0</v>
      </c>
    </row>
    <row r="31" spans="1:3" x14ac:dyDescent="0.25">
      <c r="A31" s="37">
        <v>28</v>
      </c>
      <c r="B31" s="41">
        <f>VLOOKUP(28,DoanhThuThang!A6:AY36,51,TRUE)</f>
        <v>484</v>
      </c>
      <c r="C31" s="48">
        <f>VLOOKUP(28,DoanhThuThang!A6:BF36,58,TRUE)</f>
        <v>0</v>
      </c>
    </row>
    <row r="32" spans="1:3" x14ac:dyDescent="0.25">
      <c r="A32" s="37">
        <v>29</v>
      </c>
      <c r="B32" s="41">
        <f>VLOOKUP(29,DoanhThuThang!A6:AY36,51,TRUE)</f>
        <v>1169</v>
      </c>
      <c r="C32" s="48">
        <f>VLOOKUP(29,DoanhThuThang!A6:BF36,58,TRUE)</f>
        <v>0</v>
      </c>
    </row>
    <row r="33" spans="1:3" x14ac:dyDescent="0.25">
      <c r="A33" s="37">
        <v>30</v>
      </c>
      <c r="B33" s="41">
        <f>VLOOKUP(30,DoanhThuThang!A6:AY36,51,TRUE)</f>
        <v>813</v>
      </c>
      <c r="C33" s="48">
        <f>VLOOKUP(30,DoanhThuThang!A6:BF36,58,TRUE)</f>
        <v>0</v>
      </c>
    </row>
    <row r="34" spans="1:3" x14ac:dyDescent="0.25">
      <c r="A34" s="37">
        <v>31</v>
      </c>
      <c r="B34" s="41">
        <f>VLOOKUP(31,DoanhThuThang!A6:AY36,51,TRUE)</f>
        <v>0</v>
      </c>
      <c r="C34" s="48">
        <f>VLOOKUP(31,DoanhThuThang!A6:BF36,58,TRUE)</f>
        <v>0</v>
      </c>
    </row>
  </sheetData>
  <mergeCells count="1">
    <mergeCell ref="A1:A3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C34"/>
  <sheetViews>
    <sheetView workbookViewId="0">
      <selection activeCell="C5" sqref="C5"/>
    </sheetView>
  </sheetViews>
  <sheetFormatPr defaultColWidth="8.85546875" defaultRowHeight="15" x14ac:dyDescent="0.25"/>
  <cols>
    <col min="2" max="3" width="16.42578125" customWidth="1"/>
  </cols>
  <sheetData>
    <row r="1" spans="1:3" x14ac:dyDescent="0.25">
      <c r="A1" s="170" t="s">
        <v>10</v>
      </c>
      <c r="B1" s="38" t="s">
        <v>70</v>
      </c>
      <c r="C1" s="43" t="s">
        <v>71</v>
      </c>
    </row>
    <row r="2" spans="1:3" x14ac:dyDescent="0.25">
      <c r="A2" s="170"/>
      <c r="B2" s="39"/>
      <c r="C2" s="44"/>
    </row>
    <row r="3" spans="1:3" x14ac:dyDescent="0.25">
      <c r="A3" s="171"/>
      <c r="B3" s="40"/>
      <c r="C3" s="44"/>
    </row>
    <row r="4" spans="1:3" x14ac:dyDescent="0.25">
      <c r="A4" s="37">
        <v>1</v>
      </c>
      <c r="B4" s="41">
        <f>VLOOKUP(1,DoanhThuThang!A6:BM36,65,TRUE)</f>
        <v>91</v>
      </c>
      <c r="C4" s="45">
        <f>VLOOKUP(1,DoanhThuThang!A6:BT36,72,TRUE)</f>
        <v>0</v>
      </c>
    </row>
    <row r="5" spans="1:3" x14ac:dyDescent="0.25">
      <c r="A5" s="37">
        <v>2</v>
      </c>
      <c r="B5" s="41">
        <f>VLOOKUP(2,DoanhThuThang!A6:BM36,65,TRUE)</f>
        <v>614</v>
      </c>
      <c r="C5" s="45">
        <f>VLOOKUP(2,DoanhThuThang!A6:BT36,72,TRUE)</f>
        <v>0</v>
      </c>
    </row>
    <row r="6" spans="1:3" x14ac:dyDescent="0.25">
      <c r="A6" s="37">
        <v>3</v>
      </c>
      <c r="B6" s="41">
        <f>VLOOKUP(3,DoanhThuThang!A6:BM36,65,TRUE)</f>
        <v>169</v>
      </c>
      <c r="C6" s="45">
        <f>VLOOKUP(3,DoanhThuThang!A6:BT36,72,TRUE)</f>
        <v>0</v>
      </c>
    </row>
    <row r="7" spans="1:3" x14ac:dyDescent="0.25">
      <c r="A7" s="37">
        <v>4</v>
      </c>
      <c r="B7" s="41">
        <f>VLOOKUP(4,DoanhThuThang!A6:BM36,65,TRUE)</f>
        <v>373</v>
      </c>
      <c r="C7" s="45">
        <f>VLOOKUP(4,DoanhThuThang!A6:BT36,72,TRUE)</f>
        <v>0</v>
      </c>
    </row>
    <row r="8" spans="1:3" x14ac:dyDescent="0.25">
      <c r="A8" s="37">
        <v>5</v>
      </c>
      <c r="B8" s="41">
        <f>VLOOKUP(5,DoanhThuThang!A6:BM36,65,TRUE)</f>
        <v>147</v>
      </c>
      <c r="C8" s="45">
        <f>VLOOKUP(5,DoanhThuThang!A6:BT36,72,TRUE)</f>
        <v>0</v>
      </c>
    </row>
    <row r="9" spans="1:3" x14ac:dyDescent="0.25">
      <c r="A9" s="37">
        <v>6</v>
      </c>
      <c r="B9" s="41">
        <f>VLOOKUP(6,DoanhThuThang!A6:BM36,65,TRUE)</f>
        <v>101</v>
      </c>
      <c r="C9" s="45">
        <f>VLOOKUP(6,DoanhThuThang!A6:BT36,72,TRUE)</f>
        <v>0</v>
      </c>
    </row>
    <row r="10" spans="1:3" x14ac:dyDescent="0.25">
      <c r="A10" s="37">
        <v>7</v>
      </c>
      <c r="B10" s="41">
        <f>VLOOKUP(7,DoanhThuThang!A6:BM36,65,TRUE)</f>
        <v>307</v>
      </c>
      <c r="C10" s="45">
        <f>VLOOKUP(7,DoanhThuThang!A6:BT36,72,TRUE)</f>
        <v>0</v>
      </c>
    </row>
    <row r="11" spans="1:3" x14ac:dyDescent="0.25">
      <c r="A11" s="37">
        <v>8</v>
      </c>
      <c r="B11" s="41">
        <f>VLOOKUP(8,DoanhThuThang!A6:BM36,65,TRUE)</f>
        <v>197.5</v>
      </c>
      <c r="C11" s="45">
        <f>VLOOKUP(8,DoanhThuThang!A6:BT36,72,TRUE)</f>
        <v>0</v>
      </c>
    </row>
    <row r="12" spans="1:3" x14ac:dyDescent="0.25">
      <c r="A12" s="37">
        <v>9</v>
      </c>
      <c r="B12" s="41">
        <f>VLOOKUP(9,DoanhThuThang!A6:BM36,65,TRUE)</f>
        <v>214</v>
      </c>
      <c r="C12" s="45">
        <f>VLOOKUP(9,DoanhThuThang!A6:BT36,72,TRUE)</f>
        <v>0</v>
      </c>
    </row>
    <row r="13" spans="1:3" x14ac:dyDescent="0.25">
      <c r="A13" s="37">
        <v>10</v>
      </c>
      <c r="B13" s="41">
        <f>VLOOKUP(10,DoanhThuThang!A6:BM36,65,TRUE)</f>
        <v>234</v>
      </c>
      <c r="C13" s="45">
        <f>VLOOKUP(10,DoanhThuThang!A6:BT36,72,TRUE)</f>
        <v>0</v>
      </c>
    </row>
    <row r="14" spans="1:3" x14ac:dyDescent="0.25">
      <c r="A14" s="37">
        <v>11</v>
      </c>
      <c r="B14" s="41">
        <f>VLOOKUP(11,DoanhThuThang!A6:BM36,65,TRUE)</f>
        <v>224</v>
      </c>
      <c r="C14" s="45">
        <f>VLOOKUP(11,DoanhThuThang!A6:BT36,72,TRUE)</f>
        <v>0</v>
      </c>
    </row>
    <row r="15" spans="1:3" x14ac:dyDescent="0.25">
      <c r="A15" s="37">
        <v>12</v>
      </c>
      <c r="B15" s="41">
        <f>VLOOKUP(12,DoanhThuThang!A6:BM36,65,TRUE)</f>
        <v>315</v>
      </c>
      <c r="C15" s="45">
        <f>VLOOKUP(12,DoanhThuThang!A6:BT36,72,TRUE)</f>
        <v>0</v>
      </c>
    </row>
    <row r="16" spans="1:3" x14ac:dyDescent="0.25">
      <c r="A16" s="37">
        <v>13</v>
      </c>
      <c r="B16" s="41">
        <f>VLOOKUP(13,DoanhThuThang!A6:BM36,65,TRUE)</f>
        <v>466</v>
      </c>
      <c r="C16" s="45">
        <f>VLOOKUP(13,DoanhThuThang!A6:BT36,72,TRUE)</f>
        <v>0</v>
      </c>
    </row>
    <row r="17" spans="1:3" x14ac:dyDescent="0.25">
      <c r="A17" s="37">
        <v>14</v>
      </c>
      <c r="B17" s="41">
        <f>VLOOKUP(14,DoanhThuThang!A6:BM36,65,TRUE)</f>
        <v>734</v>
      </c>
      <c r="C17" s="45">
        <f>VLOOKUP(14,DoanhThuThang!A6:BT36,72,TRUE)</f>
        <v>0</v>
      </c>
    </row>
    <row r="18" spans="1:3" x14ac:dyDescent="0.25">
      <c r="A18" s="37">
        <v>15</v>
      </c>
      <c r="B18" s="41">
        <f>VLOOKUP(15,DoanhThuThang!A6:BM36,65,TRUE)</f>
        <v>164</v>
      </c>
      <c r="C18" s="45">
        <f>VLOOKUP(15,DoanhThuThang!A6:BT36,72,TRUE)</f>
        <v>0</v>
      </c>
    </row>
    <row r="19" spans="1:3" x14ac:dyDescent="0.25">
      <c r="A19" s="37">
        <v>16</v>
      </c>
      <c r="B19" s="41">
        <f>VLOOKUP(16,DoanhThuThang!A6:BM36,65,TRUE)</f>
        <v>177</v>
      </c>
      <c r="C19" s="45">
        <f>VLOOKUP(16,DoanhThuThang!A6:BT36,72,TRUE)</f>
        <v>0</v>
      </c>
    </row>
    <row r="20" spans="1:3" x14ac:dyDescent="0.25">
      <c r="A20" s="37">
        <v>17</v>
      </c>
      <c r="B20" s="41">
        <f>VLOOKUP(17,DoanhThuThang!A6:BM36,65,TRUE)</f>
        <v>135</v>
      </c>
      <c r="C20" s="45">
        <f>VLOOKUP(17,DoanhThuThang!A6:BT36,72,TRUE)</f>
        <v>0</v>
      </c>
    </row>
    <row r="21" spans="1:3" x14ac:dyDescent="0.25">
      <c r="A21" s="37">
        <v>18</v>
      </c>
      <c r="B21" s="41">
        <f>VLOOKUP(18,DoanhThuThang!A6:BM36,65,TRUE)</f>
        <v>418</v>
      </c>
      <c r="C21" s="45">
        <f>VLOOKUP(18,DoanhThuThang!A6:BT36,72,TRUE)</f>
        <v>0</v>
      </c>
    </row>
    <row r="22" spans="1:3" x14ac:dyDescent="0.25">
      <c r="A22" s="37">
        <v>19</v>
      </c>
      <c r="B22" s="41">
        <f>VLOOKUP(19,DoanhThuThang!A6:BM36,65,TRUE)</f>
        <v>98</v>
      </c>
      <c r="C22" s="45">
        <f>VLOOKUP(19,DoanhThuThang!A6:BT36,72,TRUE)</f>
        <v>0</v>
      </c>
    </row>
    <row r="23" spans="1:3" x14ac:dyDescent="0.25">
      <c r="A23" s="37">
        <v>20</v>
      </c>
      <c r="B23" s="41">
        <f>VLOOKUP(20,DoanhThuThang!A6:BM36,65,TRUE)</f>
        <v>0</v>
      </c>
      <c r="C23" s="45">
        <f>VLOOKUP(20,DoanhThuThang!A6:BT36,72,TRUE)</f>
        <v>0</v>
      </c>
    </row>
    <row r="24" spans="1:3" x14ac:dyDescent="0.25">
      <c r="A24" s="37">
        <v>21</v>
      </c>
      <c r="B24" s="41">
        <f>VLOOKUP(21,DoanhThuThang!A6:BM36,65,TRUE)</f>
        <v>0</v>
      </c>
      <c r="C24" s="45">
        <f>VLOOKUP(21,DoanhThuThang!A6:BT36,72,TRUE)</f>
        <v>0</v>
      </c>
    </row>
    <row r="25" spans="1:3" x14ac:dyDescent="0.25">
      <c r="A25" s="37">
        <v>22</v>
      </c>
      <c r="B25" s="41">
        <f>VLOOKUP(22,DoanhThuThang!A6:BM36,65,TRUE)</f>
        <v>0</v>
      </c>
      <c r="C25" s="45">
        <f>VLOOKUP(22,DoanhThuThang!A6:BT36,72,TRUE)</f>
        <v>0</v>
      </c>
    </row>
    <row r="26" spans="1:3" x14ac:dyDescent="0.25">
      <c r="A26" s="37">
        <v>23</v>
      </c>
      <c r="B26" s="41">
        <f>VLOOKUP(23,DoanhThuThang!A6:BM36,65,TRUE)</f>
        <v>0</v>
      </c>
      <c r="C26" s="45">
        <f>VLOOKUP(23,DoanhThuThang!A6:BT36,72,TRUE)</f>
        <v>0</v>
      </c>
    </row>
    <row r="27" spans="1:3" x14ac:dyDescent="0.25">
      <c r="A27" s="37">
        <v>24</v>
      </c>
      <c r="B27" s="41">
        <f>VLOOKUP(24,DoanhThuThang!A6:BM36,65,TRUE)</f>
        <v>0</v>
      </c>
      <c r="C27" s="45">
        <f>VLOOKUP(24,DoanhThuThang!A6:BT36,72,TRUE)</f>
        <v>0</v>
      </c>
    </row>
    <row r="28" spans="1:3" x14ac:dyDescent="0.25">
      <c r="A28" s="37">
        <v>25</v>
      </c>
      <c r="B28" s="41">
        <f>VLOOKUP(25,DoanhThuThang!A6:BM36,65,TRUE)</f>
        <v>0</v>
      </c>
      <c r="C28" s="45">
        <f>VLOOKUP(25,DoanhThuThang!A6:BT36,72,TRUE)</f>
        <v>0</v>
      </c>
    </row>
    <row r="29" spans="1:3" x14ac:dyDescent="0.25">
      <c r="A29" s="37">
        <v>26</v>
      </c>
      <c r="B29" s="41">
        <f>VLOOKUP(26,DoanhThuThang!A6:BM36,65,TRUE)</f>
        <v>0</v>
      </c>
      <c r="C29" s="45">
        <f>VLOOKUP(26,DoanhThuThang!A6:BT36,72,TRUE)</f>
        <v>0</v>
      </c>
    </row>
    <row r="30" spans="1:3" x14ac:dyDescent="0.25">
      <c r="A30" s="37">
        <v>27</v>
      </c>
      <c r="B30" s="41">
        <f>VLOOKUP(27,DoanhThuThang!A6:BM36,65,TRUE)</f>
        <v>0</v>
      </c>
      <c r="C30" s="45">
        <f>VLOOKUP(27,DoanhThuThang!A6:BT36,72,TRUE)</f>
        <v>0</v>
      </c>
    </row>
    <row r="31" spans="1:3" x14ac:dyDescent="0.25">
      <c r="A31" s="37">
        <v>28</v>
      </c>
      <c r="B31" s="41">
        <f>VLOOKUP(28,DoanhThuThang!A6:BM36,65,TRUE)</f>
        <v>0</v>
      </c>
      <c r="C31" s="45">
        <f>VLOOKUP(28,DoanhThuThang!A6:BT36,72,TRUE)</f>
        <v>0</v>
      </c>
    </row>
    <row r="32" spans="1:3" x14ac:dyDescent="0.25">
      <c r="A32" s="37">
        <v>29</v>
      </c>
      <c r="B32" s="41">
        <f>VLOOKUP(29,DoanhThuThang!A6:BM36,65,TRUE)</f>
        <v>0</v>
      </c>
      <c r="C32" s="45">
        <f>VLOOKUP(29,DoanhThuThang!A6:BT36,72,TRUE)</f>
        <v>0</v>
      </c>
    </row>
    <row r="33" spans="1:3" x14ac:dyDescent="0.25">
      <c r="A33" s="37">
        <v>30</v>
      </c>
      <c r="B33" s="41">
        <f>VLOOKUP(30,DoanhThuThang!A6:BM36,65,TRUE)</f>
        <v>0</v>
      </c>
      <c r="C33" s="45">
        <f>VLOOKUP(30,DoanhThuThang!A6:BT36,72,TRUE)</f>
        <v>0</v>
      </c>
    </row>
    <row r="34" spans="1:3" x14ac:dyDescent="0.25">
      <c r="A34" s="37">
        <v>31</v>
      </c>
      <c r="B34" s="41">
        <f>VLOOKUP(31,DoanhThuThang!A6:BM36,65,TRUE)</f>
        <v>0</v>
      </c>
      <c r="C34" s="45">
        <f>VLOOKUP(31,DoanhThuThang!A6:BT36,72,TRUE)</f>
        <v>0</v>
      </c>
    </row>
  </sheetData>
  <mergeCells count="1">
    <mergeCell ref="A1:A3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O34"/>
  <sheetViews>
    <sheetView topLeftCell="A10" workbookViewId="0">
      <selection activeCell="J28" sqref="J28"/>
    </sheetView>
  </sheetViews>
  <sheetFormatPr defaultColWidth="8.85546875" defaultRowHeight="15" x14ac:dyDescent="0.25"/>
  <cols>
    <col min="1" max="1" width="8.7109375" customWidth="1"/>
    <col min="2" max="2" width="12.85546875" customWidth="1"/>
  </cols>
  <sheetData>
    <row r="1" spans="1:15" x14ac:dyDescent="0.25">
      <c r="B1" s="172" t="s">
        <v>70</v>
      </c>
      <c r="C1" s="80" t="s">
        <v>70</v>
      </c>
      <c r="D1" s="80"/>
      <c r="E1" s="81"/>
      <c r="F1" s="82" t="s">
        <v>70</v>
      </c>
      <c r="G1" s="80"/>
      <c r="H1" s="80"/>
      <c r="I1" s="80"/>
      <c r="J1" s="80"/>
      <c r="K1" s="80"/>
      <c r="L1" s="80"/>
      <c r="M1" s="177"/>
      <c r="N1" s="177"/>
      <c r="O1" s="178"/>
    </row>
    <row r="2" spans="1:15" x14ac:dyDescent="0.25">
      <c r="B2" s="172"/>
      <c r="C2" s="172" t="s">
        <v>11</v>
      </c>
      <c r="D2" s="172" t="s">
        <v>12</v>
      </c>
      <c r="E2" s="173" t="s">
        <v>166</v>
      </c>
      <c r="F2" s="82" t="s">
        <v>11</v>
      </c>
      <c r="G2" s="80"/>
      <c r="H2" s="81"/>
      <c r="I2" s="82" t="s">
        <v>12</v>
      </c>
      <c r="J2" s="80"/>
      <c r="K2" s="81"/>
      <c r="L2" s="82" t="s">
        <v>166</v>
      </c>
      <c r="M2" s="91"/>
      <c r="N2" s="175" t="s">
        <v>173</v>
      </c>
      <c r="O2" s="176"/>
    </row>
    <row r="3" spans="1:15" x14ac:dyDescent="0.25">
      <c r="A3" s="83" t="s">
        <v>10</v>
      </c>
      <c r="B3" s="172"/>
      <c r="C3" s="172"/>
      <c r="D3" s="172"/>
      <c r="E3" s="174"/>
      <c r="F3" s="84" t="s">
        <v>165</v>
      </c>
      <c r="G3" s="84" t="s">
        <v>164</v>
      </c>
      <c r="H3" s="84" t="s">
        <v>163</v>
      </c>
      <c r="I3" s="84" t="s">
        <v>165</v>
      </c>
      <c r="J3" s="84" t="s">
        <v>164</v>
      </c>
      <c r="K3" s="84" t="s">
        <v>163</v>
      </c>
      <c r="L3" s="84" t="s">
        <v>8</v>
      </c>
      <c r="M3" s="84" t="s">
        <v>9</v>
      </c>
      <c r="N3" s="97" t="s">
        <v>8</v>
      </c>
      <c r="O3" s="98" t="s">
        <v>172</v>
      </c>
    </row>
    <row r="4" spans="1:15" x14ac:dyDescent="0.25">
      <c r="A4" s="85">
        <v>1</v>
      </c>
      <c r="B4" s="86">
        <f>VLOOKUP(1,DoanhThuThang!A6:N36,14,TRUE)+VLOOKUP(1,DoanhThuThang!A6:AY36,51,TRUE)+VLOOKUP(1,DoanhThuThang!A6:BM36,65,TRUE)</f>
        <v>2669</v>
      </c>
      <c r="C4" s="86">
        <f t="shared" ref="C4:C34" si="0">SUM($F4:$H4)</f>
        <v>828.5</v>
      </c>
      <c r="D4" s="86">
        <f t="shared" ref="D4:D34" si="1">SUM($I4:$K4)</f>
        <v>1840.5</v>
      </c>
      <c r="E4" s="87">
        <f t="shared" ref="E4:E34" si="2">SUM($L4:$M4)</f>
        <v>0</v>
      </c>
      <c r="F4" s="87">
        <f>VLOOKUP(1,DoanhThuThang!A6:B36,2,TRUE)</f>
        <v>667.5</v>
      </c>
      <c r="G4" s="87">
        <f>VLOOKUP(1,DoanhThuThang!A6:AU36,47,TRUE)</f>
        <v>76</v>
      </c>
      <c r="H4" s="87">
        <f>VLOOKUP(1,DoanhThuThang!A6:BI36,61,TRUE)</f>
        <v>85</v>
      </c>
      <c r="I4" s="87">
        <f>VLOOKUP(1,DoanhThuThang!A6:D36,4,TRUE)</f>
        <v>859.5</v>
      </c>
      <c r="J4" s="87">
        <f>VLOOKUP(1,DoanhThuThang!A6:AW36,49,TRUE)</f>
        <v>975</v>
      </c>
      <c r="K4" s="87">
        <f>VLOOKUP(1,DoanhThuThang!A6:BK36,63,TRUE)</f>
        <v>6</v>
      </c>
      <c r="L4" s="87">
        <f>VLOOKUP(1,DoanhThuThang!A6:F36,6,TRUE)+VLOOKUP(1,DoanhThuThang!A6:H36,8,TRUE)</f>
        <v>0</v>
      </c>
      <c r="M4" s="92">
        <f>VLOOKUP(1,DoanhThuThang!A6:J36,10,TRUE)+VLOOKUP(1,DoanhThuThang!A6:L36,12,TRUE)</f>
        <v>0</v>
      </c>
      <c r="N4" s="99" t="str">
        <f>VLOOKUP(1,DoanhThuThang!A6:BW36,75,TRUE)</f>
        <v/>
      </c>
      <c r="O4" s="99" t="str">
        <f>VLOOKUP(1,DoanhThuThang!A6:BY36,77,TRUE)</f>
        <v/>
      </c>
    </row>
    <row r="5" spans="1:15" x14ac:dyDescent="0.25">
      <c r="A5" s="88">
        <v>2</v>
      </c>
      <c r="B5" s="89">
        <f>VLOOKUP(2,DoanhThuThang!A6:N36,14,TRUE)+VLOOKUP(2,DoanhThuThang!A6:AY36,51,TRUE)+VLOOKUP(2,DoanhThuThang!A6:BM36,65,TRUE)</f>
        <v>4071</v>
      </c>
      <c r="C5" s="86">
        <f t="shared" si="0"/>
        <v>1116</v>
      </c>
      <c r="D5" s="86">
        <f t="shared" si="1"/>
        <v>1734</v>
      </c>
      <c r="E5" s="87">
        <f t="shared" si="2"/>
        <v>1221</v>
      </c>
      <c r="F5" s="87">
        <f>VLOOKUP(2,DoanhThuThang!A6:B36,2,TRUE)</f>
        <v>529</v>
      </c>
      <c r="G5" s="87">
        <f>VLOOKUP(2,DoanhThuThang!A6:AU36,47,TRUE)</f>
        <v>580</v>
      </c>
      <c r="H5" s="87">
        <f>VLOOKUP(2,DoanhThuThang!A6:BI36,61,TRUE)</f>
        <v>7</v>
      </c>
      <c r="I5" s="87">
        <f>VLOOKUP(2,DoanhThuThang!A6:D36,4,TRUE)</f>
        <v>551</v>
      </c>
      <c r="J5" s="87">
        <f>VLOOKUP(2,DoanhThuThang!A6:AW36,49,TRUE)</f>
        <v>576</v>
      </c>
      <c r="K5" s="87">
        <f>VLOOKUP(2,DoanhThuThang!A6:BK36,63,TRUE)</f>
        <v>607</v>
      </c>
      <c r="L5" s="87">
        <f>VLOOKUP(2,DoanhThuThang!A6:F36,6,TRUE)+VLOOKUP(2,DoanhThuThang!A6:H36,8,TRUE)</f>
        <v>580</v>
      </c>
      <c r="M5" s="92">
        <f>VLOOKUP(2,DoanhThuThang!A6:J36,10,TRUE)+VLOOKUP(2,DoanhThuThang!A6:L36,12,TRUE)</f>
        <v>641</v>
      </c>
      <c r="N5" s="99">
        <f>VLOOKUP(2,DoanhThuThang!A6:BW36,75,TRUE)</f>
        <v>175</v>
      </c>
      <c r="O5" s="99">
        <f>VLOOKUP(2,DoanhThuThang!A6:BY36,77,TRUE)</f>
        <v>0</v>
      </c>
    </row>
    <row r="6" spans="1:15" x14ac:dyDescent="0.25">
      <c r="A6" s="88">
        <v>3</v>
      </c>
      <c r="B6" s="89">
        <f>VLOOKUP(3,DoanhThuThang!A6:N36,14,TRUE)+VLOOKUP(3,DoanhThuThang!A6:AY36,51,TRUE)+VLOOKUP(3,DoanhThuThang!A6:BM36,65,TRUE)</f>
        <v>1875</v>
      </c>
      <c r="C6" s="86">
        <f t="shared" si="0"/>
        <v>551</v>
      </c>
      <c r="D6" s="86">
        <f t="shared" si="1"/>
        <v>1114</v>
      </c>
      <c r="E6" s="87">
        <f t="shared" si="2"/>
        <v>210</v>
      </c>
      <c r="F6" s="87">
        <f>VLOOKUP(3,DoanhThuThang!A6:B36,2,TRUE)</f>
        <v>296</v>
      </c>
      <c r="G6" s="87">
        <f>VLOOKUP(3,DoanhThuThang!A6:AU36,47,TRUE)</f>
        <v>173</v>
      </c>
      <c r="H6" s="87">
        <f>VLOOKUP(3,DoanhThuThang!A6:BI36,61,TRUE)</f>
        <v>82</v>
      </c>
      <c r="I6" s="87">
        <f>VLOOKUP(3,DoanhThuThang!A6:D36,4,TRUE)</f>
        <v>644</v>
      </c>
      <c r="J6" s="87">
        <f>VLOOKUP(3,DoanhThuThang!A6:AW36,49,TRUE)</f>
        <v>383</v>
      </c>
      <c r="K6" s="87">
        <f>VLOOKUP(3,DoanhThuThang!A6:BK36,63,TRUE)</f>
        <v>87</v>
      </c>
      <c r="L6" s="87">
        <f>VLOOKUP(3,DoanhThuThang!A6:F36,6,TRUE)+VLOOKUP(3,DoanhThuThang!A6:H36,8,TRUE)</f>
        <v>210</v>
      </c>
      <c r="M6" s="92">
        <f>VLOOKUP(3,DoanhThuThang!A6:J36,10,TRUE)+VLOOKUP(3,DoanhThuThang!A6:L36,12,TRUE)</f>
        <v>0</v>
      </c>
      <c r="N6" s="99" t="str">
        <f>VLOOKUP(3,DoanhThuThang!A6:BW36,75,TRUE)</f>
        <v/>
      </c>
      <c r="O6" s="99" t="str">
        <f>VLOOKUP(3,DoanhThuThang!A6:BY36,77,TRUE)</f>
        <v/>
      </c>
    </row>
    <row r="7" spans="1:15" x14ac:dyDescent="0.25">
      <c r="A7" s="88">
        <v>4</v>
      </c>
      <c r="B7" s="89">
        <f>VLOOKUP(4,DoanhThuThang!A6:N36,14,TRUE)+VLOOKUP(4,DoanhThuThang!A6:AY36,51,TRUE)+VLOOKUP(4,DoanhThuThang!A6:BM36,65,TRUE)</f>
        <v>1719</v>
      </c>
      <c r="C7" s="86">
        <f t="shared" si="0"/>
        <v>533</v>
      </c>
      <c r="D7" s="86">
        <f t="shared" si="1"/>
        <v>694</v>
      </c>
      <c r="E7" s="87">
        <f t="shared" si="2"/>
        <v>492</v>
      </c>
      <c r="F7" s="87">
        <f>VLOOKUP(4,DoanhThuThang!A6:B36,2,TRUE)</f>
        <v>148</v>
      </c>
      <c r="G7" s="87">
        <f>VLOOKUP(4,DoanhThuThang!A6:AU36,47,TRUE)</f>
        <v>175</v>
      </c>
      <c r="H7" s="87">
        <f>VLOOKUP(4,DoanhThuThang!A6:BI36,61,TRUE)</f>
        <v>210</v>
      </c>
      <c r="I7" s="87">
        <f>VLOOKUP(4,DoanhThuThang!A6:D36,4,TRUE)</f>
        <v>495</v>
      </c>
      <c r="J7" s="87">
        <f>VLOOKUP(4,DoanhThuThang!A6:AW36,49,TRUE)</f>
        <v>36</v>
      </c>
      <c r="K7" s="87">
        <f>VLOOKUP(4,DoanhThuThang!A6:BK36,63,TRUE)</f>
        <v>163</v>
      </c>
      <c r="L7" s="87">
        <f>VLOOKUP(4,DoanhThuThang!A6:F36,6,TRUE)+VLOOKUP(4,DoanhThuThang!A6:H36,8,TRUE)</f>
        <v>492</v>
      </c>
      <c r="M7" s="92">
        <f>VLOOKUP(4,DoanhThuThang!A6:J36,10,TRUE)+VLOOKUP(4,DoanhThuThang!A6:L36,12,TRUE)</f>
        <v>0</v>
      </c>
      <c r="N7" s="99">
        <f>VLOOKUP(4,DoanhThuThang!A6:BW36,75,TRUE)</f>
        <v>0</v>
      </c>
      <c r="O7" s="99">
        <f>VLOOKUP(4,DoanhThuThang!A6:BY36,77,TRUE)</f>
        <v>655</v>
      </c>
    </row>
    <row r="8" spans="1:15" x14ac:dyDescent="0.25">
      <c r="A8" s="88">
        <v>5</v>
      </c>
      <c r="B8" s="89">
        <f>VLOOKUP(5,DoanhThuThang!A6:N36,14,TRUE)+VLOOKUP(5,DoanhThuThang!A6:AY36,51,TRUE)+VLOOKUP(5,DoanhThuThang!A6:BM36,65,TRUE)</f>
        <v>2287</v>
      </c>
      <c r="C8" s="86">
        <f t="shared" si="0"/>
        <v>491</v>
      </c>
      <c r="D8" s="86">
        <f t="shared" si="1"/>
        <v>1538</v>
      </c>
      <c r="E8" s="87">
        <f t="shared" si="2"/>
        <v>258</v>
      </c>
      <c r="F8" s="87">
        <f>VLOOKUP(5,DoanhThuThang!A6:B36,2,TRUE)</f>
        <v>391</v>
      </c>
      <c r="G8" s="87">
        <f>VLOOKUP(5,DoanhThuThang!A6:AU36,47,TRUE)</f>
        <v>94</v>
      </c>
      <c r="H8" s="87">
        <f>VLOOKUP(5,DoanhThuThang!A6:BI36,61,TRUE)</f>
        <v>6</v>
      </c>
      <c r="I8" s="87">
        <f>VLOOKUP(5,DoanhThuThang!A6:D36,4,TRUE)</f>
        <v>652</v>
      </c>
      <c r="J8" s="87">
        <f>VLOOKUP(5,DoanhThuThang!A6:AW36,49,TRUE)</f>
        <v>745</v>
      </c>
      <c r="K8" s="87">
        <f>VLOOKUP(5,DoanhThuThang!A6:BK36,63,TRUE)</f>
        <v>141</v>
      </c>
      <c r="L8" s="87">
        <f>VLOOKUP(5,DoanhThuThang!A6:F36,6,TRUE)+VLOOKUP(5,DoanhThuThang!A6:H36,8,TRUE)</f>
        <v>258</v>
      </c>
      <c r="M8" s="92">
        <f>VLOOKUP(5,DoanhThuThang!A6:J36,10,TRUE)+VLOOKUP(5,DoanhThuThang!A6:L36,12,TRUE)</f>
        <v>0</v>
      </c>
      <c r="N8" s="99" t="str">
        <f>VLOOKUP(5,DoanhThuThang!A6:BW36,75,TRUE)</f>
        <v/>
      </c>
      <c r="O8" s="99" t="str">
        <f>VLOOKUP(5,DoanhThuThang!A6:BY36,77,TRUE)</f>
        <v/>
      </c>
    </row>
    <row r="9" spans="1:15" x14ac:dyDescent="0.25">
      <c r="A9" s="88">
        <v>6</v>
      </c>
      <c r="B9" s="89">
        <f>VLOOKUP(6,DoanhThuThang!A6:N36,14,TRUE)+VLOOKUP(6,DoanhThuThang!A6:AY36,51,TRUE)+VLOOKUP(6,DoanhThuThang!A6:BM36,65,TRUE)</f>
        <v>2415</v>
      </c>
      <c r="C9" s="86">
        <f t="shared" si="0"/>
        <v>652</v>
      </c>
      <c r="D9" s="86">
        <f t="shared" si="1"/>
        <v>1539</v>
      </c>
      <c r="E9" s="87">
        <f t="shared" si="2"/>
        <v>224</v>
      </c>
      <c r="F9" s="87">
        <f>VLOOKUP(6,DoanhThuThang!A6:B36,2,TRUE)</f>
        <v>397</v>
      </c>
      <c r="G9" s="87">
        <f>VLOOKUP(6,DoanhThuThang!A6:AU36,47,TRUE)</f>
        <v>198</v>
      </c>
      <c r="H9" s="87">
        <f>VLOOKUP(6,DoanhThuThang!A6:BI36,61,TRUE)</f>
        <v>57</v>
      </c>
      <c r="I9" s="87">
        <f>VLOOKUP(6,DoanhThuThang!A6:D36,4,TRUE)</f>
        <v>772</v>
      </c>
      <c r="J9" s="87">
        <f>VLOOKUP(6,DoanhThuThang!A6:AW36,49,TRUE)</f>
        <v>723</v>
      </c>
      <c r="K9" s="87">
        <f>VLOOKUP(6,DoanhThuThang!A6:BK36,63,TRUE)</f>
        <v>44</v>
      </c>
      <c r="L9" s="87">
        <f>VLOOKUP(6,DoanhThuThang!A6:F36,6,TRUE)+VLOOKUP(6,DoanhThuThang!A6:H36,8,TRUE)</f>
        <v>224</v>
      </c>
      <c r="M9" s="92">
        <f>VLOOKUP(6,DoanhThuThang!A6:J36,10,TRUE)+VLOOKUP(6,DoanhThuThang!A6:L36,12,TRUE)</f>
        <v>0</v>
      </c>
      <c r="N9" s="99" t="str">
        <f>VLOOKUP(6,DoanhThuThang!A6:BW36,75,TRUE)</f>
        <v/>
      </c>
      <c r="O9" s="99" t="str">
        <f>VLOOKUP(6,DoanhThuThang!A6:BY36,77,TRUE)</f>
        <v/>
      </c>
    </row>
    <row r="10" spans="1:15" x14ac:dyDescent="0.25">
      <c r="A10" s="88">
        <v>7</v>
      </c>
      <c r="B10" s="89">
        <f>VLOOKUP(7,DoanhThuThang!A6:N36,14,TRUE)+VLOOKUP(7,DoanhThuThang!A6:AY36,51,TRUE)+VLOOKUP(7,DoanhThuThang!A6:BM36,65,TRUE)</f>
        <v>1581</v>
      </c>
      <c r="C10" s="86">
        <f t="shared" si="0"/>
        <v>321</v>
      </c>
      <c r="D10" s="86">
        <f t="shared" si="1"/>
        <v>1125</v>
      </c>
      <c r="E10" s="87">
        <f t="shared" si="2"/>
        <v>135</v>
      </c>
      <c r="F10" s="87">
        <f>VLOOKUP(7,DoanhThuThang!A6:B36,2,TRUE)</f>
        <v>151</v>
      </c>
      <c r="G10" s="87">
        <f>VLOOKUP(7,DoanhThuThang!A6:AU36,47,TRUE)</f>
        <v>110</v>
      </c>
      <c r="H10" s="87">
        <f>VLOOKUP(7,DoanhThuThang!A6:BI36,61,TRUE)</f>
        <v>60</v>
      </c>
      <c r="I10" s="87">
        <f>VLOOKUP(7,DoanhThuThang!A6:D36,4,TRUE)</f>
        <v>696</v>
      </c>
      <c r="J10" s="87">
        <f>VLOOKUP(7,DoanhThuThang!A6:AW36,49,TRUE)</f>
        <v>182</v>
      </c>
      <c r="K10" s="87">
        <f>VLOOKUP(7,DoanhThuThang!A6:BK36,63,TRUE)</f>
        <v>247</v>
      </c>
      <c r="L10" s="87">
        <f>VLOOKUP(7,DoanhThuThang!A6:F36,6,TRUE)+VLOOKUP(7,DoanhThuThang!A6:H36,8,TRUE)</f>
        <v>135</v>
      </c>
      <c r="M10" s="95">
        <f>VLOOKUP(7,DoanhThuThang!A6:J36,10,TRUE)+VLOOKUP(7,DoanhThuThang!A6:L36,12,TRUE)</f>
        <v>0</v>
      </c>
      <c r="N10" s="99">
        <f>VLOOKUP(7,DoanhThuThang!A6:BW36,75,TRUE)</f>
        <v>500</v>
      </c>
      <c r="O10" s="99">
        <f>VLOOKUP(7,DoanhThuThang!A6:BY36,77,TRUE)</f>
        <v>0</v>
      </c>
    </row>
    <row r="11" spans="1:15" x14ac:dyDescent="0.25">
      <c r="A11" s="88">
        <v>8</v>
      </c>
      <c r="B11" s="89">
        <f>VLOOKUP(8,DoanhThuThang!A6:N36,14,TRUE)+VLOOKUP(8,DoanhThuThang!A6:AY36,51,TRUE)+VLOOKUP(8,DoanhThuThang!A6:BM36,65,TRUE)</f>
        <v>2547</v>
      </c>
      <c r="C11" s="86">
        <f t="shared" si="0"/>
        <v>1806</v>
      </c>
      <c r="D11" s="86">
        <f t="shared" si="1"/>
        <v>741</v>
      </c>
      <c r="E11" s="87">
        <f t="shared" si="2"/>
        <v>0</v>
      </c>
      <c r="F11" s="87">
        <f>VLOOKUP(8,DoanhThuThang!A6:B36,2,TRUE)</f>
        <v>1513</v>
      </c>
      <c r="G11" s="87">
        <f>VLOOKUP(8,DoanhThuThang!A6:AU36,47,TRUE)</f>
        <v>127</v>
      </c>
      <c r="H11" s="87">
        <f>VLOOKUP(8,DoanhThuThang!A6:BI36,61,TRUE)</f>
        <v>166</v>
      </c>
      <c r="I11" s="87">
        <f>VLOOKUP(8,DoanhThuThang!A6:D36,4,TRUE)</f>
        <v>413</v>
      </c>
      <c r="J11" s="93">
        <f>VLOOKUP(8,DoanhThuThang!A6:AW36,49,TRUE)</f>
        <v>296.5</v>
      </c>
      <c r="K11" s="87">
        <f>VLOOKUP(8,DoanhThuThang!A6:BK36,63,TRUE)</f>
        <v>31.5</v>
      </c>
      <c r="L11" s="87">
        <f>VLOOKUP(8,DoanhThuThang!A6:F36,6,TRUE)+VLOOKUP(8,DoanhThuThang!A6:H36,8,TRUE)</f>
        <v>0</v>
      </c>
      <c r="M11" s="96">
        <f>VLOOKUP(8,DoanhThuThang!A6:J36,10,TRUE)+VLOOKUP(8,DoanhThuThang!A6:L36,12,TRUE)</f>
        <v>0</v>
      </c>
      <c r="N11" s="99" t="str">
        <f>VLOOKUP(8,DoanhThuThang!A6:BW36,75,TRUE)</f>
        <v/>
      </c>
      <c r="O11" s="99" t="str">
        <f>VLOOKUP(8,DoanhThuThang!A6:BY36,77,TRUE)</f>
        <v/>
      </c>
    </row>
    <row r="12" spans="1:15" x14ac:dyDescent="0.25">
      <c r="A12" s="88">
        <v>9</v>
      </c>
      <c r="B12" s="89">
        <f>VLOOKUP(9,DoanhThuThang!A6:N36,14,TRUE)+VLOOKUP(9,DoanhThuThang!A6:AY36,51,TRUE)+VLOOKUP(9,DoanhThuThang!A6:BM36,65,TRUE)</f>
        <v>1766</v>
      </c>
      <c r="C12" s="86">
        <f t="shared" si="0"/>
        <v>605</v>
      </c>
      <c r="D12" s="86">
        <f t="shared" si="1"/>
        <v>752</v>
      </c>
      <c r="E12" s="87">
        <f t="shared" si="2"/>
        <v>409</v>
      </c>
      <c r="F12" s="87">
        <f>VLOOKUP(9,DoanhThuThang!A6:B36,2,TRUE)</f>
        <v>348</v>
      </c>
      <c r="G12" s="87">
        <f>VLOOKUP(9,DoanhThuThang!A6:AU36,47,TRUE)</f>
        <v>251</v>
      </c>
      <c r="H12" s="87">
        <f>VLOOKUP(9,DoanhThuThang!A6:BI36,61,TRUE)</f>
        <v>6</v>
      </c>
      <c r="I12" s="87">
        <f>VLOOKUP(9,DoanhThuThang!A6:D36,4,TRUE)</f>
        <v>329</v>
      </c>
      <c r="J12" s="94">
        <f>VLOOKUP(9,DoanhThuThang!A6:AW36,49,TRUE)</f>
        <v>215</v>
      </c>
      <c r="K12" s="87">
        <f>VLOOKUP(9,DoanhThuThang!A6:BK36,63,TRUE)</f>
        <v>208</v>
      </c>
      <c r="L12" s="87">
        <f>VLOOKUP(9,DoanhThuThang!A6:F36,6,TRUE)+VLOOKUP(9,DoanhThuThang!A6:H36,8,TRUE)</f>
        <v>409</v>
      </c>
      <c r="M12" s="92">
        <f>VLOOKUP(9,DoanhThuThang!A6:J36,10,TRUE)+VLOOKUP(9,DoanhThuThang!A6:L36,12,TRUE)</f>
        <v>0</v>
      </c>
      <c r="N12" s="99" t="str">
        <f>VLOOKUP(9,DoanhThuThang!A6:BW36,75,TRUE)</f>
        <v/>
      </c>
      <c r="O12" s="99" t="str">
        <f>VLOOKUP(9,DoanhThuThang!A6:BY36,77,TRUE)</f>
        <v/>
      </c>
    </row>
    <row r="13" spans="1:15" x14ac:dyDescent="0.25">
      <c r="A13" s="88">
        <v>10</v>
      </c>
      <c r="B13" s="89">
        <f>VLOOKUP(10,DoanhThuThang!A6:N36,14,TRUE)+VLOOKUP(10,DoanhThuThang!A6:AY36,51,TRUE)+VLOOKUP(10,DoanhThuThang!A6:BM36,65,TRUE)</f>
        <v>2533</v>
      </c>
      <c r="C13" s="86">
        <f t="shared" si="0"/>
        <v>572</v>
      </c>
      <c r="D13" s="86">
        <f t="shared" si="1"/>
        <v>1280</v>
      </c>
      <c r="E13" s="87">
        <f t="shared" si="2"/>
        <v>681</v>
      </c>
      <c r="F13" s="87">
        <f>VLOOKUP(10,DoanhThuThang!A6:B36,2,TRUE)</f>
        <v>279</v>
      </c>
      <c r="G13" s="87">
        <f>VLOOKUP(10,DoanhThuThang!A6:AU36,47,TRUE)</f>
        <v>293</v>
      </c>
      <c r="H13" s="87">
        <f>VLOOKUP(10,DoanhThuThang!A6:BI36,61,TRUE)</f>
        <v>0</v>
      </c>
      <c r="I13" s="87">
        <f>VLOOKUP(10,DoanhThuThang!A6:D36,4,TRUE)</f>
        <v>876</v>
      </c>
      <c r="J13" s="87">
        <f>VLOOKUP(10,DoanhThuThang!A6:AW36,49,TRUE)</f>
        <v>170</v>
      </c>
      <c r="K13" s="87">
        <f>VLOOKUP(10,DoanhThuThang!A6:BK36,63,TRUE)</f>
        <v>234</v>
      </c>
      <c r="L13" s="87">
        <f>VLOOKUP(10,DoanhThuThang!A6:F36,6,TRUE)+VLOOKUP(10,DoanhThuThang!A6:H36,8,TRUE)</f>
        <v>261</v>
      </c>
      <c r="M13" s="92">
        <f>VLOOKUP(10,DoanhThuThang!A6:J36,10,TRUE)+VLOOKUP(10,DoanhThuThang!A6:L36,12,TRUE)</f>
        <v>420</v>
      </c>
      <c r="N13" s="99" t="str">
        <f>VLOOKUP(10,DoanhThuThang!A6:BW36,75,TRUE)</f>
        <v/>
      </c>
      <c r="O13" s="99" t="str">
        <f>VLOOKUP(10,DoanhThuThang!A6:BY36,77,TRUE)</f>
        <v/>
      </c>
    </row>
    <row r="14" spans="1:15" x14ac:dyDescent="0.25">
      <c r="A14" s="88">
        <v>11</v>
      </c>
      <c r="B14" s="89">
        <f>VLOOKUP(11,DoanhThuThang!A6:N36,14,TRUE)+VLOOKUP(11,DoanhThuThang!A6:AY36,51,TRUE)+VLOOKUP(11,DoanhThuThang!A6:BM36,65,TRUE)</f>
        <v>2546.5</v>
      </c>
      <c r="C14" s="86">
        <f t="shared" si="0"/>
        <v>877.5</v>
      </c>
      <c r="D14" s="86">
        <f t="shared" si="1"/>
        <v>1341</v>
      </c>
      <c r="E14" s="87">
        <f t="shared" si="2"/>
        <v>328</v>
      </c>
      <c r="F14" s="87">
        <f>VLOOKUP(11,DoanhThuThang!A6:B36,2,TRUE)</f>
        <v>531</v>
      </c>
      <c r="G14" s="87">
        <f>VLOOKUP(11,DoanhThuThang!A6:AU36,47,TRUE)</f>
        <v>291.5</v>
      </c>
      <c r="H14" s="87">
        <f>VLOOKUP(11,DoanhThuThang!A6:BI36,61,TRUE)</f>
        <v>55</v>
      </c>
      <c r="I14" s="87">
        <f>VLOOKUP(11,DoanhThuThang!A6:D36,4,TRUE)</f>
        <v>298</v>
      </c>
      <c r="J14" s="87">
        <f>VLOOKUP(11,DoanhThuThang!A6:AW36,49,TRUE)</f>
        <v>874</v>
      </c>
      <c r="K14" s="87">
        <f>VLOOKUP(11,DoanhThuThang!A6:BK36,63,TRUE)</f>
        <v>169</v>
      </c>
      <c r="L14" s="87">
        <f>VLOOKUP(11,DoanhThuThang!A6:F36,6,TRUE)+VLOOKUP(11,DoanhThuThang!A6:H36,8,TRUE)</f>
        <v>328</v>
      </c>
      <c r="M14" s="92">
        <f>VLOOKUP(11,DoanhThuThang!A6:J36,10,TRUE)+VLOOKUP(11,DoanhThuThang!A6:L36,12,TRUE)</f>
        <v>0</v>
      </c>
      <c r="N14" s="99" t="str">
        <f>VLOOKUP(11,DoanhThuThang!A6:BW36,75,TRUE)</f>
        <v/>
      </c>
      <c r="O14" s="99" t="str">
        <f>VLOOKUP(11,DoanhThuThang!A6:BY36,77,TRUE)</f>
        <v/>
      </c>
    </row>
    <row r="15" spans="1:15" x14ac:dyDescent="0.25">
      <c r="A15" s="88">
        <v>12</v>
      </c>
      <c r="B15" s="89">
        <f>VLOOKUP(12,DoanhThuThang!A6:N36,14,TRUE)+VLOOKUP(12,DoanhThuThang!A6:AY36,51,TRUE)+VLOOKUP(12,DoanhThuThang!A6:BM36,65,TRUE)</f>
        <v>2861</v>
      </c>
      <c r="C15" s="86">
        <f t="shared" si="0"/>
        <v>361</v>
      </c>
      <c r="D15" s="86">
        <f t="shared" si="1"/>
        <v>2042</v>
      </c>
      <c r="E15" s="87">
        <f t="shared" si="2"/>
        <v>458</v>
      </c>
      <c r="F15" s="87">
        <f>VLOOKUP(12,DoanhThuThang!A6:B36,2,TRUE)</f>
        <v>216</v>
      </c>
      <c r="G15" s="87">
        <f>VLOOKUP(12,DoanhThuThang!A6:AU36,47,TRUE)</f>
        <v>103</v>
      </c>
      <c r="H15" s="87">
        <f>VLOOKUP(12,DoanhThuThang!A6:BI36,61,TRUE)</f>
        <v>42</v>
      </c>
      <c r="I15" s="87">
        <f>VLOOKUP(12,DoanhThuThang!A6:D36,4,TRUE)</f>
        <v>1314</v>
      </c>
      <c r="J15" s="87">
        <f>VLOOKUP(12,DoanhThuThang!A6:AW36,49,TRUE)</f>
        <v>455</v>
      </c>
      <c r="K15" s="87">
        <f>VLOOKUP(12,DoanhThuThang!A6:BK36,63,TRUE)</f>
        <v>273</v>
      </c>
      <c r="L15" s="87">
        <f>VLOOKUP(12,DoanhThuThang!A6:F36,6,TRUE)+VLOOKUP(12,DoanhThuThang!A6:H36,8,TRUE)</f>
        <v>322</v>
      </c>
      <c r="M15" s="92">
        <f>VLOOKUP(12,DoanhThuThang!A6:J36,10,TRUE)+VLOOKUP(12,DoanhThuThang!A6:L36,12,TRUE)</f>
        <v>136</v>
      </c>
      <c r="N15" s="99" t="str">
        <f>VLOOKUP(12,DoanhThuThang!A6:BW36,75,TRUE)</f>
        <v/>
      </c>
      <c r="O15" s="99" t="str">
        <f>VLOOKUP(12,DoanhThuThang!A6:BY36,77,TRUE)</f>
        <v/>
      </c>
    </row>
    <row r="16" spans="1:15" x14ac:dyDescent="0.25">
      <c r="A16" s="88">
        <v>13</v>
      </c>
      <c r="B16" s="89">
        <f>VLOOKUP(13,DoanhThuThang!A6:N36,14,TRUE)+VLOOKUP(13,DoanhThuThang!A6:AY36,51,TRUE)+VLOOKUP(13,DoanhThuThang!A6:BM36,65,TRUE)</f>
        <v>3017</v>
      </c>
      <c r="C16" s="86">
        <f t="shared" si="0"/>
        <v>646</v>
      </c>
      <c r="D16" s="86">
        <f t="shared" si="1"/>
        <v>2317</v>
      </c>
      <c r="E16" s="87">
        <f t="shared" si="2"/>
        <v>54</v>
      </c>
      <c r="F16" s="87">
        <f>VLOOKUP(13,DoanhThuThang!A6:B36,2,TRUE)</f>
        <v>412</v>
      </c>
      <c r="G16" s="87">
        <f>VLOOKUP(13,DoanhThuThang!A6:AU36,47,TRUE)</f>
        <v>181</v>
      </c>
      <c r="H16" s="87">
        <f>VLOOKUP(13,DoanhThuThang!A6:BI36,61,TRUE)</f>
        <v>53</v>
      </c>
      <c r="I16" s="87">
        <f>VLOOKUP(13,DoanhThuThang!A6:D36,4,TRUE)</f>
        <v>821</v>
      </c>
      <c r="J16" s="87">
        <f>VLOOKUP(13,DoanhThuThang!A6:AW36,49,TRUE)</f>
        <v>1083</v>
      </c>
      <c r="K16" s="87">
        <f>VLOOKUP(13,DoanhThuThang!A6:BK36,63,TRUE)</f>
        <v>413</v>
      </c>
      <c r="L16" s="87">
        <f>VLOOKUP(13,DoanhThuThang!A6:F36,6,TRUE)+VLOOKUP(13,DoanhThuThang!A6:H36,8,TRUE)</f>
        <v>54</v>
      </c>
      <c r="M16" s="92">
        <f>VLOOKUP(13,DoanhThuThang!A6:J36,10,TRUE)+VLOOKUP(13,DoanhThuThang!A6:L36,12,TRUE)</f>
        <v>0</v>
      </c>
      <c r="N16" s="99" t="str">
        <f>VLOOKUP(13,DoanhThuThang!A6:BW36,75,TRUE)</f>
        <v/>
      </c>
      <c r="O16" s="99" t="str">
        <f>VLOOKUP(13,DoanhThuThang!A6:BY36,77,TRUE)</f>
        <v/>
      </c>
    </row>
    <row r="17" spans="1:15" x14ac:dyDescent="0.25">
      <c r="A17" s="88">
        <v>14</v>
      </c>
      <c r="B17" s="89">
        <f>VLOOKUP(14,DoanhThuThang!A6:N36,14,TRUE)+VLOOKUP(14,DoanhThuThang!A6:AY36,51,TRUE)+VLOOKUP(14,DoanhThuThang!A6:BM36,65,TRUE)</f>
        <v>2948</v>
      </c>
      <c r="C17" s="86">
        <f t="shared" si="0"/>
        <v>444</v>
      </c>
      <c r="D17" s="86">
        <f t="shared" si="1"/>
        <v>1825</v>
      </c>
      <c r="E17" s="87">
        <f t="shared" si="2"/>
        <v>679</v>
      </c>
      <c r="F17" s="87">
        <f>VLOOKUP(14,DoanhThuThang!A6:B36,2,TRUE)</f>
        <v>190</v>
      </c>
      <c r="G17" s="87">
        <f>VLOOKUP(14,DoanhThuThang!A6:AU36,47,TRUE)</f>
        <v>4</v>
      </c>
      <c r="H17" s="87">
        <f>VLOOKUP(14,DoanhThuThang!A6:BI36,61,TRUE)</f>
        <v>250</v>
      </c>
      <c r="I17" s="87">
        <f>VLOOKUP(14,DoanhThuThang!A6:D36,4,TRUE)</f>
        <v>749</v>
      </c>
      <c r="J17" s="87">
        <f>VLOOKUP(14,DoanhThuThang!A6:AW36,49,TRUE)</f>
        <v>592</v>
      </c>
      <c r="K17" s="87">
        <f>VLOOKUP(14,DoanhThuThang!A6:BK36,63,TRUE)</f>
        <v>484</v>
      </c>
      <c r="L17" s="87">
        <f>VLOOKUP(14,DoanhThuThang!A6:F36,6,TRUE)+VLOOKUP(14,DoanhThuThang!A6:H36,8,TRUE)</f>
        <v>179</v>
      </c>
      <c r="M17" s="92">
        <f>VLOOKUP(14,DoanhThuThang!A6:J36,10,TRUE)+VLOOKUP(14,DoanhThuThang!A6:L36,12,TRUE)</f>
        <v>500</v>
      </c>
      <c r="N17" s="99" t="str">
        <f>VLOOKUP(14,DoanhThuThang!A6:BW36,75,TRUE)</f>
        <v/>
      </c>
      <c r="O17" s="99" t="str">
        <f>VLOOKUP(14,DoanhThuThang!A6:BY36,77,TRUE)</f>
        <v/>
      </c>
    </row>
    <row r="18" spans="1:15" x14ac:dyDescent="0.25">
      <c r="A18" s="88">
        <v>15</v>
      </c>
      <c r="B18" s="89">
        <f>VLOOKUP(15,DoanhThuThang!A6:N36,14,TRUE)+VLOOKUP(15,DoanhThuThang!A6:AY36,51,TRUE)+VLOOKUP(15,DoanhThuThang!A6:BM36,65,TRUE)</f>
        <v>2069</v>
      </c>
      <c r="C18" s="86">
        <f t="shared" si="0"/>
        <v>535</v>
      </c>
      <c r="D18" s="86">
        <f t="shared" si="1"/>
        <v>1152</v>
      </c>
      <c r="E18" s="87">
        <f t="shared" si="2"/>
        <v>0</v>
      </c>
      <c r="F18" s="87">
        <f>VLOOKUP(15,DoanhThuThang!A6:B36,2,TRUE)</f>
        <v>286</v>
      </c>
      <c r="G18" s="87">
        <f>VLOOKUP(15,DoanhThuThang!A6:AU36,47,TRUE)</f>
        <v>225</v>
      </c>
      <c r="H18" s="87">
        <f>VLOOKUP(15,DoanhThuThang!A6:BI36,61,TRUE)</f>
        <v>24</v>
      </c>
      <c r="I18" s="87">
        <f>VLOOKUP(14,DoanhThuThang!A6:D36,4,TRUE)</f>
        <v>749</v>
      </c>
      <c r="J18" s="87">
        <f>VLOOKUP(15,DoanhThuThang!A6:AW36,49,TRUE)</f>
        <v>263</v>
      </c>
      <c r="K18" s="87">
        <f>VLOOKUP(15,DoanhThuThang!A6:BK36,63,TRUE)</f>
        <v>140</v>
      </c>
      <c r="L18" s="87">
        <f>VLOOKUP(15,DoanhThuThang!A6:F36,6,TRUE)++VLOOKUP(15,DoanhThuThang!A6:H36,8,TRUE)</f>
        <v>0</v>
      </c>
      <c r="M18" s="92">
        <f>VLOOKUP(15,DoanhThuThang!A6:J36,10,TRUE)+VLOOKUP(15,DoanhThuThang!A6:L36,12,TRUE)</f>
        <v>0</v>
      </c>
      <c r="N18" s="99" t="str">
        <f>VLOOKUP(15,DoanhThuThang!A6:BW36,75,TRUE)</f>
        <v/>
      </c>
      <c r="O18" s="99" t="str">
        <f>VLOOKUP(15,DoanhThuThang!A6:BY36,77,TRUE)</f>
        <v/>
      </c>
    </row>
    <row r="19" spans="1:15" x14ac:dyDescent="0.25">
      <c r="A19" s="88">
        <v>16</v>
      </c>
      <c r="B19" s="89">
        <f>VLOOKUP(16,DoanhThuThang!A6:N36,14,TRUE)+VLOOKUP(16,DoanhThuThang!A6:AY36,51,TRUE)+VLOOKUP(16,DoanhThuThang!A6:BM36,65,TRUE)</f>
        <v>3691</v>
      </c>
      <c r="C19" s="86">
        <f t="shared" si="0"/>
        <v>664</v>
      </c>
      <c r="D19" s="86">
        <f t="shared" si="1"/>
        <v>1982</v>
      </c>
      <c r="E19" s="87">
        <f t="shared" si="2"/>
        <v>1045</v>
      </c>
      <c r="F19" s="87">
        <f>VLOOKUP(16,DoanhThuThang!A6:B36,2,TRUE)</f>
        <v>574</v>
      </c>
      <c r="G19" s="87">
        <f>VLOOKUP(16,DoanhThuThang!A6:AU36,47,TRUE)</f>
        <v>46</v>
      </c>
      <c r="H19" s="87">
        <f>VLOOKUP(16,DoanhThuThang!A6:BI36,61,TRUE)</f>
        <v>44</v>
      </c>
      <c r="I19" s="87">
        <f>VLOOKUP(16,DoanhThuThang!A6:D36,4,TRUE)</f>
        <v>1352</v>
      </c>
      <c r="J19" s="87">
        <f>VLOOKUP(16,DoanhThuThang!A6:AW36,49,TRUE)</f>
        <v>497</v>
      </c>
      <c r="K19" s="87">
        <f>VLOOKUP(16,DoanhThuThang!A6:BK36,63,TRUE)</f>
        <v>133</v>
      </c>
      <c r="L19" s="87">
        <f>VLOOKUP(16,DoanhThuThang!A6:F36,6,TRUE)+VLOOKUP(16,DoanhThuThang!A6:H36,8,TRUE)</f>
        <v>202</v>
      </c>
      <c r="M19" s="92">
        <f>VLOOKUP(16,DoanhThuThang!A6:J36,10,TRUE)+VLOOKUP(16,DoanhThuThang!A6:L36,12,TRUE)</f>
        <v>843</v>
      </c>
      <c r="N19" s="99" t="str">
        <f>VLOOKUP(16,DoanhThuThang!A6:BW36,75,TRUE)</f>
        <v/>
      </c>
      <c r="O19" s="99" t="str">
        <f>VLOOKUP(16,DoanhThuThang!A6:BY36,77,TRUE)</f>
        <v/>
      </c>
    </row>
    <row r="20" spans="1:15" x14ac:dyDescent="0.25">
      <c r="A20" s="88">
        <v>17</v>
      </c>
      <c r="B20" s="89">
        <f>VLOOKUP(17,DoanhThuThang!A6:N36,14,TRUE)+VLOOKUP(17,DoanhThuThang!A6:AY36,51,TRUE)+VLOOKUP(17,DoanhThuThang!A6:BM36,65,TRUE)</f>
        <v>2698</v>
      </c>
      <c r="C20" s="86">
        <f t="shared" si="0"/>
        <v>1304</v>
      </c>
      <c r="D20" s="86">
        <f t="shared" si="1"/>
        <v>1149</v>
      </c>
      <c r="E20" s="87">
        <f t="shared" si="2"/>
        <v>245</v>
      </c>
      <c r="F20" s="87">
        <f>VLOOKUP(17,DoanhThuThang!A6:B36,2,TRUE)</f>
        <v>1025</v>
      </c>
      <c r="G20" s="87">
        <f>VLOOKUP(17,DoanhThuThang!A6:AU36,47,TRUE)</f>
        <v>187</v>
      </c>
      <c r="H20" s="87">
        <f>VLOOKUP(17,DoanhThuThang!A6:BI36,61,TRUE)</f>
        <v>92</v>
      </c>
      <c r="I20" s="87">
        <f>VLOOKUP(17,DoanhThuThang!A6:D36,4,TRUE)</f>
        <v>764</v>
      </c>
      <c r="J20" s="87">
        <f>VLOOKUP(17,DoanhThuThang!A6:AW36,49,TRUE)</f>
        <v>342</v>
      </c>
      <c r="K20" s="87">
        <f>VLOOKUP(17,DoanhThuThang!A6:BK36,63,TRUE)</f>
        <v>43</v>
      </c>
      <c r="L20" s="87">
        <f>VLOOKUP(17,DoanhThuThang!A6:F36,6,TRUE)+VLOOKUP(17,DoanhThuThang!A6:H36,8,TRUE)</f>
        <v>245</v>
      </c>
      <c r="M20" s="92">
        <f>VLOOKUP(17,DoanhThuThang!A6:J36,10,TRUE)+VLOOKUP(17,DoanhThuThang!A6:L36,12,TRUE)</f>
        <v>0</v>
      </c>
      <c r="N20" s="99" t="str">
        <f>VLOOKUP(17,DoanhThuThang!A6:BW36,75,TRUE)</f>
        <v/>
      </c>
      <c r="O20" s="99" t="str">
        <f>VLOOKUP(17,DoanhThuThang!A6:BY36,77,TRUE)</f>
        <v/>
      </c>
    </row>
    <row r="21" spans="1:15" x14ac:dyDescent="0.25">
      <c r="A21" s="88">
        <v>18</v>
      </c>
      <c r="B21" s="89">
        <f>VLOOKUP(18,DoanhThuThang!A6:N36,14,TRUE)+VLOOKUP(18,DoanhThuThang!A6:AY36,51,TRUE)+VLOOKUP(18,DoanhThuThang!A6:BM36,65,TRUE)</f>
        <v>4018</v>
      </c>
      <c r="C21" s="86">
        <f t="shared" si="0"/>
        <v>1527</v>
      </c>
      <c r="D21" s="86">
        <f t="shared" si="1"/>
        <v>2212</v>
      </c>
      <c r="E21" s="87">
        <f t="shared" si="2"/>
        <v>279</v>
      </c>
      <c r="F21" s="87">
        <f>VLOOKUP(18,DoanhThuThang!A6:B36,2,TRUE)</f>
        <v>204</v>
      </c>
      <c r="G21" s="87">
        <f>VLOOKUP(18,DoanhThuThang!A6:AU36,47,TRUE)</f>
        <v>1114</v>
      </c>
      <c r="H21" s="87">
        <f>VLOOKUP(18,DoanhThuThang!A6:BI36,61,TRUE)</f>
        <v>209</v>
      </c>
      <c r="I21" s="87">
        <f>VLOOKUP(18,DoanhThuThang!A6:D36,4,TRUE)</f>
        <v>1545</v>
      </c>
      <c r="J21" s="87">
        <f>VLOOKUP(18,DoanhThuThang!A6:AW36,49,TRUE)</f>
        <v>458</v>
      </c>
      <c r="K21" s="87">
        <f>VLOOKUP(18,DoanhThuThang!A6:BK36,63,TRUE)</f>
        <v>209</v>
      </c>
      <c r="L21" s="87">
        <f>VLOOKUP(18,DoanhThuThang!A6:F36,6,TRUE)+VLOOKUP(18,DoanhThuThang!A6:H36,8,TRUE)</f>
        <v>169</v>
      </c>
      <c r="M21" s="92">
        <f>VLOOKUP(18,DoanhThuThang!A6:J36,10,TRUE)+VLOOKUP(18,DoanhThuThang!A6:L36,12,TRUE)</f>
        <v>110</v>
      </c>
      <c r="N21" s="99" t="str">
        <f>VLOOKUP(18,DoanhThuThang!A6:BW36,75,TRUE)</f>
        <v/>
      </c>
      <c r="O21" s="99" t="str">
        <f>VLOOKUP(18,DoanhThuThang!A6:BY36,77,TRUE)</f>
        <v/>
      </c>
    </row>
    <row r="22" spans="1:15" x14ac:dyDescent="0.25">
      <c r="A22" s="88">
        <v>19</v>
      </c>
      <c r="B22" s="89">
        <f>VLOOKUP(19,DoanhThuThang!A6:N36,14,TRUE)+VLOOKUP(19,DoanhThuThang!A6:AY36,51,TRUE)+VLOOKUP(19,DoanhThuThang!A6:BM36,65,TRUE)</f>
        <v>3487</v>
      </c>
      <c r="C22" s="86">
        <f t="shared" si="0"/>
        <v>963</v>
      </c>
      <c r="D22" s="86">
        <f t="shared" si="1"/>
        <v>2278</v>
      </c>
      <c r="E22" s="87">
        <f t="shared" si="2"/>
        <v>246</v>
      </c>
      <c r="F22" s="87">
        <f>VLOOKUP(19,DoanhThuThang!A6:B36,2,TRUE)</f>
        <v>614</v>
      </c>
      <c r="G22" s="87">
        <f>VLOOKUP(19,DoanhThuThang!A6:AU36,47,TRUE)</f>
        <v>251</v>
      </c>
      <c r="H22" s="87">
        <f>VLOOKUP(19,DoanhThuThang!A6:BI36,61,TRUE)</f>
        <v>98</v>
      </c>
      <c r="I22" s="87">
        <f>VLOOKUP(19,DoanhThuThang!A6:D36,4,TRUE)</f>
        <v>1576</v>
      </c>
      <c r="J22" s="87">
        <f>VLOOKUP(19,DoanhThuThang!A6:AW36,49,TRUE)</f>
        <v>702</v>
      </c>
      <c r="K22" s="87" t="str">
        <f>VLOOKUP(19,DoanhThuThang!A6:BK36,63,TRUE)</f>
        <v/>
      </c>
      <c r="L22" s="87">
        <f>VLOOKUP(19,DoanhThuThang!A6:F36,6,TRUE)+VLOOKUP(19,DoanhThuThang!A6:H36,8,TRUE)</f>
        <v>136</v>
      </c>
      <c r="M22" s="92">
        <f>VLOOKUP(19,DoanhThuThang!A6:J36,10,TRUE)+VLOOKUP(19,DoanhThuThang!A6:L36,12,TRUE)</f>
        <v>110</v>
      </c>
      <c r="N22" s="99" t="str">
        <f>VLOOKUP(19,DoanhThuThang!A6:BW36,75,TRUE)</f>
        <v/>
      </c>
      <c r="O22" s="99" t="str">
        <f>VLOOKUP(19,DoanhThuThang!A6:BY36,77,TRUE)</f>
        <v/>
      </c>
    </row>
    <row r="23" spans="1:15" x14ac:dyDescent="0.25">
      <c r="A23" s="88">
        <v>20</v>
      </c>
      <c r="B23" s="89">
        <f>VLOOKUP(20,DoanhThuThang!A6:N36,14,TRUE)+VLOOKUP(20,DoanhThuThang!A6:AY36,51,TRUE)+VLOOKUP(20,DoanhThuThang!A6:BM36,65,TRUE)</f>
        <v>2451</v>
      </c>
      <c r="C23" s="86">
        <f t="shared" si="0"/>
        <v>535</v>
      </c>
      <c r="D23" s="86">
        <f t="shared" si="1"/>
        <v>1455</v>
      </c>
      <c r="E23" s="87">
        <f t="shared" si="2"/>
        <v>461</v>
      </c>
      <c r="F23" s="87">
        <f>VLOOKUP(20,DoanhThuThang!A6:B36,2,TRUE)</f>
        <v>516</v>
      </c>
      <c r="G23" s="87">
        <f>VLOOKUP(20,DoanhThuThang!A6:AU36,47,TRUE)</f>
        <v>19</v>
      </c>
      <c r="H23" s="87" t="str">
        <f>VLOOKUP(20,DoanhThuThang!A6:BI36,61,TRUE)</f>
        <v/>
      </c>
      <c r="I23" s="87">
        <f>VLOOKUP(20,DoanhThuThang!A6:D36,4,TRUE)</f>
        <v>980</v>
      </c>
      <c r="J23" s="87">
        <f>VLOOKUP(20,DoanhThuThang!A6:AW36,49,TRUE)</f>
        <v>475</v>
      </c>
      <c r="K23" s="87" t="str">
        <f>VLOOKUP(20,DoanhThuThang!A6:BK36,63,TRUE)</f>
        <v/>
      </c>
      <c r="L23" s="87">
        <f>VLOOKUP(20,DoanhThuThang!A6:F36,6,TRUE)+VLOOKUP(20,DoanhThuThang!A6:H36,8,TRUE)</f>
        <v>202</v>
      </c>
      <c r="M23" s="92">
        <f>VLOOKUP(20,DoanhThuThang!A6:J36,10,TRUE)+VLOOKUP(20,DoanhThuThang!A6:L36,12,TRUE)</f>
        <v>259</v>
      </c>
      <c r="N23" s="99" t="str">
        <f>VLOOKUP(20,DoanhThuThang!A6:BW36,75,TRUE)</f>
        <v/>
      </c>
      <c r="O23" s="99" t="str">
        <f>VLOOKUP(20,DoanhThuThang!A6:BY36,77,TRUE)</f>
        <v/>
      </c>
    </row>
    <row r="24" spans="1:15" x14ac:dyDescent="0.25">
      <c r="A24" s="88">
        <v>21</v>
      </c>
      <c r="B24" s="89">
        <f>VLOOKUP(21,DoanhThuThang!A6:N36,14,TRUE)+VLOOKUP(21,DoanhThuThang!A6:AY36,51,TRUE)+VLOOKUP(21,DoanhThuThang!A6:BM36,65,TRUE)</f>
        <v>2029</v>
      </c>
      <c r="C24" s="86">
        <f t="shared" si="0"/>
        <v>1053</v>
      </c>
      <c r="D24" s="86">
        <f t="shared" si="1"/>
        <v>976</v>
      </c>
      <c r="E24" s="87">
        <f t="shared" si="2"/>
        <v>0</v>
      </c>
      <c r="F24" s="87">
        <f>VLOOKUP(21,DoanhThuThang!A6:B36,2,TRUE)</f>
        <v>524</v>
      </c>
      <c r="G24" s="87">
        <f>VLOOKUP(21,DoanhThuThang!A6:AU36,47,TRUE)</f>
        <v>529</v>
      </c>
      <c r="H24" s="87" t="str">
        <f>VLOOKUP(21,DoanhThuThang!A6:BI36,61,TRUE)</f>
        <v/>
      </c>
      <c r="I24" s="87">
        <f>VLOOKUP(21,DoanhThuThang!A6:D36,4,TRUE)</f>
        <v>324</v>
      </c>
      <c r="J24" s="87">
        <f>VLOOKUP(21,DoanhThuThang!A6:AW36,49,TRUE)</f>
        <v>652</v>
      </c>
      <c r="K24" s="87" t="str">
        <f>VLOOKUP(21,DoanhThuThang!A6:BK36,63,TRUE)</f>
        <v/>
      </c>
      <c r="L24" s="87">
        <f>VLOOKUP(21,DoanhThuThang!A6:F36,6,TRUE)+VLOOKUP(21,DoanhThuThang!A6:H36,8,TRUE)</f>
        <v>0</v>
      </c>
      <c r="M24" s="92">
        <f>VLOOKUP(21,DoanhThuThang!A6:J36,10,TRUE)+VLOOKUP(21,DoanhThuThang!A6:L36,12,TRUE)</f>
        <v>0</v>
      </c>
      <c r="N24" s="99" t="str">
        <f>VLOOKUP(21,DoanhThuThang!A6:BW36,75,TRUE)</f>
        <v/>
      </c>
      <c r="O24" s="99" t="str">
        <f>VLOOKUP(21,DoanhThuThang!A6:BY36,77,TRUE)</f>
        <v/>
      </c>
    </row>
    <row r="25" spans="1:15" x14ac:dyDescent="0.25">
      <c r="A25" s="88">
        <v>22</v>
      </c>
      <c r="B25" s="89">
        <f>VLOOKUP(22,DoanhThuThang!A6:N36,14,TRUE)+VLOOKUP(22,DoanhThuThang!A6:AY36,51,TRUE)+VLOOKUP(22,DoanhThuThang!A6:BM36,65,TRUE)</f>
        <v>2967</v>
      </c>
      <c r="C25" s="86">
        <f t="shared" si="0"/>
        <v>413</v>
      </c>
      <c r="D25" s="86">
        <f t="shared" si="1"/>
        <v>2554</v>
      </c>
      <c r="E25" s="87">
        <f t="shared" si="2"/>
        <v>0</v>
      </c>
      <c r="F25" s="87">
        <f>VLOOKUP(22,DoanhThuThang!A6:B36,2,TRUE)</f>
        <v>395</v>
      </c>
      <c r="G25" s="87">
        <f>VLOOKUP(22,DoanhThuThang!A6:AU36,47,TRUE)</f>
        <v>18</v>
      </c>
      <c r="H25" s="87" t="str">
        <f>VLOOKUP(22,DoanhThuThang!A6:BI36,61,TRUE)</f>
        <v/>
      </c>
      <c r="I25" s="87">
        <f>VLOOKUP(22,DoanhThuThang!A6:D36,4,TRUE)</f>
        <v>862</v>
      </c>
      <c r="J25" s="87">
        <f>VLOOKUP(22,DoanhThuThang!A6:AW36,49,TRUE)</f>
        <v>1692</v>
      </c>
      <c r="K25" s="87" t="str">
        <f>VLOOKUP(22,DoanhThuThang!A6:BK36,63,TRUE)</f>
        <v/>
      </c>
      <c r="L25" s="87">
        <f>VLOOKUP(22,DoanhThuThang!A6:F36,6,TRUE)+VLOOKUP(22,DoanhThuThang!A6:H36,8,TRUE)</f>
        <v>0</v>
      </c>
      <c r="M25" s="92">
        <f>VLOOKUP(22,DoanhThuThang!A6:J36,10,TRUE)+VLOOKUP(22,DoanhThuThang!A6:L36,12,TRUE)</f>
        <v>0</v>
      </c>
      <c r="N25" s="99" t="str">
        <f>VLOOKUP(22,DoanhThuThang!A6:BW36,75,TRUE)</f>
        <v/>
      </c>
      <c r="O25" s="99" t="str">
        <f>VLOOKUP(22,DoanhThuThang!A6:BY36,77,TRUE)</f>
        <v/>
      </c>
    </row>
    <row r="26" spans="1:15" x14ac:dyDescent="0.25">
      <c r="A26" s="88">
        <v>23</v>
      </c>
      <c r="B26" s="89">
        <f>VLOOKUP(23,DoanhThuThang!A6:N36,14,TRUE)+VLOOKUP(23,DoanhThuThang!A6:AY36,51,TRUE)+VLOOKUP(23,DoanhThuThang!A6:BM36,65,TRUE)</f>
        <v>3567</v>
      </c>
      <c r="C26" s="86">
        <f t="shared" si="0"/>
        <v>879</v>
      </c>
      <c r="D26" s="86">
        <f t="shared" si="1"/>
        <v>2480</v>
      </c>
      <c r="E26" s="87">
        <f t="shared" si="2"/>
        <v>208</v>
      </c>
      <c r="F26" s="87">
        <f>VLOOKUP(23,DoanhThuThang!A6:B36,2,TRUE)</f>
        <v>457</v>
      </c>
      <c r="G26" s="87">
        <f>VLOOKUP(23,DoanhThuThang!A6:AU36,47,TRUE)</f>
        <v>422</v>
      </c>
      <c r="H26" s="87" t="str">
        <f>VLOOKUP(23,DoanhThuThang!A6:BI36,61,TRUE)</f>
        <v/>
      </c>
      <c r="I26" s="87">
        <f>VLOOKUP(23,DoanhThuThang!A6:D36,4,TRUE)</f>
        <v>1834</v>
      </c>
      <c r="J26" s="87">
        <f>VLOOKUP(23,DoanhThuThang!A6:AW36,49,TRUE)</f>
        <v>646</v>
      </c>
      <c r="K26" s="87" t="str">
        <f>VLOOKUP(23,DoanhThuThang!A6:BK36,63,TRUE)</f>
        <v/>
      </c>
      <c r="L26" s="87">
        <f>VLOOKUP(23,DoanhThuThang!A6:F36,6,TRUE)+VLOOKUP(23,DoanhThuThang!A6:H36,8,TRUE)</f>
        <v>0</v>
      </c>
      <c r="M26" s="92">
        <f>VLOOKUP(23,DoanhThuThang!A6:J36,10,TRUE)+VLOOKUP(23,DoanhThuThang!A6:L36,12,TRUE)</f>
        <v>208</v>
      </c>
      <c r="N26" s="99" t="str">
        <f>VLOOKUP(23,DoanhThuThang!A6:BW36,75,TRUE)</f>
        <v/>
      </c>
      <c r="O26" s="99" t="str">
        <f>VLOOKUP(23,DoanhThuThang!A6:BY36,77,TRUE)</f>
        <v/>
      </c>
    </row>
    <row r="27" spans="1:15" x14ac:dyDescent="0.25">
      <c r="A27" s="88">
        <v>24</v>
      </c>
      <c r="B27" s="89">
        <f>VLOOKUP(24,DoanhThuThang!A6:N36,14,TRUE)+VLOOKUP(24,DoanhThuThang!A6:AY36,51,TRUE)+VLOOKUP(24,DoanhThuThang!A6:BM36,65,TRUE)</f>
        <v>3536</v>
      </c>
      <c r="C27" s="86">
        <f t="shared" si="0"/>
        <v>840</v>
      </c>
      <c r="D27" s="86">
        <f t="shared" si="1"/>
        <v>2226</v>
      </c>
      <c r="E27" s="87">
        <f t="shared" si="2"/>
        <v>470</v>
      </c>
      <c r="F27" s="87">
        <f>VLOOKUP(24,DoanhThuThang!A6:B36,2,TRUE)</f>
        <v>770</v>
      </c>
      <c r="G27" s="87">
        <f>VLOOKUP(24,DoanhThuThang!A6:AU36,47,TRUE)</f>
        <v>70</v>
      </c>
      <c r="H27" s="87" t="str">
        <f>VLOOKUP(24,DoanhThuThang!A6:BI36,61,TRUE)</f>
        <v/>
      </c>
      <c r="I27" s="87">
        <f>VLOOKUP(24,DoanhThuThang!A6:D36,4,TRUE)</f>
        <v>1524</v>
      </c>
      <c r="J27" s="87">
        <f>VLOOKUP(24,DoanhThuThang!A6:AW36,49,TRUE)</f>
        <v>702</v>
      </c>
      <c r="K27" s="87" t="str">
        <f>VLOOKUP(24,DoanhThuThang!A6:BK36,63,TRUE)</f>
        <v/>
      </c>
      <c r="L27" s="87">
        <f>VLOOKUP(24,DoanhThuThang!A6:F36,6,TRUE)+VLOOKUP(24,DoanhThuThang!A6:H36,8,TRUE)</f>
        <v>470</v>
      </c>
      <c r="M27" s="92">
        <f>VLOOKUP(24,DoanhThuThang!A6:J36,10,TRUE)+VLOOKUP(24,DoanhThuThang!A6:L36,12,TRUE)</f>
        <v>0</v>
      </c>
      <c r="N27" s="99" t="str">
        <f>VLOOKUP(24,DoanhThuThang!A6:BW36,75,TRUE)</f>
        <v/>
      </c>
      <c r="O27" s="99" t="str">
        <f>VLOOKUP(24,DoanhThuThang!A6:BY36,77,TRUE)</f>
        <v/>
      </c>
    </row>
    <row r="28" spans="1:15" x14ac:dyDescent="0.25">
      <c r="A28" s="88">
        <v>25</v>
      </c>
      <c r="B28" s="89">
        <f>VLOOKUP(25,DoanhThuThang!A6:N36,14,TRUE)+VLOOKUP(25,DoanhThuThang!A6:AY36,51,TRUE)+VLOOKUP(25,DoanhThuThang!A6:BM36,65,TRUE)</f>
        <v>2502</v>
      </c>
      <c r="C28" s="86">
        <f t="shared" si="0"/>
        <v>968</v>
      </c>
      <c r="D28" s="86">
        <f t="shared" si="1"/>
        <v>1461</v>
      </c>
      <c r="E28" s="87">
        <f t="shared" si="2"/>
        <v>73</v>
      </c>
      <c r="F28" s="87">
        <f>VLOOKUP(25,DoanhThuThang!A6:B36,2,TRUE)</f>
        <v>831</v>
      </c>
      <c r="G28" s="87">
        <f>VLOOKUP(25,DoanhThuThang!A6:AU36,47,TRUE)</f>
        <v>137</v>
      </c>
      <c r="H28" s="87" t="str">
        <f>VLOOKUP(25,DoanhThuThang!A6:BI36,61,TRUE)</f>
        <v/>
      </c>
      <c r="I28" s="87">
        <f>VLOOKUP(25,DoanhThuThang!A6:D36,4,TRUE)</f>
        <v>1011</v>
      </c>
      <c r="J28" s="87">
        <f>VLOOKUP(25,DoanhThuThang!A6:AW36,49,TRUE)</f>
        <v>450</v>
      </c>
      <c r="K28" s="87" t="str">
        <f>VLOOKUP(25,DoanhThuThang!A6:BK36,63,TRUE)</f>
        <v/>
      </c>
      <c r="L28" s="87">
        <f>VLOOKUP(25,DoanhThuThang!A6:F36,6,TRUE)+VLOOKUP(25,DoanhThuThang!A6:H36,8,TRUE)</f>
        <v>73</v>
      </c>
      <c r="M28" s="92">
        <f>VLOOKUP(25,DoanhThuThang!A6:J36,10,TRUE)+VLOOKUP(25,DoanhThuThang!A6:L36,12,TRUE)</f>
        <v>0</v>
      </c>
      <c r="N28" s="99" t="str">
        <f>VLOOKUP(25,DoanhThuThang!A6:BW36,75,TRUE)</f>
        <v/>
      </c>
      <c r="O28" s="99" t="str">
        <f>VLOOKUP(25,DoanhThuThang!A6:BY36,77,TRUE)</f>
        <v/>
      </c>
    </row>
    <row r="29" spans="1:15" x14ac:dyDescent="0.25">
      <c r="A29" s="88">
        <v>26</v>
      </c>
      <c r="B29" s="89">
        <f>VLOOKUP(26,DoanhThuThang!A6:N36,14,TRUE)+VLOOKUP(26,DoanhThuThang!A6:AY36,51,TRUE)+VLOOKUP(26,DoanhThuThang!A6:BM36,65,TRUE)</f>
        <v>1996</v>
      </c>
      <c r="C29" s="86">
        <f t="shared" si="0"/>
        <v>310</v>
      </c>
      <c r="D29" s="86">
        <f t="shared" si="1"/>
        <v>1662</v>
      </c>
      <c r="E29" s="87">
        <f t="shared" si="2"/>
        <v>24</v>
      </c>
      <c r="F29" s="87">
        <f>VLOOKUP(26,DoanhThuThang!A6:B36,2,TRUE)</f>
        <v>310</v>
      </c>
      <c r="G29" s="87">
        <f>VLOOKUP(26,DoanhThuThang!A6:AU36,47,TRUE)</f>
        <v>0</v>
      </c>
      <c r="H29" s="87" t="str">
        <f>VLOOKUP(26,DoanhThuThang!A6:BI36,61,TRUE)</f>
        <v/>
      </c>
      <c r="I29" s="87">
        <f>VLOOKUP(26,DoanhThuThang!A6:D36,4,TRUE)</f>
        <v>1078</v>
      </c>
      <c r="J29" s="87">
        <f>VLOOKUP(26,DoanhThuThang!A6:AW36,49,TRUE)</f>
        <v>584</v>
      </c>
      <c r="K29" s="87" t="str">
        <f>VLOOKUP(26,DoanhThuThang!A6:BK36,63,TRUE)</f>
        <v/>
      </c>
      <c r="L29" s="87">
        <f>VLOOKUP(26,DoanhThuThang!A6:F36,6,TRUE)+VLOOKUP(26,DoanhThuThang!A6:H36,8,TRUE)</f>
        <v>24</v>
      </c>
      <c r="M29" s="92">
        <f>VLOOKUP(26,DoanhThuThang!A6:J36,10,TRUE)+VLOOKUP(26,DoanhThuThang!A6:L36,12,TRUE)</f>
        <v>0</v>
      </c>
      <c r="N29" s="99" t="str">
        <f>VLOOKUP(26,DoanhThuThang!A6:BW36,75,TRUE)</f>
        <v/>
      </c>
      <c r="O29" s="99" t="str">
        <f>VLOOKUP(26,DoanhThuThang!A6:BY36,77,TRUE)</f>
        <v/>
      </c>
    </row>
    <row r="30" spans="1:15" x14ac:dyDescent="0.25">
      <c r="A30" s="88">
        <v>27</v>
      </c>
      <c r="B30" s="89">
        <f>VLOOKUP(27,DoanhThuThang!A6:N36,14,TRUE)+VLOOKUP(27,DoanhThuThang!A6:AY36,51,TRUE)+VLOOKUP(27,DoanhThuThang!A6:BM36,65,TRUE)</f>
        <v>1389</v>
      </c>
      <c r="C30" s="86">
        <f t="shared" si="0"/>
        <v>723</v>
      </c>
      <c r="D30" s="86">
        <f t="shared" si="1"/>
        <v>494</v>
      </c>
      <c r="E30" s="87">
        <f t="shared" si="2"/>
        <v>172</v>
      </c>
      <c r="F30" s="87">
        <f>VLOOKUP(27,DoanhThuThang!A6:B36,2,TRUE)</f>
        <v>621</v>
      </c>
      <c r="G30" s="87">
        <f>VLOOKUP(27,DoanhThuThang!A6:AU36,47,TRUE)</f>
        <v>102</v>
      </c>
      <c r="H30" s="87" t="str">
        <f>VLOOKUP(27,DoanhThuThang!A6:BI36,61,TRUE)</f>
        <v/>
      </c>
      <c r="I30" s="87">
        <f>VLOOKUP(27,DoanhThuThang!A6:D36,4,TRUE)</f>
        <v>319</v>
      </c>
      <c r="J30" s="87">
        <f>VLOOKUP(27,DoanhThuThang!A6:AW36,49,TRUE)</f>
        <v>175</v>
      </c>
      <c r="K30" s="87" t="str">
        <f>VLOOKUP(27,DoanhThuThang!A6:BK36,63,TRUE)</f>
        <v/>
      </c>
      <c r="L30" s="87">
        <f>VLOOKUP(27,DoanhThuThang!A6:F36,6,TRUE)+VLOOKUP(27,DoanhThuThang!A6:H36,8,TRUE)</f>
        <v>172</v>
      </c>
      <c r="M30" s="92">
        <f>VLOOKUP(27,DoanhThuThang!A6:J36,10,TRUE)+VLOOKUP(27,DoanhThuThang!A6:L36,12,TRUE)</f>
        <v>0</v>
      </c>
      <c r="N30" s="99" t="str">
        <f>VLOOKUP(27,DoanhThuThang!A6:BW36,75,TRUE)</f>
        <v/>
      </c>
      <c r="O30" s="99" t="str">
        <f>VLOOKUP(27,DoanhThuThang!A6:BY36,77,TRUE)</f>
        <v/>
      </c>
    </row>
    <row r="31" spans="1:15" x14ac:dyDescent="0.25">
      <c r="A31" s="88">
        <v>28</v>
      </c>
      <c r="B31" s="89">
        <f>VLOOKUP(28,DoanhThuThang!A6:N36,14,TRUE)+VLOOKUP(28,DoanhThuThang!A6:AY36,51,TRUE)+VLOOKUP(28,DoanhThuThang!A6:BM36,65,TRUE)</f>
        <v>2901</v>
      </c>
      <c r="C31" s="86">
        <f t="shared" si="0"/>
        <v>1219</v>
      </c>
      <c r="D31" s="86">
        <f t="shared" si="1"/>
        <v>1487</v>
      </c>
      <c r="E31" s="87">
        <f t="shared" si="2"/>
        <v>195</v>
      </c>
      <c r="F31" s="87">
        <f>VLOOKUP(28,DoanhThuThang!A6:B36,2,TRUE)</f>
        <v>1014</v>
      </c>
      <c r="G31" s="87">
        <f>VLOOKUP(28,DoanhThuThang!A6:AU36,47,TRUE)</f>
        <v>205</v>
      </c>
      <c r="H31" s="87" t="str">
        <f>VLOOKUP(28,DoanhThuThang!A6:BI36,61,TRUE)</f>
        <v/>
      </c>
      <c r="I31" s="87">
        <f>VLOOKUP(28,DoanhThuThang!A6:D36,4,TRUE)</f>
        <v>1208</v>
      </c>
      <c r="J31" s="87">
        <f>VLOOKUP(28,DoanhThuThang!A6:AW36,49,TRUE)</f>
        <v>279</v>
      </c>
      <c r="K31" s="87" t="str">
        <f>VLOOKUP(28,DoanhThuThang!A6:BK36,63,TRUE)</f>
        <v/>
      </c>
      <c r="L31" s="87">
        <f>VLOOKUP(28,DoanhThuThang!A6:F36,6,TRUE)+VLOOKUP(28,DoanhThuThang!A6:H36,8,TRUE)</f>
        <v>195</v>
      </c>
      <c r="M31" s="92">
        <f>VLOOKUP(28,DoanhThuThang!A6:J36,10,TRUE)+VLOOKUP(28,DoanhThuThang!A6:L36,12,TRUE)</f>
        <v>0</v>
      </c>
      <c r="N31" s="99" t="str">
        <f>VLOOKUP(28,DoanhThuThang!A6:BW36,75,TRUE)</f>
        <v/>
      </c>
      <c r="O31" s="99" t="str">
        <f>VLOOKUP(28,DoanhThuThang!A6:BY36,77,TRUE)</f>
        <v/>
      </c>
    </row>
    <row r="32" spans="1:15" x14ac:dyDescent="0.25">
      <c r="A32" s="88">
        <v>29</v>
      </c>
      <c r="B32" s="89">
        <f>VLOOKUP(29,DoanhThuThang!A6:N36,14,TRUE)+VLOOKUP(29,DoanhThuThang!A6:AY36,51,TRUE)+VLOOKUP(29,DoanhThuThang!A6:BM36,65,TRUE)</f>
        <v>2501</v>
      </c>
      <c r="C32" s="86">
        <f t="shared" si="0"/>
        <v>1210</v>
      </c>
      <c r="D32" s="86">
        <f t="shared" si="1"/>
        <v>1291</v>
      </c>
      <c r="E32" s="87">
        <f t="shared" si="2"/>
        <v>0</v>
      </c>
      <c r="F32" s="87">
        <f>VLOOKUP(29,DoanhThuThang!A6:B36,2,TRUE)</f>
        <v>540</v>
      </c>
      <c r="G32" s="87">
        <f>VLOOKUP(29,DoanhThuThang!A6:AU36,47,TRUE)</f>
        <v>670</v>
      </c>
      <c r="H32" s="87" t="str">
        <f>VLOOKUP(29,DoanhThuThang!A6:BI36,61,TRUE)</f>
        <v/>
      </c>
      <c r="I32" s="87">
        <f>VLOOKUP(29,DoanhThuThang!A6:D36,4,TRUE)</f>
        <v>792</v>
      </c>
      <c r="J32" s="87">
        <f>VLOOKUP(29,DoanhThuThang!A6:AW36,49,TRUE)</f>
        <v>499</v>
      </c>
      <c r="K32" s="87" t="str">
        <f>VLOOKUP(29,DoanhThuThang!A6:BK36,63,TRUE)</f>
        <v/>
      </c>
      <c r="L32" s="87">
        <f>VLOOKUP(29,DoanhThuThang!A6:F36,6,TRUE)+VLOOKUP(29,DoanhThuThang!A6:H36,8,TRUE)</f>
        <v>0</v>
      </c>
      <c r="M32" s="92">
        <f>VLOOKUP(29,DoanhThuThang!A6:J36,10,TRUE)+VLOOKUP(29,DoanhThuThang!A6:L36,12,TRUE)</f>
        <v>0</v>
      </c>
      <c r="N32" s="99" t="str">
        <f>VLOOKUP(29,DoanhThuThang!A6:BW36,75,TRUE)</f>
        <v/>
      </c>
      <c r="O32" s="99" t="str">
        <f>VLOOKUP(29,DoanhThuThang!A6:BY36,77,TRUE)</f>
        <v/>
      </c>
    </row>
    <row r="33" spans="1:15" x14ac:dyDescent="0.25">
      <c r="A33" s="88">
        <v>30</v>
      </c>
      <c r="B33" s="89">
        <f>VLOOKUP(30,DoanhThuThang!A6:N36,14,TRUE)+VLOOKUP(30,DoanhThuThang!A6:AY36,51,TRUE)+VLOOKUP(30,DoanhThuThang!A6:BM36,65,TRUE)</f>
        <v>3510</v>
      </c>
      <c r="C33" s="86">
        <f t="shared" si="0"/>
        <v>1052</v>
      </c>
      <c r="D33" s="86">
        <f t="shared" si="1"/>
        <v>1659</v>
      </c>
      <c r="E33" s="87">
        <f t="shared" si="2"/>
        <v>799</v>
      </c>
      <c r="F33" s="87">
        <f>VLOOKUP(30,DoanhThuThang!A6:B36,2,TRUE)</f>
        <v>704</v>
      </c>
      <c r="G33" s="87">
        <f>VLOOKUP(30,DoanhThuThang!A6:AU36,47,TRUE)</f>
        <v>348</v>
      </c>
      <c r="H33" s="87" t="str">
        <f>VLOOKUP(30,DoanhThuThang!A6:BI36,61,TRUE)</f>
        <v/>
      </c>
      <c r="I33" s="87">
        <f>VLOOKUP(30,DoanhThuThang!A6:D36,4,TRUE)</f>
        <v>1194</v>
      </c>
      <c r="J33" s="87">
        <f>VLOOKUP(30,DoanhThuThang!A6:AW36,49,TRUE)</f>
        <v>465</v>
      </c>
      <c r="K33" s="87" t="str">
        <f>VLOOKUP(30,DoanhThuThang!A6:BK36,63,TRUE)</f>
        <v/>
      </c>
      <c r="L33" s="87">
        <f>VLOOKUP(30,DoanhThuThang!A6:F36,6,TRUE)+VLOOKUP(30,DoanhThuThang!A6:H36,8,TRUE)</f>
        <v>365</v>
      </c>
      <c r="M33" s="92">
        <f>VLOOKUP(30,DoanhThuThang!A6:J36,10,TRUE)+VLOOKUP(30,DoanhThuThang!A6:L36,12,TRUE)</f>
        <v>434</v>
      </c>
      <c r="N33" s="99" t="str">
        <f>VLOOKUP(30,DoanhThuThang!A6:BW36,75,TRUE)</f>
        <v/>
      </c>
      <c r="O33" s="99" t="str">
        <f>VLOOKUP(30,DoanhThuThang!A6:BY36,77,TRUE)</f>
        <v/>
      </c>
    </row>
    <row r="34" spans="1:15" x14ac:dyDescent="0.25">
      <c r="A34" s="88">
        <v>31</v>
      </c>
      <c r="B34" s="89">
        <f>VLOOKUP(31,DoanhThuThang!A6:N36,14,TRUE)+VLOOKUP(31,DoanhThuThang!A6:AY36,51,TRUE)+VLOOKUP(31,DoanhThuThang!A6:BM36,65,TRUE)</f>
        <v>0</v>
      </c>
      <c r="C34" s="86">
        <f t="shared" si="0"/>
        <v>0</v>
      </c>
      <c r="D34" s="86">
        <f t="shared" si="1"/>
        <v>0</v>
      </c>
      <c r="E34" s="87" t="e">
        <f t="shared" si="2"/>
        <v>#VALUE!</v>
      </c>
      <c r="F34" s="87" t="str">
        <f>VLOOKUP(31,DoanhThuThang!A6:B36,2,TRUE)</f>
        <v/>
      </c>
      <c r="G34" s="87" t="str">
        <f>VLOOKUP(31,DoanhThuThang!A6:AU36,47,TRUE)</f>
        <v/>
      </c>
      <c r="H34" s="87" t="str">
        <f>VLOOKUP(31,DoanhThuThang!A6:BI36,61,TRUE)</f>
        <v/>
      </c>
      <c r="I34" s="87" t="str">
        <f>VLOOKUP(31,DoanhThuThang!A6:D36,4,TRUE)</f>
        <v/>
      </c>
      <c r="J34" s="87" t="str">
        <f>VLOOKUP(31,DoanhThuThang!A6:AW36,49,TRUE)</f>
        <v/>
      </c>
      <c r="K34" s="87" t="str">
        <f>VLOOKUP(31,DoanhThuThang!A6:BK36,63,TRUE)</f>
        <v/>
      </c>
      <c r="L34" s="87" t="e">
        <f>VLOOKUP(31,DoanhThuThang!A6:F36,6,TRUE)+VLOOKUP(31,DoanhThuThang!A6:H36,8,TRUE)</f>
        <v>#VALUE!</v>
      </c>
      <c r="M34" s="92" t="e">
        <f>VLOOKUP(31,DoanhThuThang!A6:J36,10,TRUE)+VLOOKUP(31,DoanhThuThang!A6:L36,12,TRUE)</f>
        <v>#VALUE!</v>
      </c>
      <c r="N34" s="99" t="str">
        <f>VLOOKUP(31,DoanhThuThang!A6:BW36,75,TRUE)</f>
        <v/>
      </c>
      <c r="O34" s="99" t="str">
        <f>VLOOKUP(31,DoanhThuThang!A6:BY36,77,TRUE)</f>
        <v/>
      </c>
    </row>
  </sheetData>
  <sheetProtection sheet="1" objects="1" scenarios="1"/>
  <mergeCells count="6">
    <mergeCell ref="B1:B3"/>
    <mergeCell ref="C2:C3"/>
    <mergeCell ref="D2:D3"/>
    <mergeCell ref="E2:E3"/>
    <mergeCell ref="N2:O2"/>
    <mergeCell ref="M1:O1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H34"/>
  <sheetViews>
    <sheetView workbookViewId="0">
      <selection activeCell="U6" sqref="U6"/>
    </sheetView>
  </sheetViews>
  <sheetFormatPr defaultColWidth="8.85546875" defaultRowHeight="15" x14ac:dyDescent="0.25"/>
  <cols>
    <col min="2" max="2" width="15.42578125" customWidth="1"/>
  </cols>
  <sheetData>
    <row r="1" spans="1:8" x14ac:dyDescent="0.25">
      <c r="B1" s="179" t="s">
        <v>71</v>
      </c>
      <c r="C1" s="72" t="s">
        <v>71</v>
      </c>
      <c r="D1" s="71"/>
      <c r="E1" s="72" t="s">
        <v>71</v>
      </c>
      <c r="F1" s="73"/>
      <c r="G1" s="73"/>
      <c r="H1" s="71"/>
    </row>
    <row r="2" spans="1:8" x14ac:dyDescent="0.25">
      <c r="B2" s="180"/>
      <c r="C2" s="179" t="s">
        <v>11</v>
      </c>
      <c r="D2" s="179" t="s">
        <v>12</v>
      </c>
      <c r="E2" s="72" t="s">
        <v>11</v>
      </c>
      <c r="F2" s="71"/>
      <c r="G2" s="72" t="s">
        <v>12</v>
      </c>
      <c r="H2" s="71"/>
    </row>
    <row r="3" spans="1:8" x14ac:dyDescent="0.25">
      <c r="A3" s="68" t="s">
        <v>10</v>
      </c>
      <c r="B3" s="180"/>
      <c r="C3" s="180"/>
      <c r="D3" s="180"/>
      <c r="E3" s="70" t="s">
        <v>165</v>
      </c>
      <c r="F3" s="70" t="s">
        <v>163</v>
      </c>
      <c r="G3" s="70" t="s">
        <v>165</v>
      </c>
      <c r="H3" s="70" t="s">
        <v>163</v>
      </c>
    </row>
    <row r="4" spans="1:8" x14ac:dyDescent="0.25">
      <c r="A4" s="37">
        <v>1</v>
      </c>
      <c r="B4" s="69">
        <f>SUM($C4:$D4)</f>
        <v>129</v>
      </c>
      <c r="C4" s="69">
        <f>SUM($E4:$F4)</f>
        <v>129</v>
      </c>
      <c r="D4" s="69">
        <f>SUM($G4:$H4)</f>
        <v>0</v>
      </c>
      <c r="E4" s="69">
        <f>VLOOKUP(1,DoanhThuThang!A6:Q36,17,TRUE)</f>
        <v>129</v>
      </c>
      <c r="F4" s="69">
        <f>VLOOKUP(1,DoanhThuThang!A6:BP36,68,TRUE)</f>
        <v>0</v>
      </c>
      <c r="G4" s="69">
        <f>VLOOKUP(1,DoanhThuThang!A6:S36,19,TRUE)</f>
        <v>0</v>
      </c>
      <c r="H4" s="69">
        <f>VLOOKUP(1,DoanhThuThang!A6:BR36,70,TRUE)</f>
        <v>0</v>
      </c>
    </row>
    <row r="5" spans="1:8" x14ac:dyDescent="0.25">
      <c r="A5" s="37">
        <v>2</v>
      </c>
      <c r="B5" s="69">
        <f t="shared" ref="B5:B34" si="0">SUM($C5:$D5)</f>
        <v>0</v>
      </c>
      <c r="C5" s="69">
        <f t="shared" ref="C5:C34" si="1">SUM($E5:$F5)</f>
        <v>0</v>
      </c>
      <c r="D5" s="69">
        <f t="shared" ref="D5:D34" si="2">SUM($G5:$H5)</f>
        <v>0</v>
      </c>
      <c r="E5" s="69">
        <f>VLOOKUP(2,DoanhThuThang!A6:Q36,17,TRUE)</f>
        <v>0</v>
      </c>
      <c r="F5" s="69">
        <f>VLOOKUP(2,DoanhThuThang!A6:BP36,68,TRUE)</f>
        <v>0</v>
      </c>
      <c r="G5" s="69">
        <f>VLOOKUP(2,DoanhThuThang!A6:S36,19,TRUE)</f>
        <v>0</v>
      </c>
      <c r="H5" s="69">
        <f>VLOOKUP(2,DoanhThuThang!A6:BR36,70,TRUE)</f>
        <v>0</v>
      </c>
    </row>
    <row r="6" spans="1:8" x14ac:dyDescent="0.25">
      <c r="A6" s="37">
        <v>3</v>
      </c>
      <c r="B6" s="69">
        <f t="shared" si="0"/>
        <v>166</v>
      </c>
      <c r="C6" s="69">
        <f t="shared" si="1"/>
        <v>0</v>
      </c>
      <c r="D6" s="69">
        <f t="shared" si="2"/>
        <v>166</v>
      </c>
      <c r="E6" s="69">
        <f>VLOOKUP(3,DoanhThuThang!A6:Q36,17,TRUE)</f>
        <v>0</v>
      </c>
      <c r="F6" s="69">
        <f>VLOOKUP(3,DoanhThuThang!A6:BP36,68,TRUE)</f>
        <v>0</v>
      </c>
      <c r="G6" s="69">
        <f>VLOOKUP(3,DoanhThuThang!A6:S36,19,TRUE)</f>
        <v>166</v>
      </c>
      <c r="H6" s="69">
        <f>VLOOKUP(3,DoanhThuThang!A6:BR36,70,TRUE)</f>
        <v>0</v>
      </c>
    </row>
    <row r="7" spans="1:8" x14ac:dyDescent="0.25">
      <c r="A7" s="37">
        <v>4</v>
      </c>
      <c r="B7" s="69">
        <f t="shared" si="0"/>
        <v>0</v>
      </c>
      <c r="C7" s="69">
        <f t="shared" si="1"/>
        <v>0</v>
      </c>
      <c r="D7" s="69">
        <f t="shared" si="2"/>
        <v>0</v>
      </c>
      <c r="E7" s="69">
        <f>VLOOKUP(4,DoanhThuThang!A6:Q36,17,TRUE)</f>
        <v>0</v>
      </c>
      <c r="F7" s="69">
        <f>VLOOKUP(4,DoanhThuThang!A6:BP36,68,TRUE)</f>
        <v>0</v>
      </c>
      <c r="G7" s="69">
        <f>VLOOKUP(4,DoanhThuThang!A6:S36,19,TRUE)</f>
        <v>0</v>
      </c>
      <c r="H7" s="69">
        <f>VLOOKUP(4,DoanhThuThang!A6:BR36,70,TRUE)</f>
        <v>0</v>
      </c>
    </row>
    <row r="8" spans="1:8" x14ac:dyDescent="0.25">
      <c r="A8" s="37">
        <v>5</v>
      </c>
      <c r="B8" s="69">
        <f t="shared" si="0"/>
        <v>25</v>
      </c>
      <c r="C8" s="69">
        <f t="shared" si="1"/>
        <v>0</v>
      </c>
      <c r="D8" s="69">
        <f t="shared" si="2"/>
        <v>25</v>
      </c>
      <c r="E8" s="69">
        <f>VLOOKUP(5,DoanhThuThang!A6:Q36,17,TRUE)</f>
        <v>0</v>
      </c>
      <c r="F8" s="69">
        <f>VLOOKUP(5,DoanhThuThang!A6:BP36,68,TRUE)</f>
        <v>0</v>
      </c>
      <c r="G8" s="69">
        <f>VLOOKUP(5,DoanhThuThang!A6:S36,19,TRUE)</f>
        <v>25</v>
      </c>
      <c r="H8" s="69">
        <f>VLOOKUP(5,DoanhThuThang!A6:BR36,70,TRUE)</f>
        <v>0</v>
      </c>
    </row>
    <row r="9" spans="1:8" x14ac:dyDescent="0.25">
      <c r="A9" s="37">
        <v>6</v>
      </c>
      <c r="B9" s="69">
        <f t="shared" si="0"/>
        <v>108</v>
      </c>
      <c r="C9" s="69">
        <f t="shared" si="1"/>
        <v>0</v>
      </c>
      <c r="D9" s="69">
        <f t="shared" si="2"/>
        <v>108</v>
      </c>
      <c r="E9" s="69">
        <f>VLOOKUP(6,DoanhThuThang!A6:Q36,17,TRUE)</f>
        <v>0</v>
      </c>
      <c r="F9" s="69">
        <f>VLOOKUP(6,DoanhThuThang!A6:BP36,68,TRUE)</f>
        <v>0</v>
      </c>
      <c r="G9" s="69">
        <f>VLOOKUP(6,DoanhThuThang!A6:S36,19,TRUE)</f>
        <v>108</v>
      </c>
      <c r="H9" s="69">
        <f>VLOOKUP(6,DoanhThuThang!A6:BR36,70,TRUE)</f>
        <v>0</v>
      </c>
    </row>
    <row r="10" spans="1:8" x14ac:dyDescent="0.25">
      <c r="A10" s="37">
        <v>7</v>
      </c>
      <c r="B10" s="69">
        <f t="shared" si="0"/>
        <v>100</v>
      </c>
      <c r="C10" s="69">
        <f t="shared" si="1"/>
        <v>0</v>
      </c>
      <c r="D10" s="69">
        <f t="shared" si="2"/>
        <v>100</v>
      </c>
      <c r="E10" s="69">
        <f>VLOOKUP(7,DoanhThuThang!A6:Q36,17,TRUE)</f>
        <v>0</v>
      </c>
      <c r="F10" s="69">
        <f>VLOOKUP(7,DoanhThuThang!A6:BP36,68,TRUE)</f>
        <v>0</v>
      </c>
      <c r="G10" s="69">
        <f>VLOOKUP(7,DoanhThuThang!A6:S36,19,TRUE)</f>
        <v>100</v>
      </c>
      <c r="H10" s="69">
        <f>VLOOKUP(7,DoanhThuThang!A6:BR36,70,TRUE)</f>
        <v>0</v>
      </c>
    </row>
    <row r="11" spans="1:8" x14ac:dyDescent="0.25">
      <c r="A11" s="37">
        <v>8</v>
      </c>
      <c r="B11" s="69">
        <f t="shared" si="0"/>
        <v>22</v>
      </c>
      <c r="C11" s="69">
        <f t="shared" si="1"/>
        <v>0</v>
      </c>
      <c r="D11" s="69">
        <f t="shared" si="2"/>
        <v>22</v>
      </c>
      <c r="E11" s="69">
        <f>VLOOKUP(8,DoanhThuThang!A6:Q36,17,TRUE)</f>
        <v>0</v>
      </c>
      <c r="F11" s="69">
        <f>VLOOKUP(8,DoanhThuThang!A6:BP36,68,TRUE)</f>
        <v>0</v>
      </c>
      <c r="G11" s="69">
        <f>VLOOKUP(8,DoanhThuThang!A6:S36,19,TRUE)</f>
        <v>22</v>
      </c>
      <c r="H11" s="69">
        <f>VLOOKUP(8,DoanhThuThang!A6:BR36,70,TRUE)</f>
        <v>0</v>
      </c>
    </row>
    <row r="12" spans="1:8" x14ac:dyDescent="0.25">
      <c r="A12" s="37">
        <v>9</v>
      </c>
      <c r="B12" s="69">
        <f t="shared" si="0"/>
        <v>0</v>
      </c>
      <c r="C12" s="69">
        <f t="shared" si="1"/>
        <v>0</v>
      </c>
      <c r="D12" s="69">
        <f t="shared" si="2"/>
        <v>0</v>
      </c>
      <c r="E12" s="69">
        <f>VLOOKUP(9,DoanhThuThang!A6:Q36,17,TRUE)</f>
        <v>0</v>
      </c>
      <c r="F12" s="69">
        <f>VLOOKUP(9,DoanhThuThang!A6:BP36,68,TRUE)</f>
        <v>0</v>
      </c>
      <c r="G12" s="69">
        <f>VLOOKUP(9,DoanhThuThang!A6:S36,19,TRUE)</f>
        <v>0</v>
      </c>
      <c r="H12" s="69">
        <f>VLOOKUP(9,DoanhThuThang!A6:BR36,70,TRUE)</f>
        <v>0</v>
      </c>
    </row>
    <row r="13" spans="1:8" x14ac:dyDescent="0.25">
      <c r="A13" s="37">
        <v>10</v>
      </c>
      <c r="B13" s="69">
        <f t="shared" si="0"/>
        <v>90</v>
      </c>
      <c r="C13" s="69">
        <f t="shared" si="1"/>
        <v>50</v>
      </c>
      <c r="D13" s="69">
        <f t="shared" si="2"/>
        <v>40</v>
      </c>
      <c r="E13" s="69">
        <f>VLOOKUP(10,DoanhThuThang!A6:Q36,17,TRUE)</f>
        <v>50</v>
      </c>
      <c r="F13" s="69">
        <f>VLOOKUP(10,DoanhThuThang!A6:BP36,68,TRUE)</f>
        <v>0</v>
      </c>
      <c r="G13" s="69">
        <f>VLOOKUP(10,DoanhThuThang!A6:S36,19,TRUE)</f>
        <v>40</v>
      </c>
      <c r="H13" s="69">
        <f>VLOOKUP(10,DoanhThuThang!A6:BR36,70,TRUE)</f>
        <v>0</v>
      </c>
    </row>
    <row r="14" spans="1:8" x14ac:dyDescent="0.25">
      <c r="A14" s="37">
        <v>11</v>
      </c>
      <c r="B14" s="69">
        <f t="shared" si="0"/>
        <v>59</v>
      </c>
      <c r="C14" s="69">
        <f t="shared" si="1"/>
        <v>59</v>
      </c>
      <c r="D14" s="69">
        <f t="shared" si="2"/>
        <v>0</v>
      </c>
      <c r="E14" s="69">
        <f>VLOOKUP(11,DoanhThuThang!A6:Q36,17,TRUE)</f>
        <v>59</v>
      </c>
      <c r="F14" s="69">
        <f>VLOOKUP(11,DoanhThuThang!A6:BP36,68,TRUE)</f>
        <v>0</v>
      </c>
      <c r="G14" s="69">
        <f>VLOOKUP(11,DoanhThuThang!A6:S36,19,TRUE)</f>
        <v>0</v>
      </c>
      <c r="H14" s="69">
        <f>VLOOKUP(11,DoanhThuThang!A6:BR36,70,TRUE)</f>
        <v>0</v>
      </c>
    </row>
    <row r="15" spans="1:8" x14ac:dyDescent="0.25">
      <c r="A15" s="37">
        <v>12</v>
      </c>
      <c r="B15" s="69">
        <f t="shared" si="0"/>
        <v>36</v>
      </c>
      <c r="C15" s="69">
        <f t="shared" si="1"/>
        <v>0</v>
      </c>
      <c r="D15" s="69">
        <f t="shared" si="2"/>
        <v>36</v>
      </c>
      <c r="E15" s="69">
        <f>VLOOKUP(12,DoanhThuThang!A6:Q36,17,TRUE)</f>
        <v>0</v>
      </c>
      <c r="F15" s="69">
        <f>VLOOKUP(12,DoanhThuThang!A6:BP36,68,TRUE)</f>
        <v>0</v>
      </c>
      <c r="G15" s="69">
        <f>VLOOKUP(12,DoanhThuThang!A6:S36,19,TRUE)</f>
        <v>36</v>
      </c>
      <c r="H15" s="69">
        <f>VLOOKUP(12,DoanhThuThang!A6:BR36,70,TRUE)</f>
        <v>0</v>
      </c>
    </row>
    <row r="16" spans="1:8" x14ac:dyDescent="0.25">
      <c r="A16" s="37">
        <v>13</v>
      </c>
      <c r="B16" s="69">
        <f t="shared" si="0"/>
        <v>16</v>
      </c>
      <c r="C16" s="69">
        <f t="shared" si="1"/>
        <v>16</v>
      </c>
      <c r="D16" s="69">
        <f t="shared" si="2"/>
        <v>0</v>
      </c>
      <c r="E16" s="69">
        <f>VLOOKUP(13,DoanhThuThang!A6:Q36,17,TRUE)</f>
        <v>16</v>
      </c>
      <c r="F16" s="69">
        <f>VLOOKUP(13,DoanhThuThang!A6:BP36,68,TRUE)</f>
        <v>0</v>
      </c>
      <c r="G16" s="69">
        <f>VLOOKUP(13,DoanhThuThang!A6:S36,19,TRUE)</f>
        <v>0</v>
      </c>
      <c r="H16" s="69">
        <f>VLOOKUP(13,DoanhThuThang!A6:BR36,70,TRUE)</f>
        <v>0</v>
      </c>
    </row>
    <row r="17" spans="1:8" x14ac:dyDescent="0.25">
      <c r="A17" s="37">
        <v>14</v>
      </c>
      <c r="B17" s="69">
        <f t="shared" si="0"/>
        <v>164</v>
      </c>
      <c r="C17" s="69">
        <f t="shared" si="1"/>
        <v>35</v>
      </c>
      <c r="D17" s="69">
        <f t="shared" si="2"/>
        <v>129</v>
      </c>
      <c r="E17" s="69">
        <f>VLOOKUP(14,DoanhThuThang!A6:Q36,17,TRUE)</f>
        <v>35</v>
      </c>
      <c r="F17" s="69">
        <f>VLOOKUP(14,DoanhThuThang!A6:BP36,68,TRUE)</f>
        <v>0</v>
      </c>
      <c r="G17" s="69">
        <f>VLOOKUP(14,DoanhThuThang!A6:S36,19,TRUE)</f>
        <v>129</v>
      </c>
      <c r="H17" s="69">
        <f>VLOOKUP(14,DoanhThuThang!A6:BR36,70,TRUE)</f>
        <v>0</v>
      </c>
    </row>
    <row r="18" spans="1:8" x14ac:dyDescent="0.25">
      <c r="A18" s="37">
        <v>15</v>
      </c>
      <c r="B18" s="69">
        <f t="shared" si="0"/>
        <v>234</v>
      </c>
      <c r="C18" s="69">
        <f t="shared" si="1"/>
        <v>0</v>
      </c>
      <c r="D18" s="69">
        <f t="shared" si="2"/>
        <v>234</v>
      </c>
      <c r="E18" s="69">
        <f>VLOOKUP(15,DoanhThuThang!A6:Q36,17,TRUE)</f>
        <v>0</v>
      </c>
      <c r="F18" s="69">
        <f>VLOOKUP(15,DoanhThuThang!A6:BP36,68,TRUE)</f>
        <v>0</v>
      </c>
      <c r="G18" s="69">
        <f>VLOOKUP(15,DoanhThuThang!A6:S36,19,TRUE)</f>
        <v>234</v>
      </c>
      <c r="H18" s="69">
        <f>VLOOKUP(15,DoanhThuThang!A6:BR36,70,TRUE)</f>
        <v>0</v>
      </c>
    </row>
    <row r="19" spans="1:8" x14ac:dyDescent="0.25">
      <c r="A19" s="37">
        <v>16</v>
      </c>
      <c r="B19" s="69">
        <f t="shared" si="0"/>
        <v>84</v>
      </c>
      <c r="C19" s="69">
        <f t="shared" si="1"/>
        <v>84</v>
      </c>
      <c r="D19" s="69">
        <f t="shared" si="2"/>
        <v>0</v>
      </c>
      <c r="E19" s="69">
        <f>VLOOKUP(16,DoanhThuThang!A6:Q36,17,TRUE)</f>
        <v>84</v>
      </c>
      <c r="F19" s="69">
        <f>VLOOKUP(16,DoanhThuThang!A6:BP36,68,TRUE)</f>
        <v>0</v>
      </c>
      <c r="G19" s="69">
        <f>VLOOKUP(16,DoanhThuThang!A6:S36,19,TRUE)</f>
        <v>0</v>
      </c>
      <c r="H19" s="69">
        <f>VLOOKUP(16,DoanhThuThang!A6:BR36,70,TRUE)</f>
        <v>0</v>
      </c>
    </row>
    <row r="20" spans="1:8" x14ac:dyDescent="0.25">
      <c r="A20" s="37">
        <v>17</v>
      </c>
      <c r="B20" s="69">
        <f t="shared" si="0"/>
        <v>142</v>
      </c>
      <c r="C20" s="69">
        <f t="shared" si="1"/>
        <v>40</v>
      </c>
      <c r="D20" s="69">
        <f t="shared" si="2"/>
        <v>102</v>
      </c>
      <c r="E20" s="69">
        <f>VLOOKUP(17,DoanhThuThang!A6:Q36,17,TRUE)</f>
        <v>40</v>
      </c>
      <c r="F20" s="69">
        <f>VLOOKUP(17,DoanhThuThang!A6:BP36,68,TRUE)</f>
        <v>0</v>
      </c>
      <c r="G20" s="69">
        <f>VLOOKUP(17,DoanhThuThang!A6:S36,19,TRUE)</f>
        <v>102</v>
      </c>
      <c r="H20" s="69">
        <f>VLOOKUP(17,DoanhThuThang!A6:BR36,70,TRUE)</f>
        <v>0</v>
      </c>
    </row>
    <row r="21" spans="1:8" x14ac:dyDescent="0.25">
      <c r="A21" s="37">
        <v>18</v>
      </c>
      <c r="B21" s="69">
        <f t="shared" si="0"/>
        <v>166</v>
      </c>
      <c r="C21" s="69">
        <f t="shared" si="1"/>
        <v>103</v>
      </c>
      <c r="D21" s="69">
        <f t="shared" si="2"/>
        <v>63</v>
      </c>
      <c r="E21" s="69">
        <f>VLOOKUP(18,DoanhThuThang!A6:Q36,17,TRUE)</f>
        <v>103</v>
      </c>
      <c r="F21" s="69">
        <f>VLOOKUP(18,DoanhThuThang!A6:BP36,68,TRUE)</f>
        <v>0</v>
      </c>
      <c r="G21" s="69">
        <f>VLOOKUP(18,DoanhThuThang!A6:S36,19,TRUE)</f>
        <v>63</v>
      </c>
      <c r="H21" s="69">
        <f>VLOOKUP(18,DoanhThuThang!A6:BR36,70,TRUE)</f>
        <v>0</v>
      </c>
    </row>
    <row r="22" spans="1:8" x14ac:dyDescent="0.25">
      <c r="A22" s="37">
        <v>19</v>
      </c>
      <c r="B22" s="69">
        <f t="shared" si="0"/>
        <v>0</v>
      </c>
      <c r="C22" s="69">
        <f t="shared" si="1"/>
        <v>0</v>
      </c>
      <c r="D22" s="69">
        <f t="shared" si="2"/>
        <v>0</v>
      </c>
      <c r="E22" s="69">
        <f>VLOOKUP(19,DoanhThuThang!A6:Q36,17,TRUE)</f>
        <v>0</v>
      </c>
      <c r="F22" s="69">
        <f>VLOOKUP(19,DoanhThuThang!A6:BP36,68,TRUE)</f>
        <v>0</v>
      </c>
      <c r="G22" s="69">
        <f>VLOOKUP(19,DoanhThuThang!A6:S36,19,TRUE)</f>
        <v>0</v>
      </c>
      <c r="H22" s="69" t="str">
        <f>VLOOKUP(19,DoanhThuThang!A6:BR36,70,TRUE)</f>
        <v/>
      </c>
    </row>
    <row r="23" spans="1:8" x14ac:dyDescent="0.25">
      <c r="A23" s="37">
        <v>20</v>
      </c>
      <c r="B23" s="69">
        <f t="shared" si="0"/>
        <v>40</v>
      </c>
      <c r="C23" s="69">
        <f t="shared" si="1"/>
        <v>0</v>
      </c>
      <c r="D23" s="69">
        <f t="shared" si="2"/>
        <v>40</v>
      </c>
      <c r="E23" s="69">
        <f>VLOOKUP(20,DoanhThuThang!A6:Q36,17,TRUE)</f>
        <v>0</v>
      </c>
      <c r="F23" s="69" t="str">
        <f>VLOOKUP(20,DoanhThuThang!A6:BP36,68,TRUE)</f>
        <v/>
      </c>
      <c r="G23" s="69">
        <f>VLOOKUP(20,DoanhThuThang!A6:S36,19,TRUE)</f>
        <v>40</v>
      </c>
      <c r="H23" s="69" t="str">
        <f>VLOOKUP(20,DoanhThuThang!A6:BR36,70,TRUE)</f>
        <v/>
      </c>
    </row>
    <row r="24" spans="1:8" x14ac:dyDescent="0.25">
      <c r="A24" s="37">
        <v>21</v>
      </c>
      <c r="B24" s="69">
        <f t="shared" si="0"/>
        <v>0</v>
      </c>
      <c r="C24" s="69">
        <f t="shared" si="1"/>
        <v>0</v>
      </c>
      <c r="D24" s="69">
        <f t="shared" si="2"/>
        <v>0</v>
      </c>
      <c r="E24" s="69">
        <f>VLOOKUP(21,DoanhThuThang!A6:Q36,17,TRUE)</f>
        <v>0</v>
      </c>
      <c r="F24" s="69" t="str">
        <f>VLOOKUP(21,DoanhThuThang!A6:BP36,68,TRUE)</f>
        <v/>
      </c>
      <c r="G24" s="69">
        <f>VLOOKUP(21,DoanhThuThang!A6:S36,19,TRUE)</f>
        <v>0</v>
      </c>
      <c r="H24" s="69" t="str">
        <f>VLOOKUP(21,DoanhThuThang!A6:BR36,70,TRUE)</f>
        <v/>
      </c>
    </row>
    <row r="25" spans="1:8" x14ac:dyDescent="0.25">
      <c r="A25" s="37">
        <v>22</v>
      </c>
      <c r="B25" s="69">
        <f t="shared" si="0"/>
        <v>80</v>
      </c>
      <c r="C25" s="69">
        <f t="shared" si="1"/>
        <v>0</v>
      </c>
      <c r="D25" s="69">
        <f t="shared" si="2"/>
        <v>80</v>
      </c>
      <c r="E25" s="69">
        <f>VLOOKUP(22,DoanhThuThang!A6:Q36,17,TRUE)</f>
        <v>0</v>
      </c>
      <c r="F25" s="69" t="str">
        <f>VLOOKUP(22,DoanhThuThang!A6:BP36,68,TRUE)</f>
        <v/>
      </c>
      <c r="G25" s="69">
        <f>VLOOKUP(22,DoanhThuThang!A6:S36,19,TRUE)</f>
        <v>80</v>
      </c>
      <c r="H25" s="69" t="str">
        <f>VLOOKUP(22,DoanhThuThang!A6:BR36,70,TRUE)</f>
        <v/>
      </c>
    </row>
    <row r="26" spans="1:8" x14ac:dyDescent="0.25">
      <c r="A26" s="37">
        <v>23</v>
      </c>
      <c r="B26" s="69">
        <f t="shared" si="0"/>
        <v>60</v>
      </c>
      <c r="C26" s="69">
        <f t="shared" si="1"/>
        <v>60</v>
      </c>
      <c r="D26" s="69">
        <f t="shared" si="2"/>
        <v>0</v>
      </c>
      <c r="E26" s="69">
        <f>VLOOKUP(23,DoanhThuThang!A6:Q36,17,TRUE)</f>
        <v>60</v>
      </c>
      <c r="F26" s="69" t="str">
        <f>VLOOKUP(23,DoanhThuThang!A6:BP36,68,TRUE)</f>
        <v/>
      </c>
      <c r="G26" s="69">
        <f>VLOOKUP(23,DoanhThuThang!A6:S36,19,TRUE)</f>
        <v>0</v>
      </c>
      <c r="H26" s="69" t="str">
        <f>VLOOKUP(23,DoanhThuThang!A6:BR36,70,TRUE)</f>
        <v/>
      </c>
    </row>
    <row r="27" spans="1:8" x14ac:dyDescent="0.25">
      <c r="A27" s="37">
        <v>24</v>
      </c>
      <c r="B27" s="69">
        <f t="shared" si="0"/>
        <v>0</v>
      </c>
      <c r="C27" s="69">
        <f t="shared" si="1"/>
        <v>0</v>
      </c>
      <c r="D27" s="69">
        <f t="shared" si="2"/>
        <v>0</v>
      </c>
      <c r="E27" s="69">
        <f>VLOOKUP(24,DoanhThuThang!A6:Q36,17,TRUE)</f>
        <v>0</v>
      </c>
      <c r="F27" s="69" t="str">
        <f>VLOOKUP(24,DoanhThuThang!A6:BP36,68,TRUE)</f>
        <v/>
      </c>
      <c r="G27" s="69">
        <f>VLOOKUP(24,DoanhThuThang!A6:S36,19,TRUE)</f>
        <v>0</v>
      </c>
      <c r="H27" s="69" t="str">
        <f>VLOOKUP(24,DoanhThuThang!A6:BR36,70,TRUE)</f>
        <v/>
      </c>
    </row>
    <row r="28" spans="1:8" x14ac:dyDescent="0.25">
      <c r="A28" s="37">
        <v>25</v>
      </c>
      <c r="B28" s="69">
        <f t="shared" si="0"/>
        <v>182</v>
      </c>
      <c r="C28" s="69">
        <f t="shared" si="1"/>
        <v>0</v>
      </c>
      <c r="D28" s="69">
        <f t="shared" si="2"/>
        <v>182</v>
      </c>
      <c r="E28" s="69">
        <f>VLOOKUP(25,DoanhThuThang!A6:Q36,17,TRUE)</f>
        <v>0</v>
      </c>
      <c r="F28" s="69" t="str">
        <f>VLOOKUP(25,DoanhThuThang!A6:BP36,68,TRUE)</f>
        <v/>
      </c>
      <c r="G28" s="69">
        <f>VLOOKUP(25,DoanhThuThang!A6:S36,19,TRUE)</f>
        <v>182</v>
      </c>
      <c r="H28" s="69" t="str">
        <f>VLOOKUP(25,DoanhThuThang!A6:BR36,70,TRUE)</f>
        <v/>
      </c>
    </row>
    <row r="29" spans="1:8" x14ac:dyDescent="0.25">
      <c r="A29" s="37">
        <v>26</v>
      </c>
      <c r="B29" s="69">
        <f t="shared" si="0"/>
        <v>38</v>
      </c>
      <c r="C29" s="69">
        <f t="shared" si="1"/>
        <v>0</v>
      </c>
      <c r="D29" s="69">
        <f t="shared" si="2"/>
        <v>38</v>
      </c>
      <c r="E29" s="69">
        <f>VLOOKUP(26,DoanhThuThang!A6:Q36,17,TRUE)</f>
        <v>0</v>
      </c>
      <c r="F29" s="69" t="str">
        <f>VLOOKUP(26,DoanhThuThang!A6:BP36,68,TRUE)</f>
        <v/>
      </c>
      <c r="G29" s="69">
        <f>VLOOKUP(26,DoanhThuThang!A6:S36,19,TRUE)</f>
        <v>38</v>
      </c>
      <c r="H29" s="69" t="str">
        <f>VLOOKUP(26,DoanhThuThang!A6:BR36,70,TRUE)</f>
        <v/>
      </c>
    </row>
    <row r="30" spans="1:8" x14ac:dyDescent="0.25">
      <c r="A30" s="37">
        <v>27</v>
      </c>
      <c r="B30" s="69">
        <f t="shared" si="0"/>
        <v>0</v>
      </c>
      <c r="C30" s="69">
        <f t="shared" si="1"/>
        <v>0</v>
      </c>
      <c r="D30" s="69">
        <f t="shared" si="2"/>
        <v>0</v>
      </c>
      <c r="E30" s="69">
        <f>VLOOKUP(27,DoanhThuThang!A6:Q36,17,TRUE)</f>
        <v>0</v>
      </c>
      <c r="F30" s="69" t="str">
        <f>VLOOKUP(27,DoanhThuThang!A6:BP36,68,TRUE)</f>
        <v/>
      </c>
      <c r="G30" s="69">
        <f>VLOOKUP(27,DoanhThuThang!A6:S36,19,TRUE)</f>
        <v>0</v>
      </c>
      <c r="H30" s="69" t="str">
        <f>VLOOKUP(27,DoanhThuThang!A6:BR36,70,TRUE)</f>
        <v/>
      </c>
    </row>
    <row r="31" spans="1:8" x14ac:dyDescent="0.25">
      <c r="A31" s="37">
        <v>28</v>
      </c>
      <c r="B31" s="69">
        <f t="shared" si="0"/>
        <v>74</v>
      </c>
      <c r="C31" s="69">
        <f t="shared" si="1"/>
        <v>0</v>
      </c>
      <c r="D31" s="69">
        <f t="shared" si="2"/>
        <v>74</v>
      </c>
      <c r="E31" s="69">
        <f>VLOOKUP(28,DoanhThuThang!A6:Q36,17,TRUE)</f>
        <v>0</v>
      </c>
      <c r="F31" s="69" t="str">
        <f>VLOOKUP(28,DoanhThuThang!A6:BP36,68,TRUE)</f>
        <v/>
      </c>
      <c r="G31" s="69">
        <f>VLOOKUP(28,DoanhThuThang!A6:S36,19,TRUE)</f>
        <v>74</v>
      </c>
      <c r="H31" s="69" t="str">
        <f>VLOOKUP(28,DoanhThuThang!A6:BR36,70,TRUE)</f>
        <v/>
      </c>
    </row>
    <row r="32" spans="1:8" x14ac:dyDescent="0.25">
      <c r="A32" s="37">
        <v>29</v>
      </c>
      <c r="B32" s="69">
        <f t="shared" si="0"/>
        <v>55</v>
      </c>
      <c r="C32" s="69">
        <f t="shared" si="1"/>
        <v>0</v>
      </c>
      <c r="D32" s="69">
        <f t="shared" si="2"/>
        <v>55</v>
      </c>
      <c r="E32" s="69">
        <f>VLOOKUP(29,DoanhThuThang!A6:Q36,17,TRUE)</f>
        <v>0</v>
      </c>
      <c r="F32" s="69" t="str">
        <f>VLOOKUP(29,DoanhThuThang!A6:BP36,68,TRUE)</f>
        <v/>
      </c>
      <c r="G32" s="69">
        <f>VLOOKUP(29,DoanhThuThang!A6:S36,19,TRUE)</f>
        <v>55</v>
      </c>
      <c r="H32" s="69" t="str">
        <f>VLOOKUP(29,DoanhThuThang!A6:BR36,70,TRUE)</f>
        <v/>
      </c>
    </row>
    <row r="33" spans="1:8" x14ac:dyDescent="0.25">
      <c r="A33" s="37">
        <v>30</v>
      </c>
      <c r="B33" s="69">
        <f t="shared" si="0"/>
        <v>0</v>
      </c>
      <c r="C33" s="69">
        <f t="shared" si="1"/>
        <v>0</v>
      </c>
      <c r="D33" s="69">
        <f t="shared" si="2"/>
        <v>0</v>
      </c>
      <c r="E33" s="69">
        <f>VLOOKUP(30,DoanhThuThang!A6:Q36,17,TRUE)</f>
        <v>0</v>
      </c>
      <c r="F33" s="69" t="str">
        <f>VLOOKUP(30,DoanhThuThang!A6:BP36,68,TRUE)</f>
        <v/>
      </c>
      <c r="G33" s="69">
        <f>VLOOKUP(30,DoanhThuThang!A6:S36,19,TRUE)</f>
        <v>0</v>
      </c>
      <c r="H33" s="69" t="str">
        <f>VLOOKUP(30,DoanhThuThang!A6:BR36,70,TRUE)</f>
        <v/>
      </c>
    </row>
    <row r="34" spans="1:8" x14ac:dyDescent="0.25">
      <c r="A34" s="37">
        <v>31</v>
      </c>
      <c r="B34" s="69">
        <f t="shared" si="0"/>
        <v>0</v>
      </c>
      <c r="C34" s="69">
        <f t="shared" si="1"/>
        <v>0</v>
      </c>
      <c r="D34" s="69">
        <f t="shared" si="2"/>
        <v>0</v>
      </c>
      <c r="E34" s="69" t="str">
        <f>VLOOKUP(31,DoanhThuThang!A6:Q36,17,TRUE)</f>
        <v/>
      </c>
      <c r="F34" s="69" t="str">
        <f>VLOOKUP(31,DoanhThuThang!A6:BP36,68,TRUE)</f>
        <v/>
      </c>
      <c r="G34" s="69" t="str">
        <f>VLOOKUP(31,DoanhThuThang!A6:S36,19,TRUE)</f>
        <v/>
      </c>
      <c r="H34" s="69" t="str">
        <f>VLOOKUP(31,DoanhThuThang!A6:BR36,70,TRUE)</f>
        <v/>
      </c>
    </row>
  </sheetData>
  <sheetProtection sheet="1" objects="1" scenarios="1"/>
  <mergeCells count="3">
    <mergeCell ref="B1:B3"/>
    <mergeCell ref="C2:C3"/>
    <mergeCell ref="D2:D3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H34"/>
  <sheetViews>
    <sheetView topLeftCell="A14" workbookViewId="0">
      <selection activeCell="J35" sqref="J35"/>
    </sheetView>
  </sheetViews>
  <sheetFormatPr defaultColWidth="8.85546875" defaultRowHeight="15" x14ac:dyDescent="0.25"/>
  <cols>
    <col min="2" max="2" width="15.7109375" customWidth="1"/>
  </cols>
  <sheetData>
    <row r="1" spans="1:8" x14ac:dyDescent="0.25">
      <c r="B1" s="181" t="s">
        <v>72</v>
      </c>
      <c r="C1" s="79" t="s">
        <v>72</v>
      </c>
      <c r="D1" s="76"/>
      <c r="E1" s="77" t="s">
        <v>72</v>
      </c>
      <c r="F1" s="78"/>
      <c r="G1" s="78"/>
      <c r="H1" s="76"/>
    </row>
    <row r="2" spans="1:8" x14ac:dyDescent="0.25">
      <c r="B2" s="182"/>
      <c r="C2" s="181" t="s">
        <v>11</v>
      </c>
      <c r="D2" s="181" t="s">
        <v>12</v>
      </c>
      <c r="E2" s="77" t="s">
        <v>11</v>
      </c>
      <c r="F2" s="76"/>
      <c r="G2" s="77" t="s">
        <v>12</v>
      </c>
      <c r="H2" s="76"/>
    </row>
    <row r="3" spans="1:8" x14ac:dyDescent="0.25">
      <c r="A3" s="68" t="s">
        <v>10</v>
      </c>
      <c r="B3" s="182"/>
      <c r="C3" s="182"/>
      <c r="D3" s="182"/>
      <c r="E3" s="75" t="s">
        <v>165</v>
      </c>
      <c r="F3" s="75" t="s">
        <v>164</v>
      </c>
      <c r="G3" s="75" t="s">
        <v>165</v>
      </c>
      <c r="H3" s="75" t="s">
        <v>164</v>
      </c>
    </row>
    <row r="4" spans="1:8" x14ac:dyDescent="0.25">
      <c r="A4" s="37">
        <v>1</v>
      </c>
      <c r="B4" s="74">
        <f>SUM($C4:$D4)</f>
        <v>0</v>
      </c>
      <c r="C4" s="74">
        <f>SUM($E4:$F4)</f>
        <v>0</v>
      </c>
      <c r="D4" s="74">
        <f>SUM($G4:$H4)</f>
        <v>0</v>
      </c>
      <c r="E4" s="74">
        <f>VLOOKUP(1,DoanhThuThang!A6:AF36,32,TRUE)</f>
        <v>0</v>
      </c>
      <c r="F4" s="74">
        <f>VLOOKUP(1,DoanhThuThang!A6:BB36,54,TRUE)</f>
        <v>0</v>
      </c>
      <c r="G4" s="74">
        <f>VLOOKUP(1,DoanhThuThang!A6:AH36,34,TRUE)</f>
        <v>0</v>
      </c>
      <c r="H4" s="74">
        <f>VLOOKUP(1,DoanhThuThang!A6:BD36,56,TRUE)</f>
        <v>0</v>
      </c>
    </row>
    <row r="5" spans="1:8" x14ac:dyDescent="0.25">
      <c r="A5" s="37">
        <v>2</v>
      </c>
      <c r="B5" s="74">
        <f t="shared" ref="B5:B34" si="0">SUM($C5:$D5)</f>
        <v>0</v>
      </c>
      <c r="C5" s="74">
        <f t="shared" ref="C5:C34" si="1">SUM($D5:$E5)</f>
        <v>0</v>
      </c>
      <c r="D5" s="74">
        <f t="shared" ref="D5:D34" si="2">SUM($G5:$H5)</f>
        <v>0</v>
      </c>
      <c r="E5" s="90">
        <f>VLOOKUP(2,DoanhThuThang!A6:AF36,32,TRUE)</f>
        <v>0</v>
      </c>
      <c r="F5" s="90">
        <f>VLOOKUP(2,DoanhThuThang!A6:BB36,54,TRUE)</f>
        <v>0</v>
      </c>
      <c r="G5" s="90">
        <f>VLOOKUP(2,DoanhThuThang!A6:AH36,34,TRUE)</f>
        <v>0</v>
      </c>
      <c r="H5" s="90">
        <f>VLOOKUP(2,DoanhThuThang!A6:BD36,56,TRUE)</f>
        <v>0</v>
      </c>
    </row>
    <row r="6" spans="1:8" x14ac:dyDescent="0.25">
      <c r="A6" s="37">
        <v>3</v>
      </c>
      <c r="B6" s="74">
        <f t="shared" si="0"/>
        <v>180</v>
      </c>
      <c r="C6" s="74">
        <f t="shared" si="1"/>
        <v>90</v>
      </c>
      <c r="D6" s="74">
        <f t="shared" si="2"/>
        <v>90</v>
      </c>
      <c r="E6" s="90">
        <f>VLOOKUP(3,DoanhThuThang!A6:AF36,32,TRUE)</f>
        <v>0</v>
      </c>
      <c r="F6" s="90">
        <f>VLOOKUP(3,DoanhThuThang!A6:BB36,54,TRUE)</f>
        <v>0</v>
      </c>
      <c r="G6" s="90">
        <f>VLOOKUP(3,DoanhThuThang!A6:AH36,34,TRUE)</f>
        <v>90</v>
      </c>
      <c r="H6" s="90">
        <f>VLOOKUP(3,DoanhThuThang!A6:BD36,56,TRUE)</f>
        <v>0</v>
      </c>
    </row>
    <row r="7" spans="1:8" x14ac:dyDescent="0.25">
      <c r="A7" s="37">
        <v>4</v>
      </c>
      <c r="B7" s="74">
        <f t="shared" si="0"/>
        <v>160</v>
      </c>
      <c r="C7" s="74">
        <f t="shared" si="1"/>
        <v>80</v>
      </c>
      <c r="D7" s="74">
        <f t="shared" si="2"/>
        <v>80</v>
      </c>
      <c r="E7" s="90">
        <f>VLOOKUP(4,DoanhThuThang!A6:AF36,32,TRUE)</f>
        <v>0</v>
      </c>
      <c r="F7" s="90">
        <f>VLOOKUP(4,DoanhThuThang!A6:BB36,54,TRUE)</f>
        <v>0</v>
      </c>
      <c r="G7" s="90">
        <f>VLOOKUP(4,DoanhThuThang!A6:AH36,34,TRUE)</f>
        <v>80</v>
      </c>
      <c r="H7" s="90">
        <f>VLOOKUP(4,DoanhThuThang!A6:BD36,56,TRUE)</f>
        <v>0</v>
      </c>
    </row>
    <row r="8" spans="1:8" x14ac:dyDescent="0.25">
      <c r="A8" s="37">
        <v>5</v>
      </c>
      <c r="B8" s="74">
        <f t="shared" si="0"/>
        <v>168</v>
      </c>
      <c r="C8" s="74">
        <f t="shared" si="1"/>
        <v>168</v>
      </c>
      <c r="D8" s="74">
        <f t="shared" si="2"/>
        <v>0</v>
      </c>
      <c r="E8" s="90">
        <f>VLOOKUP(5,DoanhThuThang!A6:AF36,32,TRUE)</f>
        <v>168</v>
      </c>
      <c r="F8" s="90">
        <f>VLOOKUP(5,DoanhThuThang!A6:BB36,54,TRUE)</f>
        <v>0</v>
      </c>
      <c r="G8" s="90">
        <f>VLOOKUP(5,DoanhThuThang!A6:AH36,34,TRUE)</f>
        <v>0</v>
      </c>
      <c r="H8" s="90">
        <f>VLOOKUP(5,DoanhThuThang!A6:BD36,56,TRUE)</f>
        <v>0</v>
      </c>
    </row>
    <row r="9" spans="1:8" x14ac:dyDescent="0.25">
      <c r="A9" s="37">
        <v>6</v>
      </c>
      <c r="B9" s="74">
        <f t="shared" si="0"/>
        <v>0</v>
      </c>
      <c r="C9" s="74">
        <f t="shared" si="1"/>
        <v>0</v>
      </c>
      <c r="D9" s="74">
        <f t="shared" si="2"/>
        <v>0</v>
      </c>
      <c r="E9" s="90">
        <f>VLOOKUP(6,DoanhThuThang!A6:AF36,32,TRUE)</f>
        <v>0</v>
      </c>
      <c r="F9" s="90">
        <f>VLOOKUP(6,DoanhThuThang!A6:BB36,54,TRUE)</f>
        <v>0</v>
      </c>
      <c r="G9" s="90">
        <f>VLOOKUP(1,DoanhThuThang!A6:AH36,34,TRUE)</f>
        <v>0</v>
      </c>
      <c r="H9" s="90">
        <f>VLOOKUP(6,DoanhThuThang!A6:BD36,56,TRUE)</f>
        <v>0</v>
      </c>
    </row>
    <row r="10" spans="1:8" x14ac:dyDescent="0.25">
      <c r="A10" s="37">
        <v>7</v>
      </c>
      <c r="B10" s="74">
        <f t="shared" si="0"/>
        <v>0</v>
      </c>
      <c r="C10" s="74">
        <f t="shared" si="1"/>
        <v>0</v>
      </c>
      <c r="D10" s="74">
        <f t="shared" si="2"/>
        <v>0</v>
      </c>
      <c r="E10" s="90">
        <f>VLOOKUP(7,DoanhThuThang!A6:AF36,32,TRUE)</f>
        <v>0</v>
      </c>
      <c r="F10" s="90">
        <f>VLOOKUP(7,DoanhThuThang!A6:BB36,54,TRUE)</f>
        <v>0</v>
      </c>
      <c r="G10" s="90">
        <f>VLOOKUP(6,DoanhThuThang!A6:AH36,34,TRUE)</f>
        <v>0</v>
      </c>
      <c r="H10" s="90">
        <f>VLOOKUP(7,DoanhThuThang!A6:BD36,56,TRUE)</f>
        <v>0</v>
      </c>
    </row>
    <row r="11" spans="1:8" x14ac:dyDescent="0.25">
      <c r="A11" s="37">
        <v>8</v>
      </c>
      <c r="B11" s="74">
        <f t="shared" si="0"/>
        <v>36</v>
      </c>
      <c r="C11" s="74">
        <f t="shared" si="1"/>
        <v>18</v>
      </c>
      <c r="D11" s="74">
        <f t="shared" si="2"/>
        <v>18</v>
      </c>
      <c r="E11" s="90">
        <f>VLOOKUP(8,DoanhThuThang!A6:AF36,32,TRUE)</f>
        <v>0</v>
      </c>
      <c r="F11" s="90">
        <f>VLOOKUP(8,DoanhThuThang!A6:BB36,54,TRUE)</f>
        <v>0</v>
      </c>
      <c r="G11" s="90">
        <f>VLOOKUP(7,DoanhThuThang!A6:AH36,34,TRUE)</f>
        <v>18</v>
      </c>
      <c r="H11" s="90">
        <f>VLOOKUP(8,DoanhThuThang!A6:BD36,56,TRUE)</f>
        <v>0</v>
      </c>
    </row>
    <row r="12" spans="1:8" x14ac:dyDescent="0.25">
      <c r="A12" s="37">
        <v>9</v>
      </c>
      <c r="B12" s="74">
        <f t="shared" si="0"/>
        <v>360</v>
      </c>
      <c r="C12" s="74">
        <f t="shared" si="1"/>
        <v>180</v>
      </c>
      <c r="D12" s="74">
        <f t="shared" si="2"/>
        <v>180</v>
      </c>
      <c r="E12" s="90">
        <f>VLOOKUP(9,DoanhThuThang!A6:AF36,32,TRUE)</f>
        <v>0</v>
      </c>
      <c r="F12" s="90">
        <f>VLOOKUP(9,DoanhThuThang!A6:BB36,54,TRUE)</f>
        <v>0</v>
      </c>
      <c r="G12" s="90">
        <f>VLOOKUP(9,DoanhThuThang!A6:AH36,34,TRUE)</f>
        <v>180</v>
      </c>
      <c r="H12" s="90">
        <f>VLOOKUP(9,DoanhThuThang!A6:BD36,56,TRUE)</f>
        <v>0</v>
      </c>
    </row>
    <row r="13" spans="1:8" x14ac:dyDescent="0.25">
      <c r="A13" s="37">
        <v>10</v>
      </c>
      <c r="B13" s="74">
        <f t="shared" si="0"/>
        <v>35</v>
      </c>
      <c r="C13" s="74">
        <f t="shared" si="1"/>
        <v>35</v>
      </c>
      <c r="D13" s="74">
        <f t="shared" si="2"/>
        <v>0</v>
      </c>
      <c r="E13" s="90">
        <f>VLOOKUP(10,DoanhThuThang!A6:AF36,32,TRUE)</f>
        <v>35</v>
      </c>
      <c r="F13" s="90">
        <f>VLOOKUP(10,DoanhThuThang!A6:BB36,54,TRUE)</f>
        <v>0</v>
      </c>
      <c r="G13" s="90">
        <f>VLOOKUP(10,DoanhThuThang!A6:AH36,34,TRUE)</f>
        <v>0</v>
      </c>
      <c r="H13" s="90">
        <f>VLOOKUP(10,DoanhThuThang!A6:BD36,56,TRUE)</f>
        <v>0</v>
      </c>
    </row>
    <row r="14" spans="1:8" x14ac:dyDescent="0.25">
      <c r="A14" s="37">
        <v>11</v>
      </c>
      <c r="B14" s="74">
        <f t="shared" si="0"/>
        <v>240</v>
      </c>
      <c r="C14" s="74">
        <f t="shared" si="1"/>
        <v>170</v>
      </c>
      <c r="D14" s="74">
        <f t="shared" si="2"/>
        <v>70</v>
      </c>
      <c r="E14" s="90">
        <f>VLOOKUP(11,DoanhThuThang!A6:AF36,32,TRUE)</f>
        <v>100</v>
      </c>
      <c r="F14" s="90">
        <f>VLOOKUP(11,DoanhThuThang!A6:BB36,54,TRUE)</f>
        <v>0</v>
      </c>
      <c r="G14" s="90">
        <f>VLOOKUP(11,DoanhThuThang!A6:AH36,34,TRUE)</f>
        <v>70</v>
      </c>
      <c r="H14" s="90">
        <f>VLOOKUP(11,DoanhThuThang!A6:BD36,56,TRUE)</f>
        <v>0</v>
      </c>
    </row>
    <row r="15" spans="1:8" x14ac:dyDescent="0.25">
      <c r="A15" s="37">
        <v>12</v>
      </c>
      <c r="B15" s="74">
        <f t="shared" si="0"/>
        <v>40</v>
      </c>
      <c r="C15" s="74">
        <f t="shared" si="1"/>
        <v>20</v>
      </c>
      <c r="D15" s="74">
        <f t="shared" si="2"/>
        <v>20</v>
      </c>
      <c r="E15" s="90">
        <f>VLOOKUP(12,DoanhThuThang!A6:AF36,32,TRUE)</f>
        <v>0</v>
      </c>
      <c r="F15" s="90">
        <f>VLOOKUP(12,DoanhThuThang!A6:BB36,54,TRUE)</f>
        <v>0</v>
      </c>
      <c r="G15" s="90">
        <f>VLOOKUP(12,DoanhThuThang!A6:AH36,34,TRUE)</f>
        <v>20</v>
      </c>
      <c r="H15" s="90">
        <f>VLOOKUP(12,DoanhThuThang!A6:BD36,56,TRUE)</f>
        <v>0</v>
      </c>
    </row>
    <row r="16" spans="1:8" x14ac:dyDescent="0.25">
      <c r="A16" s="37">
        <v>13</v>
      </c>
      <c r="B16" s="74">
        <f t="shared" si="0"/>
        <v>480</v>
      </c>
      <c r="C16" s="74">
        <f t="shared" si="1"/>
        <v>240</v>
      </c>
      <c r="D16" s="74">
        <f t="shared" si="2"/>
        <v>240</v>
      </c>
      <c r="E16" s="90">
        <f>VLOOKUP(13,DoanhThuThang!A6:AF36,32,TRUE)</f>
        <v>0</v>
      </c>
      <c r="F16" s="90">
        <f>VLOOKUP(13,DoanhThuThang!A6:BB36,54,TRUE)</f>
        <v>0</v>
      </c>
      <c r="G16" s="90">
        <f>VLOOKUP(13,DoanhThuThang!A6:AH36,34,TRUE)</f>
        <v>240</v>
      </c>
      <c r="H16" s="90">
        <f>VLOOKUP(13,DoanhThuThang!A6:BD36,56,TRUE)</f>
        <v>0</v>
      </c>
    </row>
    <row r="17" spans="1:8" x14ac:dyDescent="0.25">
      <c r="A17" s="37">
        <v>14</v>
      </c>
      <c r="B17" s="74">
        <f t="shared" si="0"/>
        <v>90</v>
      </c>
      <c r="C17" s="74">
        <f t="shared" si="1"/>
        <v>45</v>
      </c>
      <c r="D17" s="74">
        <f t="shared" si="2"/>
        <v>45</v>
      </c>
      <c r="E17" s="90">
        <f>VLOOKUP(14,DoanhThuThang!A6:AF36,32,TRUE)</f>
        <v>0</v>
      </c>
      <c r="F17" s="90">
        <f>VLOOKUP(14,DoanhThuThang!A6:BB36,54,TRUE)</f>
        <v>0</v>
      </c>
      <c r="G17" s="90">
        <f>VLOOKUP(14,DoanhThuThang!A6:AH36,34,TRUE)</f>
        <v>45</v>
      </c>
      <c r="H17" s="90">
        <f>VLOOKUP(14,DoanhThuThang!A6:BD36,56,TRUE)</f>
        <v>0</v>
      </c>
    </row>
    <row r="18" spans="1:8" x14ac:dyDescent="0.25">
      <c r="A18" s="37">
        <v>15</v>
      </c>
      <c r="B18" s="74">
        <f t="shared" si="0"/>
        <v>120</v>
      </c>
      <c r="C18" s="74">
        <f t="shared" si="1"/>
        <v>60</v>
      </c>
      <c r="D18" s="74">
        <f t="shared" si="2"/>
        <v>60</v>
      </c>
      <c r="E18" s="90">
        <f>VLOOKUP(15,DoanhThuThang!A6:AF36,32,TRUE)</f>
        <v>0</v>
      </c>
      <c r="F18" s="90">
        <f>VLOOKUP(15,DoanhThuThang!A6:BB36,54,TRUE)</f>
        <v>0</v>
      </c>
      <c r="G18" s="90">
        <f>VLOOKUP(15,DoanhThuThang!A6:AH36,34,TRUE)</f>
        <v>0</v>
      </c>
      <c r="H18" s="90">
        <f>VLOOKUP(15,DoanhThuThang!A6:BD36,56,TRUE)</f>
        <v>60</v>
      </c>
    </row>
    <row r="19" spans="1:8" x14ac:dyDescent="0.25">
      <c r="A19" s="37">
        <v>16</v>
      </c>
      <c r="B19" s="74">
        <f t="shared" si="0"/>
        <v>258</v>
      </c>
      <c r="C19" s="74">
        <f t="shared" si="1"/>
        <v>129</v>
      </c>
      <c r="D19" s="74">
        <f t="shared" si="2"/>
        <v>129</v>
      </c>
      <c r="E19" s="90">
        <f>VLOOKUP(16,DoanhThuThang!A6:AF36,32,TRUE)</f>
        <v>0</v>
      </c>
      <c r="F19" s="90">
        <f>VLOOKUP(16,DoanhThuThang!A6:BB36,54,TRUE)</f>
        <v>0</v>
      </c>
      <c r="G19" s="90">
        <f>VLOOKUP(16,DoanhThuThang!A6:AH36,34,TRUE)</f>
        <v>129</v>
      </c>
      <c r="H19" s="90">
        <f>VLOOKUP(16,DoanhThuThang!A6:BD36,56,TRUE)</f>
        <v>0</v>
      </c>
    </row>
    <row r="20" spans="1:8" x14ac:dyDescent="0.25">
      <c r="A20" s="37">
        <v>17</v>
      </c>
      <c r="B20" s="74">
        <f t="shared" si="0"/>
        <v>160</v>
      </c>
      <c r="C20" s="74">
        <f t="shared" si="1"/>
        <v>100</v>
      </c>
      <c r="D20" s="74">
        <f t="shared" si="2"/>
        <v>60</v>
      </c>
      <c r="E20" s="90">
        <f>VLOOKUP(17,DoanhThuThang!A6:AF36,32,TRUE)</f>
        <v>40</v>
      </c>
      <c r="F20" s="90">
        <f>VLOOKUP(17,DoanhThuThang!A6:BB36,54,TRUE)</f>
        <v>0</v>
      </c>
      <c r="G20" s="90">
        <f>VLOOKUP(17,DoanhThuThang!A6:AH36,34,TRUE)</f>
        <v>60</v>
      </c>
      <c r="H20" s="90">
        <f>VLOOKUP(17,DoanhThuThang!A6:BD36,56,TRUE)</f>
        <v>0</v>
      </c>
    </row>
    <row r="21" spans="1:8" x14ac:dyDescent="0.25">
      <c r="A21" s="37">
        <v>18</v>
      </c>
      <c r="B21" s="74">
        <f t="shared" si="0"/>
        <v>0</v>
      </c>
      <c r="C21" s="74">
        <f t="shared" si="1"/>
        <v>0</v>
      </c>
      <c r="D21" s="74">
        <f t="shared" si="2"/>
        <v>0</v>
      </c>
      <c r="E21" s="90">
        <f>VLOOKUP(18,DoanhThuThang!A6:AF36,32,TRUE)</f>
        <v>0</v>
      </c>
      <c r="F21" s="90">
        <f>VLOOKUP(18,DoanhThuThang!A6:BB36,54,TRUE)</f>
        <v>0</v>
      </c>
      <c r="G21" s="90">
        <f>VLOOKUP(18,DoanhThuThang!A6:AH36,34,TRUE)</f>
        <v>0</v>
      </c>
      <c r="H21" s="90">
        <f>VLOOKUP(18,DoanhThuThang!A6:BD36,56,TRUE)</f>
        <v>0</v>
      </c>
    </row>
    <row r="22" spans="1:8" x14ac:dyDescent="0.25">
      <c r="A22" s="37">
        <v>19</v>
      </c>
      <c r="B22" s="74">
        <f t="shared" si="0"/>
        <v>0</v>
      </c>
      <c r="C22" s="74">
        <f t="shared" si="1"/>
        <v>0</v>
      </c>
      <c r="D22" s="74">
        <f t="shared" si="2"/>
        <v>0</v>
      </c>
      <c r="E22" s="90">
        <f>VLOOKUP(19,DoanhThuThang!A6:AF36,32,TRUE)</f>
        <v>0</v>
      </c>
      <c r="F22" s="90">
        <f>VLOOKUP(19,DoanhThuThang!A6:BB36,54,TRUE)</f>
        <v>0</v>
      </c>
      <c r="G22" s="90">
        <f>VLOOKUP(19,DoanhThuThang!A6:AH36,34,TRUE)</f>
        <v>0</v>
      </c>
      <c r="H22" s="90">
        <f>VLOOKUP(19,DoanhThuThang!A6:BD36,56,TRUE)</f>
        <v>0</v>
      </c>
    </row>
    <row r="23" spans="1:8" x14ac:dyDescent="0.25">
      <c r="A23" s="37">
        <v>20</v>
      </c>
      <c r="B23" s="74">
        <f t="shared" si="0"/>
        <v>618</v>
      </c>
      <c r="C23" s="74">
        <f t="shared" si="1"/>
        <v>309</v>
      </c>
      <c r="D23" s="74">
        <f t="shared" si="2"/>
        <v>309</v>
      </c>
      <c r="E23" s="90">
        <f>VLOOKUP(20,DoanhThuThang!A6:AF36,32,TRUE)</f>
        <v>0</v>
      </c>
      <c r="F23" s="90">
        <f>VLOOKUP(20,DoanhThuThang!A6:BB36,54,TRUE)</f>
        <v>0</v>
      </c>
      <c r="G23" s="90">
        <f>VLOOKUP(20,DoanhThuThang!A6:AH36,34,TRUE)</f>
        <v>160</v>
      </c>
      <c r="H23" s="90">
        <f>VLOOKUP(20,DoanhThuThang!A6:BD36,56,TRUE)</f>
        <v>149</v>
      </c>
    </row>
    <row r="24" spans="1:8" x14ac:dyDescent="0.25">
      <c r="A24" s="37">
        <v>21</v>
      </c>
      <c r="B24" s="74">
        <f t="shared" si="0"/>
        <v>120000</v>
      </c>
      <c r="C24" s="74">
        <f t="shared" si="1"/>
        <v>60000</v>
      </c>
      <c r="D24" s="74">
        <f t="shared" si="2"/>
        <v>60000</v>
      </c>
      <c r="E24" s="90">
        <f>VLOOKUP(21,DoanhThuThang!A6:AF36,32,TRUE)</f>
        <v>0</v>
      </c>
      <c r="F24" s="90">
        <f>VLOOKUP(21,DoanhThuThang!A6:BB36,54,TRUE)</f>
        <v>0</v>
      </c>
      <c r="G24" s="90">
        <f>VLOOKUP(21,DoanhThuThang!A6:AH36,34,TRUE)</f>
        <v>0</v>
      </c>
      <c r="H24" s="90">
        <f>VLOOKUP(21,DoanhThuThang!A6:BD36,56,TRUE)</f>
        <v>60000</v>
      </c>
    </row>
    <row r="25" spans="1:8" x14ac:dyDescent="0.25">
      <c r="A25" s="37">
        <v>22</v>
      </c>
      <c r="B25" s="74">
        <f t="shared" si="0"/>
        <v>150</v>
      </c>
      <c r="C25" s="74">
        <f t="shared" si="1"/>
        <v>75</v>
      </c>
      <c r="D25" s="74">
        <f t="shared" si="2"/>
        <v>75</v>
      </c>
      <c r="E25" s="90">
        <f>VLOOKUP(22,DoanhThuThang!A6:AF36,32,TRUE)</f>
        <v>0</v>
      </c>
      <c r="F25" s="90">
        <f>VLOOKUP(22,DoanhThuThang!A6:BB36,54,TRUE)</f>
        <v>0</v>
      </c>
      <c r="G25" s="90">
        <f>VLOOKUP(22,DoanhThuThang!A6:AH36,34,TRUE)</f>
        <v>75</v>
      </c>
      <c r="H25" s="90">
        <f>VLOOKUP(22,DoanhThuThang!A6:BD36,56,TRUE)</f>
        <v>0</v>
      </c>
    </row>
    <row r="26" spans="1:8" x14ac:dyDescent="0.25">
      <c r="A26" s="37">
        <v>23</v>
      </c>
      <c r="B26" s="74">
        <f t="shared" si="0"/>
        <v>0</v>
      </c>
      <c r="C26" s="74">
        <f t="shared" si="1"/>
        <v>0</v>
      </c>
      <c r="D26" s="74">
        <f t="shared" si="2"/>
        <v>0</v>
      </c>
      <c r="E26" s="90">
        <f>VLOOKUP(23,DoanhThuThang!A6:AF36,32,TRUE)</f>
        <v>0</v>
      </c>
      <c r="F26" s="90">
        <f>VLOOKUP(23,DoanhThuThang!A6:BB36,54,TRUE)</f>
        <v>0</v>
      </c>
      <c r="G26" s="90">
        <f>VLOOKUP(23,DoanhThuThang!A6:AH36,34,TRUE)</f>
        <v>0</v>
      </c>
      <c r="H26" s="90">
        <f>VLOOKUP(23,DoanhThuThang!A6:BD36,56,TRUE)</f>
        <v>0</v>
      </c>
    </row>
    <row r="27" spans="1:8" x14ac:dyDescent="0.25">
      <c r="A27" s="37">
        <v>24</v>
      </c>
      <c r="B27" s="74">
        <f t="shared" si="0"/>
        <v>0</v>
      </c>
      <c r="C27" s="74">
        <f t="shared" si="1"/>
        <v>0</v>
      </c>
      <c r="D27" s="74">
        <f t="shared" si="2"/>
        <v>0</v>
      </c>
      <c r="E27" s="90">
        <f>VLOOKUP(24,DoanhThuThang!A6:AF36,32,TRUE)</f>
        <v>0</v>
      </c>
      <c r="F27" s="90">
        <f>VLOOKUP(24,DoanhThuThang!A6:BB36,54,TRUE)</f>
        <v>0</v>
      </c>
      <c r="G27" s="90">
        <f>VLOOKUP(24,DoanhThuThang!A6:AH36,34,TRUE)</f>
        <v>0</v>
      </c>
      <c r="H27" s="90">
        <f>VLOOKUP(24,DoanhThuThang!A6:BD36,56,TRUE)</f>
        <v>0</v>
      </c>
    </row>
    <row r="28" spans="1:8" x14ac:dyDescent="0.25">
      <c r="A28" s="37">
        <v>25</v>
      </c>
      <c r="B28" s="74">
        <f t="shared" si="0"/>
        <v>90</v>
      </c>
      <c r="C28" s="74">
        <f t="shared" si="1"/>
        <v>45</v>
      </c>
      <c r="D28" s="74">
        <f t="shared" si="2"/>
        <v>45</v>
      </c>
      <c r="E28" s="90">
        <f>VLOOKUP(25,DoanhThuThang!A6:AF36,32,TRUE)</f>
        <v>0</v>
      </c>
      <c r="F28" s="90">
        <f>VLOOKUP(25,DoanhThuThang!A6:BB36,54,TRUE)</f>
        <v>0</v>
      </c>
      <c r="G28" s="90">
        <f>VLOOKUP(25,DoanhThuThang!A6:AH36,34,TRUE)</f>
        <v>45</v>
      </c>
      <c r="H28" s="90">
        <f>VLOOKUP(25,DoanhThuThang!A6:BD36,56,TRUE)</f>
        <v>0</v>
      </c>
    </row>
    <row r="29" spans="1:8" x14ac:dyDescent="0.25">
      <c r="A29" s="37">
        <v>26</v>
      </c>
      <c r="B29" s="74">
        <f t="shared" si="0"/>
        <v>180</v>
      </c>
      <c r="C29" s="74">
        <f t="shared" si="1"/>
        <v>90</v>
      </c>
      <c r="D29" s="74">
        <f t="shared" si="2"/>
        <v>90</v>
      </c>
      <c r="E29" s="90">
        <f>VLOOKUP(26,DoanhThuThang!A6:AF36,32,TRUE)</f>
        <v>0</v>
      </c>
      <c r="F29" s="90">
        <f>VLOOKUP(26,DoanhThuThang!A6:BB36,54,TRUE)</f>
        <v>0</v>
      </c>
      <c r="G29" s="90">
        <f>VLOOKUP(26,DoanhThuThang!A6:AH36,34,TRUE)</f>
        <v>90</v>
      </c>
      <c r="H29" s="90">
        <f>VLOOKUP(26,DoanhThuThang!A6:BD36,56,TRUE)</f>
        <v>0</v>
      </c>
    </row>
    <row r="30" spans="1:8" x14ac:dyDescent="0.25">
      <c r="A30" s="37">
        <v>27</v>
      </c>
      <c r="B30" s="74">
        <f t="shared" si="0"/>
        <v>0</v>
      </c>
      <c r="C30" s="74">
        <f t="shared" si="1"/>
        <v>0</v>
      </c>
      <c r="D30" s="74">
        <f t="shared" si="2"/>
        <v>0</v>
      </c>
      <c r="E30" s="90">
        <f>VLOOKUP(27,DoanhThuThang!A6:AF36,32,TRUE)</f>
        <v>0</v>
      </c>
      <c r="F30" s="90">
        <f>VLOOKUP(27,DoanhThuThang!A6:BB36,54,TRUE)</f>
        <v>0</v>
      </c>
      <c r="G30" s="90">
        <f>VLOOKUP(27,DoanhThuThang!A6:AH36,34,TRUE)</f>
        <v>0</v>
      </c>
      <c r="H30" s="90">
        <f>VLOOKUP(27,DoanhThuThang!A6:BD36,56,TRUE)</f>
        <v>0</v>
      </c>
    </row>
    <row r="31" spans="1:8" x14ac:dyDescent="0.25">
      <c r="A31" s="37">
        <v>28</v>
      </c>
      <c r="B31" s="74">
        <f t="shared" si="0"/>
        <v>0</v>
      </c>
      <c r="C31" s="74">
        <f t="shared" si="1"/>
        <v>0</v>
      </c>
      <c r="D31" s="74">
        <f t="shared" si="2"/>
        <v>0</v>
      </c>
      <c r="E31" s="90">
        <f>VLOOKUP(28,DoanhThuThang!A6:AF36,32,TRUE)</f>
        <v>0</v>
      </c>
      <c r="F31" s="90">
        <f>VLOOKUP(28,DoanhThuThang!A6:BB36,54,TRUE)</f>
        <v>0</v>
      </c>
      <c r="G31" s="90">
        <f>VLOOKUP(28,DoanhThuThang!A6:AH36,34,TRUE)</f>
        <v>0</v>
      </c>
      <c r="H31" s="90">
        <f>VLOOKUP(28,DoanhThuThang!A6:BD36,56,TRUE)</f>
        <v>0</v>
      </c>
    </row>
    <row r="32" spans="1:8" x14ac:dyDescent="0.25">
      <c r="A32" s="37">
        <v>29</v>
      </c>
      <c r="B32" s="74">
        <f t="shared" si="0"/>
        <v>0</v>
      </c>
      <c r="C32" s="74">
        <f t="shared" si="1"/>
        <v>0</v>
      </c>
      <c r="D32" s="74">
        <f t="shared" si="2"/>
        <v>0</v>
      </c>
      <c r="E32" s="90">
        <f>VLOOKUP(29,DoanhThuThang!A6:AF36,32,TRUE)</f>
        <v>0</v>
      </c>
      <c r="F32" s="90">
        <f>VLOOKUP(29,DoanhThuThang!A6:BB36,54,TRUE)</f>
        <v>0</v>
      </c>
      <c r="G32" s="90">
        <f>VLOOKUP(29,DoanhThuThang!A6:AH36,34,TRUE)</f>
        <v>0</v>
      </c>
      <c r="H32" s="90">
        <f>VLOOKUP(29,DoanhThuThang!A6:BD36,56,TRUE)</f>
        <v>0</v>
      </c>
    </row>
    <row r="33" spans="1:8" x14ac:dyDescent="0.25">
      <c r="A33" s="37">
        <v>30</v>
      </c>
      <c r="B33" s="74">
        <f t="shared" si="0"/>
        <v>252</v>
      </c>
      <c r="C33" s="74">
        <f t="shared" si="1"/>
        <v>126</v>
      </c>
      <c r="D33" s="74">
        <f t="shared" si="2"/>
        <v>126</v>
      </c>
      <c r="E33" s="90">
        <f>VLOOKUP(30,DoanhThuThang!A6:AF36,32,TRUE)</f>
        <v>0</v>
      </c>
      <c r="F33" s="90">
        <f>VLOOKUP(30,DoanhThuThang!A6:BB36,54,TRUE)</f>
        <v>0</v>
      </c>
      <c r="G33" s="90">
        <f>VLOOKUP(30,DoanhThuThang!A6:AH36,34,TRUE)</f>
        <v>126</v>
      </c>
      <c r="H33" s="90">
        <f>VLOOKUP(30,DoanhThuThang!A6:BD36,56,TRUE)</f>
        <v>0</v>
      </c>
    </row>
    <row r="34" spans="1:8" x14ac:dyDescent="0.25">
      <c r="A34" s="37">
        <v>31</v>
      </c>
      <c r="B34" s="74">
        <f t="shared" si="0"/>
        <v>0</v>
      </c>
      <c r="C34" s="74">
        <f t="shared" si="1"/>
        <v>0</v>
      </c>
      <c r="D34" s="74">
        <f t="shared" si="2"/>
        <v>0</v>
      </c>
      <c r="E34" s="90" t="str">
        <f>VLOOKUP(31,DoanhThuThang!A6:AF36,32,TRUE)</f>
        <v/>
      </c>
      <c r="F34" s="90" t="str">
        <f>VLOOKUP(31,DoanhThuThang!A6:BB36,54,TRUE)</f>
        <v/>
      </c>
      <c r="G34" s="90" t="str">
        <f>VLOOKUP(31,DoanhThuThang!A6:AH36,34,TRUE)</f>
        <v/>
      </c>
      <c r="H34" s="90" t="str">
        <f>VLOOKUP(31,DoanhThuThang!A6:BD36,56,TRUE)</f>
        <v/>
      </c>
    </row>
  </sheetData>
  <sheetProtection sheet="1" objects="1" scenarios="1"/>
  <mergeCells count="3">
    <mergeCell ref="B1:B3"/>
    <mergeCell ref="C2:C3"/>
    <mergeCell ref="D2:D3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I25"/>
  <sheetViews>
    <sheetView topLeftCell="A4" workbookViewId="0">
      <selection activeCell="I37" sqref="I37"/>
    </sheetView>
  </sheetViews>
  <sheetFormatPr defaultColWidth="8.85546875" defaultRowHeight="15" x14ac:dyDescent="0.25"/>
  <cols>
    <col min="1" max="1" width="8.140625" customWidth="1"/>
    <col min="2" max="2" width="11.42578125" customWidth="1"/>
    <col min="3" max="3" width="10.42578125" customWidth="1"/>
    <col min="4" max="4" width="24" customWidth="1"/>
    <col min="5" max="5" width="20.42578125" customWidth="1"/>
    <col min="6" max="6" width="13.42578125" customWidth="1"/>
    <col min="7" max="7" width="21" customWidth="1"/>
    <col min="8" max="8" width="32.85546875" customWidth="1"/>
    <col min="9" max="9" width="51.28515625" customWidth="1"/>
  </cols>
  <sheetData>
    <row r="1" spans="1:9" ht="18" thickBot="1" x14ac:dyDescent="0.3">
      <c r="A1" s="49" t="s">
        <v>73</v>
      </c>
      <c r="B1" s="49" t="s">
        <v>74</v>
      </c>
      <c r="C1" s="49" t="s">
        <v>76</v>
      </c>
      <c r="D1" s="49" t="s">
        <v>75</v>
      </c>
      <c r="E1" s="49" t="s">
        <v>77</v>
      </c>
      <c r="F1" s="49" t="s">
        <v>78</v>
      </c>
      <c r="G1" s="49" t="s">
        <v>79</v>
      </c>
      <c r="H1" s="49" t="s">
        <v>80</v>
      </c>
      <c r="I1" s="49" t="s">
        <v>81</v>
      </c>
    </row>
    <row r="2" spans="1:9" ht="15.75" thickBot="1" x14ac:dyDescent="0.3">
      <c r="A2" s="50">
        <v>1</v>
      </c>
      <c r="B2" s="183">
        <v>1</v>
      </c>
      <c r="C2" s="52" t="s">
        <v>83</v>
      </c>
      <c r="D2" s="51" t="s">
        <v>82</v>
      </c>
      <c r="E2" s="53" t="s">
        <v>84</v>
      </c>
      <c r="F2" s="50">
        <v>1994</v>
      </c>
      <c r="G2" s="50">
        <v>1288053475</v>
      </c>
      <c r="H2" s="53" t="s">
        <v>85</v>
      </c>
      <c r="I2" s="54" t="s">
        <v>86</v>
      </c>
    </row>
    <row r="3" spans="1:9" ht="15.75" thickBot="1" x14ac:dyDescent="0.3">
      <c r="A3" s="50">
        <v>2</v>
      </c>
      <c r="B3" s="184"/>
      <c r="C3" s="52" t="s">
        <v>88</v>
      </c>
      <c r="D3" s="51" t="s">
        <v>87</v>
      </c>
      <c r="E3" s="53" t="s">
        <v>89</v>
      </c>
      <c r="F3" s="50">
        <v>1994</v>
      </c>
      <c r="G3" s="50">
        <v>1633438969</v>
      </c>
      <c r="H3" s="53" t="s">
        <v>90</v>
      </c>
      <c r="I3" s="54" t="s">
        <v>91</v>
      </c>
    </row>
    <row r="4" spans="1:9" ht="15.75" thickBot="1" x14ac:dyDescent="0.3">
      <c r="A4" s="50">
        <v>3</v>
      </c>
      <c r="B4" s="184"/>
      <c r="C4" s="52" t="s">
        <v>60</v>
      </c>
      <c r="D4" s="53" t="s">
        <v>92</v>
      </c>
      <c r="E4" s="53" t="s">
        <v>93</v>
      </c>
      <c r="F4" s="50">
        <v>1995</v>
      </c>
      <c r="G4" s="50">
        <v>974096254</v>
      </c>
      <c r="H4" s="53" t="s">
        <v>94</v>
      </c>
      <c r="I4" s="54" t="s">
        <v>95</v>
      </c>
    </row>
    <row r="5" spans="1:9" ht="15.75" thickBot="1" x14ac:dyDescent="0.3">
      <c r="A5" s="50">
        <v>4</v>
      </c>
      <c r="B5" s="184"/>
      <c r="C5" s="52" t="s">
        <v>69</v>
      </c>
      <c r="D5" s="53" t="s">
        <v>96</v>
      </c>
      <c r="E5" s="53" t="s">
        <v>93</v>
      </c>
      <c r="F5" s="50">
        <v>1993</v>
      </c>
      <c r="G5" s="50">
        <v>978827862</v>
      </c>
      <c r="H5" s="53" t="s">
        <v>97</v>
      </c>
      <c r="I5" s="54" t="s">
        <v>98</v>
      </c>
    </row>
    <row r="6" spans="1:9" ht="15.75" thickBot="1" x14ac:dyDescent="0.3">
      <c r="A6" s="50">
        <v>5</v>
      </c>
      <c r="B6" s="184"/>
      <c r="C6" s="52" t="s">
        <v>62</v>
      </c>
      <c r="D6" s="53" t="s">
        <v>99</v>
      </c>
      <c r="E6" s="53" t="s">
        <v>100</v>
      </c>
      <c r="F6" s="50">
        <v>1995</v>
      </c>
      <c r="G6" s="50">
        <v>1674679596</v>
      </c>
      <c r="H6" s="53" t="s">
        <v>101</v>
      </c>
      <c r="I6" s="55"/>
    </row>
    <row r="7" spans="1:9" ht="15.75" thickBot="1" x14ac:dyDescent="0.3">
      <c r="A7" s="50">
        <v>6</v>
      </c>
      <c r="B7" s="184"/>
      <c r="C7" s="52" t="s">
        <v>103</v>
      </c>
      <c r="D7" s="53" t="s">
        <v>102</v>
      </c>
      <c r="E7" s="53" t="s">
        <v>100</v>
      </c>
      <c r="F7" s="50">
        <v>1995</v>
      </c>
      <c r="G7" s="50">
        <v>1655574794</v>
      </c>
      <c r="H7" s="53" t="s">
        <v>104</v>
      </c>
      <c r="I7" s="53" t="s">
        <v>105</v>
      </c>
    </row>
    <row r="8" spans="1:9" ht="15.75" thickBot="1" x14ac:dyDescent="0.3">
      <c r="A8" s="50">
        <v>7</v>
      </c>
      <c r="B8" s="184"/>
      <c r="C8" s="52" t="s">
        <v>67</v>
      </c>
      <c r="D8" s="53" t="s">
        <v>106</v>
      </c>
      <c r="E8" s="53" t="s">
        <v>93</v>
      </c>
      <c r="F8" s="50">
        <v>1993</v>
      </c>
      <c r="G8" s="50">
        <v>1683003943</v>
      </c>
      <c r="H8" s="53" t="s">
        <v>107</v>
      </c>
      <c r="I8" s="54" t="s">
        <v>108</v>
      </c>
    </row>
    <row r="9" spans="1:9" ht="15.75" thickBot="1" x14ac:dyDescent="0.3">
      <c r="A9" s="50">
        <v>8</v>
      </c>
      <c r="B9" s="184"/>
      <c r="C9" s="52" t="s">
        <v>56</v>
      </c>
      <c r="D9" s="53" t="s">
        <v>109</v>
      </c>
      <c r="E9" s="53" t="s">
        <v>93</v>
      </c>
      <c r="F9" s="50">
        <v>1993</v>
      </c>
      <c r="G9" s="50">
        <v>1665048293</v>
      </c>
      <c r="H9" s="53" t="s">
        <v>110</v>
      </c>
      <c r="I9" s="55"/>
    </row>
    <row r="10" spans="1:9" ht="15.75" thickBot="1" x14ac:dyDescent="0.3">
      <c r="A10" s="50">
        <v>9</v>
      </c>
      <c r="B10" s="184"/>
      <c r="C10" s="52" t="s">
        <v>112</v>
      </c>
      <c r="D10" s="53" t="s">
        <v>111</v>
      </c>
      <c r="E10" s="53" t="s">
        <v>113</v>
      </c>
      <c r="F10" s="50">
        <v>1993</v>
      </c>
      <c r="G10" s="50">
        <v>985030426</v>
      </c>
      <c r="H10" s="53" t="s">
        <v>114</v>
      </c>
      <c r="I10" s="54" t="s">
        <v>115</v>
      </c>
    </row>
    <row r="11" spans="1:9" ht="15.75" thickBot="1" x14ac:dyDescent="0.3">
      <c r="A11" s="50">
        <v>10</v>
      </c>
      <c r="B11" s="184"/>
      <c r="C11" s="52" t="s">
        <v>117</v>
      </c>
      <c r="D11" s="53" t="s">
        <v>116</v>
      </c>
      <c r="E11" s="53" t="s">
        <v>113</v>
      </c>
      <c r="F11" s="50">
        <v>1993</v>
      </c>
      <c r="G11" s="50">
        <v>1652527077</v>
      </c>
      <c r="H11" s="53" t="s">
        <v>118</v>
      </c>
      <c r="I11" s="54" t="s">
        <v>119</v>
      </c>
    </row>
    <row r="12" spans="1:9" ht="15.75" thickBot="1" x14ac:dyDescent="0.3">
      <c r="A12" s="50">
        <v>11</v>
      </c>
      <c r="B12" s="185"/>
      <c r="C12" s="52" t="s">
        <v>121</v>
      </c>
      <c r="D12" s="53" t="s">
        <v>120</v>
      </c>
      <c r="E12" s="53" t="s">
        <v>113</v>
      </c>
      <c r="F12" s="50">
        <v>1995</v>
      </c>
      <c r="G12" s="50">
        <v>1669963959</v>
      </c>
      <c r="H12" s="53" t="s">
        <v>122</v>
      </c>
      <c r="I12" s="54" t="s">
        <v>123</v>
      </c>
    </row>
    <row r="13" spans="1:9" ht="15.75" thickBot="1" x14ac:dyDescent="0.3">
      <c r="A13" s="50">
        <v>12</v>
      </c>
      <c r="B13" s="183">
        <v>3</v>
      </c>
      <c r="C13" s="52" t="s">
        <v>58</v>
      </c>
      <c r="D13" s="51" t="s">
        <v>124</v>
      </c>
      <c r="E13" s="53" t="s">
        <v>125</v>
      </c>
      <c r="F13" s="50">
        <v>1993</v>
      </c>
      <c r="G13" s="50">
        <v>1666578193</v>
      </c>
      <c r="H13" s="53" t="s">
        <v>126</v>
      </c>
      <c r="I13" s="54" t="s">
        <v>127</v>
      </c>
    </row>
    <row r="14" spans="1:9" ht="15.75" thickBot="1" x14ac:dyDescent="0.3">
      <c r="A14" s="50">
        <v>13</v>
      </c>
      <c r="B14" s="184"/>
      <c r="C14" s="52" t="s">
        <v>129</v>
      </c>
      <c r="D14" s="53" t="s">
        <v>128</v>
      </c>
      <c r="E14" s="53" t="s">
        <v>113</v>
      </c>
      <c r="F14" s="50">
        <v>1993</v>
      </c>
      <c r="G14" s="50">
        <v>965244893</v>
      </c>
      <c r="H14" s="53" t="s">
        <v>130</v>
      </c>
      <c r="I14" s="54" t="s">
        <v>131</v>
      </c>
    </row>
    <row r="15" spans="1:9" ht="15.75" thickBot="1" x14ac:dyDescent="0.3">
      <c r="A15" s="50">
        <v>14</v>
      </c>
      <c r="B15" s="184"/>
      <c r="C15" s="52" t="s">
        <v>61</v>
      </c>
      <c r="D15" s="53" t="s">
        <v>132</v>
      </c>
      <c r="E15" s="53" t="s">
        <v>125</v>
      </c>
      <c r="F15" s="50">
        <v>1995</v>
      </c>
      <c r="G15" s="50">
        <v>1675223007</v>
      </c>
      <c r="H15" s="53" t="s">
        <v>133</v>
      </c>
      <c r="I15" s="54" t="s">
        <v>134</v>
      </c>
    </row>
    <row r="16" spans="1:9" ht="15.75" thickBot="1" x14ac:dyDescent="0.3">
      <c r="A16" s="50">
        <v>15</v>
      </c>
      <c r="B16" s="184"/>
      <c r="C16" s="52" t="s">
        <v>55</v>
      </c>
      <c r="D16" s="53" t="s">
        <v>135</v>
      </c>
      <c r="E16" s="53" t="s">
        <v>125</v>
      </c>
      <c r="F16" s="50">
        <v>1994</v>
      </c>
      <c r="G16" s="50">
        <v>1664104494</v>
      </c>
      <c r="H16" s="53" t="s">
        <v>136</v>
      </c>
      <c r="I16" s="55"/>
    </row>
    <row r="17" spans="1:9" ht="15.75" thickBot="1" x14ac:dyDescent="0.3">
      <c r="A17" s="50">
        <v>16</v>
      </c>
      <c r="B17" s="184"/>
      <c r="C17" s="52" t="s">
        <v>64</v>
      </c>
      <c r="D17" s="53" t="s">
        <v>137</v>
      </c>
      <c r="E17" s="53" t="s">
        <v>125</v>
      </c>
      <c r="F17" s="50">
        <v>1994</v>
      </c>
      <c r="G17" s="50">
        <v>1662700087</v>
      </c>
      <c r="H17" s="53" t="s">
        <v>138</v>
      </c>
      <c r="I17" s="55"/>
    </row>
    <row r="18" spans="1:9" ht="15.75" thickBot="1" x14ac:dyDescent="0.3">
      <c r="A18" s="50">
        <v>17</v>
      </c>
      <c r="B18" s="185"/>
      <c r="C18" s="52" t="s">
        <v>59</v>
      </c>
      <c r="D18" s="53" t="s">
        <v>139</v>
      </c>
      <c r="E18" s="53" t="s">
        <v>93</v>
      </c>
      <c r="F18" s="50">
        <v>1993</v>
      </c>
      <c r="G18" s="50">
        <v>1687265244</v>
      </c>
      <c r="H18" s="53" t="s">
        <v>140</v>
      </c>
      <c r="I18" s="53" t="s">
        <v>141</v>
      </c>
    </row>
    <row r="19" spans="1:9" ht="15.75" thickBot="1" x14ac:dyDescent="0.3">
      <c r="A19" s="50">
        <v>18</v>
      </c>
      <c r="B19" s="183">
        <v>4</v>
      </c>
      <c r="C19" s="52" t="s">
        <v>57</v>
      </c>
      <c r="D19" s="51" t="s">
        <v>142</v>
      </c>
      <c r="E19" s="53" t="s">
        <v>125</v>
      </c>
      <c r="F19" s="50">
        <v>1994</v>
      </c>
      <c r="G19" s="50">
        <v>1647436899</v>
      </c>
      <c r="H19" s="53" t="s">
        <v>143</v>
      </c>
      <c r="I19" s="55"/>
    </row>
    <row r="20" spans="1:9" ht="15.75" thickBot="1" x14ac:dyDescent="0.3">
      <c r="A20" s="50">
        <v>19</v>
      </c>
      <c r="B20" s="184"/>
      <c r="C20" s="52" t="s">
        <v>68</v>
      </c>
      <c r="D20" s="53" t="s">
        <v>144</v>
      </c>
      <c r="E20" s="53" t="s">
        <v>145</v>
      </c>
      <c r="F20" s="50">
        <v>1993</v>
      </c>
      <c r="G20" s="50">
        <v>1644086461</v>
      </c>
      <c r="H20" s="53" t="s">
        <v>146</v>
      </c>
      <c r="I20" s="55"/>
    </row>
    <row r="21" spans="1:9" ht="15.75" thickBot="1" x14ac:dyDescent="0.3">
      <c r="A21" s="50">
        <v>20</v>
      </c>
      <c r="B21" s="184"/>
      <c r="C21" s="52" t="s">
        <v>66</v>
      </c>
      <c r="D21" s="53" t="s">
        <v>147</v>
      </c>
      <c r="E21" s="53" t="s">
        <v>100</v>
      </c>
      <c r="F21" s="50">
        <v>1994</v>
      </c>
      <c r="G21" s="50">
        <v>1697284482</v>
      </c>
      <c r="H21" s="53" t="s">
        <v>148</v>
      </c>
      <c r="I21" s="55"/>
    </row>
    <row r="22" spans="1:9" ht="15.75" thickBot="1" x14ac:dyDescent="0.3">
      <c r="A22" s="50">
        <v>21</v>
      </c>
      <c r="B22" s="184"/>
      <c r="C22" s="52" t="s">
        <v>65</v>
      </c>
      <c r="D22" s="53" t="s">
        <v>149</v>
      </c>
      <c r="E22" s="53" t="s">
        <v>145</v>
      </c>
      <c r="F22" s="50">
        <v>1994</v>
      </c>
      <c r="G22" s="50">
        <v>1626791178</v>
      </c>
      <c r="H22" s="53" t="s">
        <v>150</v>
      </c>
      <c r="I22" s="55"/>
    </row>
    <row r="23" spans="1:9" ht="15.75" thickBot="1" x14ac:dyDescent="0.3">
      <c r="A23" s="50">
        <v>22</v>
      </c>
      <c r="B23" s="184"/>
      <c r="C23" s="52" t="s">
        <v>54</v>
      </c>
      <c r="D23" s="53" t="s">
        <v>151</v>
      </c>
      <c r="E23" s="53" t="s">
        <v>100</v>
      </c>
      <c r="F23" s="50">
        <v>1994</v>
      </c>
      <c r="G23" s="50">
        <v>1628416340</v>
      </c>
      <c r="H23" s="53" t="s">
        <v>152</v>
      </c>
      <c r="I23" s="55"/>
    </row>
    <row r="24" spans="1:9" ht="15.75" thickBot="1" x14ac:dyDescent="0.3">
      <c r="A24" s="50">
        <v>23</v>
      </c>
      <c r="B24" s="184"/>
      <c r="C24" s="52" t="s">
        <v>154</v>
      </c>
      <c r="D24" s="53" t="s">
        <v>153</v>
      </c>
      <c r="E24" s="53" t="s">
        <v>100</v>
      </c>
      <c r="F24" s="50">
        <v>1994</v>
      </c>
      <c r="G24" s="50">
        <v>1654569712</v>
      </c>
      <c r="H24" s="53" t="s">
        <v>155</v>
      </c>
      <c r="I24" s="55"/>
    </row>
    <row r="25" spans="1:9" ht="15.75" thickBot="1" x14ac:dyDescent="0.3">
      <c r="A25" s="50">
        <v>24</v>
      </c>
      <c r="B25" s="185"/>
      <c r="C25" s="52" t="s">
        <v>63</v>
      </c>
      <c r="D25" s="53" t="s">
        <v>156</v>
      </c>
      <c r="E25" s="53" t="s">
        <v>100</v>
      </c>
      <c r="F25" s="50">
        <v>1994</v>
      </c>
      <c r="G25" s="50">
        <v>1272995696</v>
      </c>
      <c r="H25" s="53" t="s">
        <v>157</v>
      </c>
      <c r="I25" s="55"/>
    </row>
  </sheetData>
  <sheetProtection sheet="1" objects="1" scenarios="1"/>
  <mergeCells count="3">
    <mergeCell ref="B2:B12"/>
    <mergeCell ref="B13:B18"/>
    <mergeCell ref="B19:B25"/>
  </mergeCells>
  <hyperlinks>
    <hyperlink ref="I2" r:id="rId1" display="https://www.google.com/url?q=https://www.facebook.com/oclee.lengteng&amp;usd=2&amp;usg=ALhdy28Xx1QqshwIrt71pe2q8_WUo4JerA"/>
    <hyperlink ref="I3" r:id="rId2" display="https://www.google.com/url?q=https://www.facebook.com/thuthao.nguyen.142035&amp;usd=2&amp;usg=ALhdy2_7DXWpFNmZ7cLN_70-wik6qqPH0Q"/>
    <hyperlink ref="I4" r:id="rId3" display="https://www.google.com/url?q=https://www.facebook.com/meoyeumua.410&amp;usd=2&amp;usg=ALhdy28szR7OUlAJcWwbCEg8vhju7WwPeA"/>
    <hyperlink ref="I5" r:id="rId4" display="https://www.google.com/url?q=https://www.facebook.com/moon.ngo.5477&amp;usd=2&amp;usg=ALhdy2-dzydTpxahebRFxUUhLChJE9ndqQ"/>
    <hyperlink ref="I8" r:id="rId5" display="https://www.google.com/url?q=https://www.facebook.com/keobanhmut&amp;usd=2&amp;usg=ALhdy29_fsEh84focvimD4BuUE2ac4pQDQ"/>
    <hyperlink ref="I10" r:id="rId6" display="https://www.google.com/url?q=https://www.facebook.com/mei.shinonome.3&amp;usd=2&amp;usg=ALhdy2_0f-dELfR1smsWei2vRCZiXF7EjA"/>
    <hyperlink ref="I11" r:id="rId7" display="https://www.google.com/url?q=https://www.facebook.com/tran.thuy.73&amp;usd=2&amp;usg=ALhdy28BPEi3zE-GAj9cSCkXP9CPFI1n8w"/>
    <hyperlink ref="I12" r:id="rId8" display="https://www.google.com/url?q=https://www.facebook.com/tytt.thao%3Ffref%3Dts&amp;usd=2&amp;usg=ALhdy2-ase5xRS7M1G8Fje3UjqUi40W3IA"/>
    <hyperlink ref="I13" r:id="rId9" display="https://www.google.com/url?q=https://www.facebook.com/kanhh93&amp;usd=2&amp;usg=ALhdy29VXBZ85OVQCKUKsblUMGly-vzqJw"/>
    <hyperlink ref="I14" r:id="rId10" display="https://www.google.com/url?q=https://www.facebook.com/vu.vo.980&amp;usd=2&amp;usg=ALhdy29UqrJKuLtejic0LZ9_ytBEAM_e7Q"/>
    <hyperlink ref="I15" r:id="rId11" display="https://www.google.com/url?q=https://www.facebook.com/bim.gajinchuuriki&amp;usd=2&amp;usg=ALhdy28NViO623BMW_PCkHF9RFOWbxVd_g"/>
  </hyperlink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H2"/>
  <sheetViews>
    <sheetView workbookViewId="0">
      <selection activeCell="D10" sqref="D10"/>
    </sheetView>
  </sheetViews>
  <sheetFormatPr defaultColWidth="8.85546875" defaultRowHeight="15" x14ac:dyDescent="0.25"/>
  <sheetData>
    <row r="1" spans="1:8" x14ac:dyDescent="0.25">
      <c r="D1" t="s">
        <v>160</v>
      </c>
      <c r="F1" t="s">
        <v>161</v>
      </c>
      <c r="H1" t="s">
        <v>162</v>
      </c>
    </row>
    <row r="2" spans="1:8" x14ac:dyDescent="0.25">
      <c r="A2" t="s">
        <v>159</v>
      </c>
      <c r="B2">
        <f>SUM(DoanhThuMoi!N5,DoanhThuMoi!U5,DoanhThuMoi!AB5)</f>
        <v>79623.5</v>
      </c>
      <c r="C2">
        <f>SUM(DoanhThuMoi!O5,DoanhThuMoi!V5,DoanhThuMoi!AC5)</f>
        <v>970</v>
      </c>
      <c r="D2" s="64"/>
      <c r="E2" s="64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BanBuon</vt:lpstr>
      <vt:lpstr>CS1</vt:lpstr>
      <vt:lpstr>CS3</vt:lpstr>
      <vt:lpstr>CS4</vt:lpstr>
      <vt:lpstr>TongHopBanBuon</vt:lpstr>
      <vt:lpstr>Tong Hop CS1</vt:lpstr>
      <vt:lpstr>Tong Hop CS3</vt:lpstr>
      <vt:lpstr>Tong Hop CS4</vt:lpstr>
      <vt:lpstr>DoanhThuThang</vt:lpstr>
      <vt:lpstr>DoanhThuMoi</vt:lpstr>
      <vt:lpstr>Master</vt:lpstr>
      <vt:lpstr>So Lieu CS3</vt:lpstr>
      <vt:lpstr>So Lieu CS4</vt:lpstr>
      <vt:lpstr>BDS</vt:lpstr>
      <vt:lpstr>BBS</vt:lpstr>
      <vt:lpstr>BCS</vt:lpstr>
      <vt:lpstr>DSNhanVien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Hiep Le</dc:creator>
  <cp:lastModifiedBy>Admin</cp:lastModifiedBy>
  <dcterms:created xsi:type="dcterms:W3CDTF">2014-02-07T11:51:10Z</dcterms:created>
  <dcterms:modified xsi:type="dcterms:W3CDTF">2014-07-02T17:00:58Z</dcterms:modified>
</cp:coreProperties>
</file>