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D:\Dropbox\Developing Project\DataPuller\Cau Giay\Thang 6\"/>
    </mc:Choice>
  </mc:AlternateContent>
  <bookViews>
    <workbookView xWindow="0" yWindow="0" windowWidth="20640" windowHeight="11685" firstSheet="1" activeTab="2"/>
  </bookViews>
  <sheets>
    <sheet name="NhapNhanh" sheetId="4" state="hidden" r:id="rId1"/>
    <sheet name="BanLe" sheetId="1" r:id="rId2"/>
    <sheet name="TongHop" sheetId="3" r:id="rId3"/>
    <sheet name="Combo" sheetId="6" state="hidden" r:id="rId4"/>
    <sheet name="DSSP" sheetId="2" r:id="rId5"/>
  </sheets>
  <functionGroups builtInGroupCount="18"/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" i="1" l="1"/>
  <c r="F4" i="1"/>
  <c r="I11" i="1"/>
  <c r="I17" i="1"/>
</calcChain>
</file>

<file path=xl/sharedStrings.xml><?xml version="1.0" encoding="utf-8"?>
<sst xmlns="http://schemas.openxmlformats.org/spreadsheetml/2006/main" count="4495" uniqueCount="733">
  <si>
    <t>Mã SP</t>
  </si>
  <si>
    <t>Tên sản phẩm</t>
  </si>
  <si>
    <t>A025</t>
  </si>
  <si>
    <t>Gà bông</t>
  </si>
  <si>
    <t>Ngày</t>
  </si>
  <si>
    <t>Chiết khấu</t>
  </si>
  <si>
    <t>A026</t>
  </si>
  <si>
    <t>Dép bốn lá</t>
  </si>
  <si>
    <t>A028</t>
  </si>
  <si>
    <t>Cá voi</t>
  </si>
  <si>
    <t>A041</t>
  </si>
  <si>
    <t>Cup cake</t>
  </si>
  <si>
    <t>A042</t>
  </si>
  <si>
    <t>Dino</t>
  </si>
  <si>
    <t>STT</t>
  </si>
  <si>
    <t>Mã</t>
  </si>
  <si>
    <t>Tên Sp</t>
  </si>
  <si>
    <t>Số lượng</t>
  </si>
  <si>
    <t>Đơn giá</t>
  </si>
  <si>
    <t>Thành tiền</t>
  </si>
  <si>
    <t>A049</t>
  </si>
  <si>
    <t xml:space="preserve">Key - lock </t>
  </si>
  <si>
    <t>A050</t>
  </si>
  <si>
    <t>XX and XY</t>
  </si>
  <si>
    <t>A051</t>
  </si>
  <si>
    <t>Kem đôi</t>
  </si>
  <si>
    <t>A052</t>
  </si>
  <si>
    <t>Nấm đôi</t>
  </si>
  <si>
    <t>A054</t>
  </si>
  <si>
    <t>Cáo đôi</t>
  </si>
  <si>
    <t>A055</t>
  </si>
  <si>
    <t>Cơm nắm</t>
  </si>
  <si>
    <t>A056</t>
  </si>
  <si>
    <t>Ong</t>
  </si>
  <si>
    <t>A057</t>
  </si>
  <si>
    <t>Cỏ 4 lá</t>
  </si>
  <si>
    <t>A058</t>
  </si>
  <si>
    <t>Ếch</t>
  </si>
  <si>
    <t>A059</t>
  </si>
  <si>
    <t>Bọ dừa</t>
  </si>
  <si>
    <t>A060</t>
  </si>
  <si>
    <t>Cánh cụt</t>
  </si>
  <si>
    <t>A061</t>
  </si>
  <si>
    <t>Gấu trúc</t>
  </si>
  <si>
    <t>A062</t>
  </si>
  <si>
    <t>Hươu</t>
  </si>
  <si>
    <t>A063</t>
  </si>
  <si>
    <t>Lừa</t>
  </si>
  <si>
    <t>A064</t>
  </si>
  <si>
    <t>Bánh sữa</t>
  </si>
  <si>
    <t>A069</t>
  </si>
  <si>
    <t>Bánh kem</t>
  </si>
  <si>
    <t>A071</t>
  </si>
  <si>
    <t>Bao tay</t>
  </si>
  <si>
    <t>A073</t>
  </si>
  <si>
    <t>Cá heo</t>
  </si>
  <si>
    <t>A075</t>
  </si>
  <si>
    <t>Bánh kẹp trứng</t>
  </si>
  <si>
    <t>A076</t>
  </si>
  <si>
    <t>Búp bê Nga</t>
  </si>
  <si>
    <t>A077</t>
  </si>
  <si>
    <t>Chim</t>
  </si>
  <si>
    <t>A079</t>
  </si>
  <si>
    <t>Trăng sao</t>
  </si>
  <si>
    <t>A080</t>
  </si>
  <si>
    <t>Chuột cheese</t>
  </si>
  <si>
    <t>A085</t>
  </si>
  <si>
    <t>Trà sữa</t>
  </si>
  <si>
    <t>A090</t>
  </si>
  <si>
    <t>Hamster</t>
  </si>
  <si>
    <t>A091</t>
  </si>
  <si>
    <t>Cánh cụt bơi</t>
  </si>
  <si>
    <t>A092</t>
  </si>
  <si>
    <t>Heo đất</t>
  </si>
  <si>
    <t>A121</t>
  </si>
  <si>
    <t>Gà mẹ con</t>
  </si>
  <si>
    <t>A122</t>
  </si>
  <si>
    <t>Ếch kêu mưa</t>
  </si>
  <si>
    <t>A123</t>
  </si>
  <si>
    <t>Tê giác tắm</t>
  </si>
  <si>
    <t>A124</t>
  </si>
  <si>
    <t>Cá mú</t>
  </si>
  <si>
    <t>A125</t>
  </si>
  <si>
    <t>Ỉn hồng</t>
  </si>
  <si>
    <t>A126</t>
  </si>
  <si>
    <t>A127</t>
  </si>
  <si>
    <t>Gối bốn lá</t>
  </si>
  <si>
    <t>A128</t>
  </si>
  <si>
    <t>A129</t>
  </si>
  <si>
    <t>Chó</t>
  </si>
  <si>
    <t>A130</t>
  </si>
  <si>
    <t>A131</t>
  </si>
  <si>
    <t>A132</t>
  </si>
  <si>
    <t>Bánh cuộn</t>
  </si>
  <si>
    <t>A133</t>
  </si>
  <si>
    <t>Sushi</t>
  </si>
  <si>
    <t>A134</t>
  </si>
  <si>
    <t>Caramen</t>
  </si>
  <si>
    <t>A135</t>
  </si>
  <si>
    <t>Bánh quy</t>
  </si>
  <si>
    <t>A136</t>
  </si>
  <si>
    <t>Chuột</t>
  </si>
  <si>
    <t>A137</t>
  </si>
  <si>
    <t>A138</t>
  </si>
  <si>
    <t>Khỉ yoyo cici</t>
  </si>
  <si>
    <t>A139</t>
  </si>
  <si>
    <t>Cú</t>
  </si>
  <si>
    <t>A140</t>
  </si>
  <si>
    <t>Domokun</t>
  </si>
  <si>
    <t>A141</t>
  </si>
  <si>
    <t>Mèo</t>
  </si>
  <si>
    <t>A142</t>
  </si>
  <si>
    <t>Bọt biển</t>
  </si>
  <si>
    <t>A143</t>
  </si>
  <si>
    <t>Bạch Dương</t>
  </si>
  <si>
    <t>A144</t>
  </si>
  <si>
    <t>Kim Ngưu</t>
  </si>
  <si>
    <t>A145</t>
  </si>
  <si>
    <t>Sư Tử</t>
  </si>
  <si>
    <t>A146</t>
  </si>
  <si>
    <t>Song Tử</t>
  </si>
  <si>
    <t>A147</t>
  </si>
  <si>
    <t>Cự Giải</t>
  </si>
  <si>
    <t>A148</t>
  </si>
  <si>
    <t xml:space="preserve">Xử Nữ </t>
  </si>
  <si>
    <t>A149</t>
  </si>
  <si>
    <t>Thiên Bình</t>
  </si>
  <si>
    <t>A150</t>
  </si>
  <si>
    <t>Bọ Cạp</t>
  </si>
  <si>
    <t>A151</t>
  </si>
  <si>
    <t>Nhân Mã</t>
  </si>
  <si>
    <t>A152</t>
  </si>
  <si>
    <t>Ma Kết</t>
  </si>
  <si>
    <t>A153</t>
  </si>
  <si>
    <t>Bảo Bình</t>
  </si>
  <si>
    <t>A154</t>
  </si>
  <si>
    <t>Song Ngư</t>
  </si>
  <si>
    <t>A155</t>
  </si>
  <si>
    <t>Phao bơi và mỏ neo</t>
  </si>
  <si>
    <t>A156</t>
  </si>
  <si>
    <t>Hải cẩu</t>
  </si>
  <si>
    <t>A157</t>
  </si>
  <si>
    <t>Cá vàng</t>
  </si>
  <si>
    <t>A158</t>
  </si>
  <si>
    <t>Dâu Tây</t>
  </si>
  <si>
    <t>A159</t>
  </si>
  <si>
    <t>Nấm rừng</t>
  </si>
  <si>
    <t>A160</t>
  </si>
  <si>
    <t>Đầu lâu</t>
  </si>
  <si>
    <t>A161</t>
  </si>
  <si>
    <t>Tuần lộc kute</t>
  </si>
  <si>
    <t>A162</t>
  </si>
  <si>
    <t>Bóng Noel</t>
  </si>
  <si>
    <t>A163</t>
  </si>
  <si>
    <t>Tuần lộc đỏ</t>
  </si>
  <si>
    <t>A164</t>
  </si>
  <si>
    <t>Quả cầu Noel</t>
  </si>
  <si>
    <t>A165</t>
  </si>
  <si>
    <t>Găng tất Noel</t>
  </si>
  <si>
    <t>A093</t>
  </si>
  <si>
    <t>Cây thông</t>
  </si>
  <si>
    <t>A094</t>
  </si>
  <si>
    <t>Người bánh gừng</t>
  </si>
  <si>
    <t>A095</t>
  </si>
  <si>
    <t>Người tuyết</t>
  </si>
  <si>
    <t>A098</t>
  </si>
  <si>
    <t>Kẹo que</t>
  </si>
  <si>
    <t>A101</t>
  </si>
  <si>
    <t>Ông già Noel</t>
  </si>
  <si>
    <t>B01</t>
  </si>
  <si>
    <t>Ấm trà tình yêu</t>
  </si>
  <si>
    <t>B02</t>
  </si>
  <si>
    <t>Lò nướng kitty</t>
  </si>
  <si>
    <t>B03</t>
  </si>
  <si>
    <t>Cafe hoa quả</t>
  </si>
  <si>
    <t>B04</t>
  </si>
  <si>
    <t>Fastfood</t>
  </si>
  <si>
    <t>B07</t>
  </si>
  <si>
    <t>Bánh dâu</t>
  </si>
  <si>
    <t>B08</t>
  </si>
  <si>
    <t>Cơm Nhật</t>
  </si>
  <si>
    <t>B09</t>
  </si>
  <si>
    <t>Pizza hoa quả</t>
  </si>
  <si>
    <t>B10</t>
  </si>
  <si>
    <t>Bánh trái cây</t>
  </si>
  <si>
    <t>B11</t>
  </si>
  <si>
    <t>B12</t>
  </si>
  <si>
    <t>Bánh chocolate</t>
  </si>
  <si>
    <t>B13</t>
  </si>
  <si>
    <t>Cheese cake</t>
  </si>
  <si>
    <t>B14</t>
  </si>
  <si>
    <t>Tiramisu</t>
  </si>
  <si>
    <t>B15</t>
  </si>
  <si>
    <t>Hộp chocolate</t>
  </si>
  <si>
    <t>C01</t>
  </si>
  <si>
    <t>Thiệp</t>
  </si>
  <si>
    <t>R000</t>
  </si>
  <si>
    <t>Rollygami làm sẵn</t>
  </si>
  <si>
    <t>R001</t>
  </si>
  <si>
    <t>R002</t>
  </si>
  <si>
    <t>R003</t>
  </si>
  <si>
    <t>Gấu Panda</t>
  </si>
  <si>
    <t>R004</t>
  </si>
  <si>
    <t>Angry bird đen</t>
  </si>
  <si>
    <t>R005</t>
  </si>
  <si>
    <t>Angry bird đỏ</t>
  </si>
  <si>
    <t>R006</t>
  </si>
  <si>
    <t>Angry bird trắng</t>
  </si>
  <si>
    <t>R007</t>
  </si>
  <si>
    <t>Angry bird vàng</t>
  </si>
  <si>
    <t>R008</t>
  </si>
  <si>
    <t>Rùa</t>
  </si>
  <si>
    <t>VD1</t>
  </si>
  <si>
    <t>Vải dạ 10x10</t>
  </si>
  <si>
    <t>VD2</t>
  </si>
  <si>
    <t>Vải dạ 18x18</t>
  </si>
  <si>
    <t>VD3</t>
  </si>
  <si>
    <t>Vải dạ 30x30</t>
  </si>
  <si>
    <t>VD4</t>
  </si>
  <si>
    <t>Vải dạ 45x45</t>
  </si>
  <si>
    <t>VD5</t>
  </si>
  <si>
    <t>Vải dạ 90x90</t>
  </si>
  <si>
    <t>VD6</t>
  </si>
  <si>
    <t>Móc điện thoại</t>
  </si>
  <si>
    <t>VD7</t>
  </si>
  <si>
    <t>Móc khóa</t>
  </si>
  <si>
    <t>VD8</t>
  </si>
  <si>
    <t>Keo nến</t>
  </si>
  <si>
    <t>VD9</t>
  </si>
  <si>
    <t>Set chỉ</t>
  </si>
  <si>
    <t>VD10</t>
  </si>
  <si>
    <t>Chỉ đơn</t>
  </si>
  <si>
    <t>VD11</t>
  </si>
  <si>
    <t>Bông túi</t>
  </si>
  <si>
    <t>VD12</t>
  </si>
  <si>
    <t>Bông nửa cân</t>
  </si>
  <si>
    <t>VD13</t>
  </si>
  <si>
    <t>Bông cân</t>
  </si>
  <si>
    <t>VD14</t>
  </si>
  <si>
    <t>Mắt nhựa</t>
  </si>
  <si>
    <t>VD15</t>
  </si>
  <si>
    <t>Hoa tai móc ĐÔI</t>
  </si>
  <si>
    <t>VD16</t>
  </si>
  <si>
    <t>Đế huy hiệu</t>
  </si>
  <si>
    <t>DS01</t>
  </si>
  <si>
    <t>Đất sét Malay</t>
  </si>
  <si>
    <t>DS02</t>
  </si>
  <si>
    <t>Đất sét Thái</t>
  </si>
  <si>
    <t>DS03</t>
  </si>
  <si>
    <t>Đất sét Hàn Quốc</t>
  </si>
  <si>
    <t>DS04</t>
  </si>
  <si>
    <t>Túi khoen 10</t>
  </si>
  <si>
    <t>DS05</t>
  </si>
  <si>
    <t>Kem ủ</t>
  </si>
  <si>
    <t>DS06</t>
  </si>
  <si>
    <t>Kem mềm</t>
  </si>
  <si>
    <t>DS07</t>
  </si>
  <si>
    <t>Keo sữa</t>
  </si>
  <si>
    <t>DS08</t>
  </si>
  <si>
    <t>Dung dịch đất sét</t>
  </si>
  <si>
    <t>DS09</t>
  </si>
  <si>
    <t>Đầu tạo hình</t>
  </si>
  <si>
    <t>DS10</t>
  </si>
  <si>
    <t>Sơn bóng</t>
  </si>
  <si>
    <t>DS11</t>
  </si>
  <si>
    <t>Set màu</t>
  </si>
  <si>
    <t>DS12</t>
  </si>
  <si>
    <t>Bút vẽ</t>
  </si>
  <si>
    <t>DS13</t>
  </si>
  <si>
    <t>Đất sét hoa quả</t>
  </si>
  <si>
    <t>DS14</t>
  </si>
  <si>
    <t>Đất sét hoa quả thanh</t>
  </si>
  <si>
    <t>DS15</t>
  </si>
  <si>
    <t>Lọ thủy tinh</t>
  </si>
  <si>
    <t>DS16</t>
  </si>
  <si>
    <t>Combo classic</t>
  </si>
  <si>
    <t>DS17</t>
  </si>
  <si>
    <t>Combo bánh</t>
  </si>
  <si>
    <t>DS18</t>
  </si>
  <si>
    <t>Tấm phơi</t>
  </si>
  <si>
    <t>DS19</t>
  </si>
  <si>
    <t>Khuôn dập chữ số</t>
  </si>
  <si>
    <t>DS20</t>
  </si>
  <si>
    <t>Cây lăn</t>
  </si>
  <si>
    <t>GC01</t>
  </si>
  <si>
    <t>Dây cói</t>
  </si>
  <si>
    <t>GC02</t>
  </si>
  <si>
    <t>Dây da lộn</t>
  </si>
  <si>
    <t>GC03</t>
  </si>
  <si>
    <t>Dây xích</t>
  </si>
  <si>
    <t>GC04</t>
  </si>
  <si>
    <t>Dây xích vàng</t>
  </si>
  <si>
    <t>GC05</t>
  </si>
  <si>
    <t>Khoen tròn (lạng)</t>
  </si>
  <si>
    <t>GC06</t>
  </si>
  <si>
    <t>Mặt lớn</t>
  </si>
  <si>
    <t>GC07</t>
  </si>
  <si>
    <t>Mặt vừa</t>
  </si>
  <si>
    <t>GC08</t>
  </si>
  <si>
    <t>Mặt nhỏ</t>
  </si>
  <si>
    <t>GC09</t>
  </si>
  <si>
    <t>Mặt cung</t>
  </si>
  <si>
    <t>GC10</t>
  </si>
  <si>
    <t>Bộ 12 cung</t>
  </si>
  <si>
    <t>GC11</t>
  </si>
  <si>
    <t>Kẹp ngang to (số 4)</t>
  </si>
  <si>
    <t>GC12</t>
  </si>
  <si>
    <t>Kẹp ngang nhỏ(số 3)</t>
  </si>
  <si>
    <t>GC21</t>
  </si>
  <si>
    <t>Kem ngang vừa (số 2)</t>
  </si>
  <si>
    <t>GC13</t>
  </si>
  <si>
    <t>Kẹp dọc (số 1)</t>
  </si>
  <si>
    <t>GC14</t>
  </si>
  <si>
    <t>Càng cua</t>
  </si>
  <si>
    <t>GC15</t>
  </si>
  <si>
    <t xml:space="preserve">Chuông bạc </t>
  </si>
  <si>
    <t>GC16</t>
  </si>
  <si>
    <t>Chuông giả cổ</t>
  </si>
  <si>
    <t>GC17</t>
  </si>
  <si>
    <t>Móc điện thoại giả cổ</t>
  </si>
  <si>
    <t>GC18</t>
  </si>
  <si>
    <t>Đinh tán</t>
  </si>
  <si>
    <t>GC19</t>
  </si>
  <si>
    <t>Mặt chữ</t>
  </si>
  <si>
    <t>GC20</t>
  </si>
  <si>
    <t>Mặt số</t>
  </si>
  <si>
    <t>GC101</t>
  </si>
  <si>
    <t>Bông tuyết</t>
  </si>
  <si>
    <t>GC102</t>
  </si>
  <si>
    <t>Chùm chìa khoá</t>
  </si>
  <si>
    <t>GC103</t>
  </si>
  <si>
    <t>Chìa khoá</t>
  </si>
  <si>
    <t>GC104</t>
  </si>
  <si>
    <t>Ổ khoá</t>
  </si>
  <si>
    <t>GC105</t>
  </si>
  <si>
    <t>Nhẫn cú</t>
  </si>
  <si>
    <t>GC106</t>
  </si>
  <si>
    <t>Đôi cú trái tim</t>
  </si>
  <si>
    <t>GC107</t>
  </si>
  <si>
    <t>Mặt giả cổ mỏ neo</t>
  </si>
  <si>
    <t>GC108</t>
  </si>
  <si>
    <t>Mặt giả cổ mèo</t>
  </si>
  <si>
    <t>GC109</t>
  </si>
  <si>
    <t>Đèn dầu thần</t>
  </si>
  <si>
    <t>GC110</t>
  </si>
  <si>
    <t>Máy ảnh cổ</t>
  </si>
  <si>
    <t>GC111</t>
  </si>
  <si>
    <t>Máy ảnh hiện đại</t>
  </si>
  <si>
    <t>GC112</t>
  </si>
  <si>
    <t>Giày Converse</t>
  </si>
  <si>
    <t>GC113</t>
  </si>
  <si>
    <t>Bánh Happy Birthday</t>
  </si>
  <si>
    <t>GC114</t>
  </si>
  <si>
    <t>Chữ Love</t>
  </si>
  <si>
    <t>GC115</t>
  </si>
  <si>
    <t>Chó con</t>
  </si>
  <si>
    <t>GC116</t>
  </si>
  <si>
    <t>Cỏ bốn lá nhỏ</t>
  </si>
  <si>
    <t>GC117</t>
  </si>
  <si>
    <t>Cây nhiều lá</t>
  </si>
  <si>
    <t>GC118</t>
  </si>
  <si>
    <t>Cánh bướm</t>
  </si>
  <si>
    <t>GC119</t>
  </si>
  <si>
    <t>Ngôi sao nhỏ</t>
  </si>
  <si>
    <t>GC120</t>
  </si>
  <si>
    <t>Ngôi sao nổi</t>
  </si>
  <si>
    <t>GC121</t>
  </si>
  <si>
    <t>Cánh thiên thần</t>
  </si>
  <si>
    <t>GC122</t>
  </si>
  <si>
    <t>Thư trái tim</t>
  </si>
  <si>
    <t>GC123</t>
  </si>
  <si>
    <t>Hai chú chim</t>
  </si>
  <si>
    <t>GC124</t>
  </si>
  <si>
    <t>Tháp Eiffel mini</t>
  </si>
  <si>
    <t>GC125</t>
  </si>
  <si>
    <t>Thỏ con tai dài</t>
  </si>
  <si>
    <t>GC126</t>
  </si>
  <si>
    <t>Móc có hoa văn</t>
  </si>
  <si>
    <t>GC127</t>
  </si>
  <si>
    <t>Ghế tiểu thư mini</t>
  </si>
  <si>
    <t>GC128</t>
  </si>
  <si>
    <t>Love heart</t>
  </si>
  <si>
    <t>GC129</t>
  </si>
  <si>
    <t>Vespa mini</t>
  </si>
  <si>
    <t>GC130</t>
  </si>
  <si>
    <t>Trái tim có cánh</t>
  </si>
  <si>
    <t>GC131</t>
  </si>
  <si>
    <t>Mề đay chữ ovan</t>
  </si>
  <si>
    <t>GC132</t>
  </si>
  <si>
    <t>Trái tim cách điệu</t>
  </si>
  <si>
    <t>GC133</t>
  </si>
  <si>
    <t>Chìa khóa hoa</t>
  </si>
  <si>
    <t>GC134</t>
  </si>
  <si>
    <t>GC135</t>
  </si>
  <si>
    <t>Đôi cánh</t>
  </si>
  <si>
    <t>GC136</t>
  </si>
  <si>
    <t>Ấm trà</t>
  </si>
  <si>
    <t>GC137</t>
  </si>
  <si>
    <t>Chìa khoá đôi</t>
  </si>
  <si>
    <t>GC138</t>
  </si>
  <si>
    <t>Vòng tròn peace</t>
  </si>
  <si>
    <t>GC139</t>
  </si>
  <si>
    <t>Be proud</t>
  </si>
  <si>
    <t>GC140</t>
  </si>
  <si>
    <t>Vòng tròn 3 lá đeo cổ</t>
  </si>
  <si>
    <t>GC141</t>
  </si>
  <si>
    <t>Tháp eiffel 1 mặt</t>
  </si>
  <si>
    <t>GC142</t>
  </si>
  <si>
    <t>Bánh lái</t>
  </si>
  <si>
    <t>GC143</t>
  </si>
  <si>
    <t>Mỏ neo cách điệu</t>
  </si>
  <si>
    <t>CT01</t>
  </si>
  <si>
    <t>Chỉ DC</t>
  </si>
  <si>
    <t>VN01</t>
  </si>
  <si>
    <t>Vải mét</t>
  </si>
  <si>
    <t>VN02</t>
  </si>
  <si>
    <t>Vải nỉ làm gối 1.6 x 0.5m</t>
  </si>
  <si>
    <t>VN03</t>
  </si>
  <si>
    <t>Vải nỉ làm gối 1.6 x 1m</t>
  </si>
  <si>
    <t>VN04</t>
  </si>
  <si>
    <t>Vải 40x40</t>
  </si>
  <si>
    <t>VN05</t>
  </si>
  <si>
    <t>Vải vụn 1 LẠNG</t>
  </si>
  <si>
    <t>VN06</t>
  </si>
  <si>
    <t>Khóa 50cm nổi</t>
  </si>
  <si>
    <t>VN07</t>
  </si>
  <si>
    <t>Khóa 40cm nổi</t>
  </si>
  <si>
    <t>VN08</t>
  </si>
  <si>
    <t>Khóa 50cm nổi màu</t>
  </si>
  <si>
    <t>VN09</t>
  </si>
  <si>
    <t>Khóa 25cm chìm trắng</t>
  </si>
  <si>
    <t>VN10</t>
  </si>
  <si>
    <t>Khóa 25cm chìm màu</t>
  </si>
  <si>
    <t>VN11</t>
  </si>
  <si>
    <t>Chun 1m</t>
  </si>
  <si>
    <t>VN12</t>
  </si>
  <si>
    <t>Vải lót 1m</t>
  </si>
  <si>
    <t>VN13</t>
  </si>
  <si>
    <t>Vải lót 0.5m</t>
  </si>
  <si>
    <t>CB01</t>
  </si>
  <si>
    <t>20' basic</t>
  </si>
  <si>
    <t>CB02</t>
  </si>
  <si>
    <t>20' advanced</t>
  </si>
  <si>
    <t>CB03</t>
  </si>
  <si>
    <t>3D basic</t>
  </si>
  <si>
    <t>CB04</t>
  </si>
  <si>
    <t>3D advanced</t>
  </si>
  <si>
    <t>CB05</t>
  </si>
  <si>
    <t>Vải dạ nỉ basic</t>
  </si>
  <si>
    <t>CB06</t>
  </si>
  <si>
    <t>Vải dạ nỉ plus</t>
  </si>
  <si>
    <t>CB07</t>
  </si>
  <si>
    <t>Vải dạ nỉ advanced</t>
  </si>
  <si>
    <t>CB08</t>
  </si>
  <si>
    <t>Vải nỉ HQ basic</t>
  </si>
  <si>
    <t>CB09</t>
  </si>
  <si>
    <t>Vải nỉ HQ advanced</t>
  </si>
  <si>
    <t>CB10</t>
  </si>
  <si>
    <t>Mặt giả cổ hoàng đạo</t>
  </si>
  <si>
    <t>CB11</t>
  </si>
  <si>
    <t>Mặt giả cổ chữ</t>
  </si>
  <si>
    <t>CB12</t>
  </si>
  <si>
    <t>Mặt giả cổ số</t>
  </si>
  <si>
    <t>Giá bán</t>
  </si>
  <si>
    <t>GC22</t>
  </si>
  <si>
    <t>Kẹp số 5</t>
  </si>
  <si>
    <t>GC23</t>
  </si>
  <si>
    <t>Bộ 22 chữ</t>
  </si>
  <si>
    <t>GC24</t>
  </si>
  <si>
    <t>Bộ 10 số</t>
  </si>
  <si>
    <t>GC144</t>
  </si>
  <si>
    <t>Vương miện</t>
  </si>
  <si>
    <t>GC145</t>
  </si>
  <si>
    <t>Cú đặc có cành cây</t>
  </si>
  <si>
    <t>GC146</t>
  </si>
  <si>
    <t>Cú đặc xòe cánh</t>
  </si>
  <si>
    <t>GC147</t>
  </si>
  <si>
    <t>Cú đặc mắt tròn</t>
  </si>
  <si>
    <t>GC148</t>
  </si>
  <si>
    <t>Ô dài 1 mặt</t>
  </si>
  <si>
    <t>GC149</t>
  </si>
  <si>
    <t>Ô ngắn</t>
  </si>
  <si>
    <t>GC150</t>
  </si>
  <si>
    <t>Lược</t>
  </si>
  <si>
    <t>GC151</t>
  </si>
  <si>
    <t>Quạt</t>
  </si>
  <si>
    <t>GC152</t>
  </si>
  <si>
    <t>Điện thoại bàn</t>
  </si>
  <si>
    <t>GC153</t>
  </si>
  <si>
    <t>Nấm</t>
  </si>
  <si>
    <t>GC154</t>
  </si>
  <si>
    <t>GC155</t>
  </si>
  <si>
    <t>Thỏ nhắm mắt</t>
  </si>
  <si>
    <t>GC156</t>
  </si>
  <si>
    <t>Tàu hỏa</t>
  </si>
  <si>
    <t>GC157</t>
  </si>
  <si>
    <t>Cánh chim</t>
  </si>
  <si>
    <t>GC158</t>
  </si>
  <si>
    <t>Sao 1 mặt có vân</t>
  </si>
  <si>
    <t>GC159</t>
  </si>
  <si>
    <t>Trái tim Thank u nhỏ</t>
  </si>
  <si>
    <t>GC160</t>
  </si>
  <si>
    <t>Ovan made with love</t>
  </si>
  <si>
    <t>GC161</t>
  </si>
  <si>
    <t>Sao mặt cười nhỏ</t>
  </si>
  <si>
    <t>TR01</t>
  </si>
  <si>
    <t>Tranh tô màu cỡ đại</t>
  </si>
  <si>
    <t>TR02</t>
  </si>
  <si>
    <t>Tranh tô màu cỡ nhỏ</t>
  </si>
  <si>
    <t>Mặt mắt sao tròn</t>
  </si>
  <si>
    <t>Tổng kế toán</t>
  </si>
  <si>
    <t>Thực thu:</t>
  </si>
  <si>
    <t>Shop/HN/TI</t>
  </si>
  <si>
    <t>Ghi chú</t>
  </si>
  <si>
    <t>Người ghi</t>
  </si>
  <si>
    <t>Tên mặt hàng</t>
  </si>
  <si>
    <t>Doanh thu kế toán</t>
  </si>
  <si>
    <t>Thực thu</t>
  </si>
  <si>
    <t>Mã Combo</t>
  </si>
  <si>
    <t>Mã sp có trong combo</t>
  </si>
  <si>
    <t>Số lượng sp có trong combo</t>
  </si>
  <si>
    <t>Tên sp (Ko bắt buộc)</t>
  </si>
  <si>
    <t>Ghi chú (ko bắt buộc)</t>
  </si>
  <si>
    <t>Combo classic gồm: ĐS malay</t>
  </si>
  <si>
    <t>Túi khoen</t>
  </si>
  <si>
    <t>Khoen</t>
  </si>
  <si>
    <t>Set pha màu</t>
  </si>
  <si>
    <t>Combo Chef gồm: ĐS Hàn</t>
  </si>
  <si>
    <t>Dung dịch</t>
  </si>
  <si>
    <t>dđầu bắt kem</t>
  </si>
  <si>
    <t>kem mềm</t>
  </si>
  <si>
    <t>kem ủ</t>
  </si>
  <si>
    <t>keo sữa</t>
  </si>
  <si>
    <t>bút vẽ</t>
  </si>
  <si>
    <t>tấm phơi</t>
  </si>
  <si>
    <t>set màu</t>
  </si>
  <si>
    <t>Vải nỉ 1.6x0.5m =&gt; 0.5 vải 1 mét</t>
  </si>
  <si>
    <t>2 mặt hàng này giống nhau?</t>
  </si>
  <si>
    <t>Vải lót 0.5m =&gt; 0.5 vải lót 1 mét</t>
  </si>
  <si>
    <t>Bông nửa cân = 0.5 Bông 1 cân</t>
  </si>
  <si>
    <t>V1</t>
  </si>
  <si>
    <t>V10</t>
  </si>
  <si>
    <t>V11</t>
  </si>
  <si>
    <t>V14</t>
  </si>
  <si>
    <t>V16</t>
  </si>
  <si>
    <t>V19</t>
  </si>
  <si>
    <t>V20</t>
  </si>
  <si>
    <t>V22</t>
  </si>
  <si>
    <t>V25</t>
  </si>
  <si>
    <t>V26</t>
  </si>
  <si>
    <t>V28</t>
  </si>
  <si>
    <t>V32</t>
  </si>
  <si>
    <t>V34</t>
  </si>
  <si>
    <t>V36</t>
  </si>
  <si>
    <t>V37</t>
  </si>
  <si>
    <t>V38</t>
  </si>
  <si>
    <t>V40</t>
  </si>
  <si>
    <t>V42</t>
  </si>
  <si>
    <t>V43</t>
  </si>
  <si>
    <t>V44</t>
  </si>
  <si>
    <t>V46</t>
  </si>
  <si>
    <t>V47</t>
  </si>
  <si>
    <t>V49</t>
  </si>
  <si>
    <t>V50</t>
  </si>
  <si>
    <t>V8</t>
  </si>
  <si>
    <t>BC1</t>
  </si>
  <si>
    <t>BC2</t>
  </si>
  <si>
    <t>BC3</t>
  </si>
  <si>
    <t>BC4</t>
  </si>
  <si>
    <t>BC5</t>
  </si>
  <si>
    <t>BC6</t>
  </si>
  <si>
    <t>BC7</t>
  </si>
  <si>
    <t>BC8</t>
  </si>
  <si>
    <t>BC9</t>
  </si>
  <si>
    <t>BC10</t>
  </si>
  <si>
    <t>BC11</t>
  </si>
  <si>
    <t>BC12</t>
  </si>
  <si>
    <t>BC13</t>
  </si>
  <si>
    <t>BC14</t>
  </si>
  <si>
    <t>BC15</t>
  </si>
  <si>
    <t>BC16</t>
  </si>
  <si>
    <t>K1</t>
  </si>
  <si>
    <t>K2</t>
  </si>
  <si>
    <t>K3</t>
  </si>
  <si>
    <t>K4</t>
  </si>
  <si>
    <t>K5</t>
  </si>
  <si>
    <t>V1C</t>
  </si>
  <si>
    <t>V8C</t>
  </si>
  <si>
    <t>V10C</t>
  </si>
  <si>
    <t>V11C</t>
  </si>
  <si>
    <t>V14C</t>
  </si>
  <si>
    <t>V16C</t>
  </si>
  <si>
    <t>V19C</t>
  </si>
  <si>
    <t>V20C</t>
  </si>
  <si>
    <t>V22C</t>
  </si>
  <si>
    <t>V25C</t>
  </si>
  <si>
    <t>V26C</t>
  </si>
  <si>
    <t>V28C</t>
  </si>
  <si>
    <t>V32C</t>
  </si>
  <si>
    <t>V34C</t>
  </si>
  <si>
    <t>V36C</t>
  </si>
  <si>
    <t>V37C</t>
  </si>
  <si>
    <t>V38C</t>
  </si>
  <si>
    <t>V40C</t>
  </si>
  <si>
    <t>V42C</t>
  </si>
  <si>
    <t>V43C</t>
  </si>
  <si>
    <t>V44C</t>
  </si>
  <si>
    <t>V46C</t>
  </si>
  <si>
    <t>V47C</t>
  </si>
  <si>
    <t>V49C</t>
  </si>
  <si>
    <t>V50C</t>
  </si>
  <si>
    <t>BC1C</t>
  </si>
  <si>
    <t>BC2C</t>
  </si>
  <si>
    <t>BC3C</t>
  </si>
  <si>
    <t>BC4C</t>
  </si>
  <si>
    <t>BC5C</t>
  </si>
  <si>
    <t>BC6C</t>
  </si>
  <si>
    <t>BC7C</t>
  </si>
  <si>
    <t>BC8C</t>
  </si>
  <si>
    <t>BC9C</t>
  </si>
  <si>
    <t>BC10C</t>
  </si>
  <si>
    <t>BC11C</t>
  </si>
  <si>
    <t>BC12C</t>
  </si>
  <si>
    <t>BC13C</t>
  </si>
  <si>
    <t>BC14C</t>
  </si>
  <si>
    <t>BC15C</t>
  </si>
  <si>
    <t>BC16C</t>
  </si>
  <si>
    <t>K6</t>
  </si>
  <si>
    <t>K7</t>
  </si>
  <si>
    <t>K8</t>
  </si>
  <si>
    <t>Ca</t>
  </si>
  <si>
    <t>Sang/Chieu</t>
  </si>
  <si>
    <t>Người nhập</t>
  </si>
  <si>
    <t>Mã đơn</t>
  </si>
  <si>
    <t>SL</t>
  </si>
  <si>
    <t>TÌM KIẾM SẢN PHẨM</t>
  </si>
  <si>
    <t>Nhập tên sản phẩm muốn tìm kiếm</t>
  </si>
  <si>
    <t>Kết quả</t>
  </si>
  <si>
    <t>Mã sản phẩm</t>
  </si>
  <si>
    <t>Giá</t>
  </si>
  <si>
    <t>0</t>
  </si>
  <si>
    <t>ds11</t>
  </si>
  <si>
    <t>VT01</t>
  </si>
  <si>
    <t>test</t>
  </si>
  <si>
    <t>Shop</t>
  </si>
  <si>
    <t>tr40</t>
  </si>
  <si>
    <t>VT06</t>
  </si>
  <si>
    <t>VT04</t>
  </si>
  <si>
    <t>GATO SHOP</t>
  </si>
  <si>
    <t>Bánh rán Doraemon</t>
  </si>
  <si>
    <t>Cupcake vani</t>
  </si>
  <si>
    <t>Cupcake socola kem tươi</t>
  </si>
  <si>
    <t>Cupcake café kem tươi</t>
  </si>
  <si>
    <t>Cupcake trà xanh viết chữ yêu thương</t>
  </si>
  <si>
    <t>Cupcake socola viết chữ yêu thương</t>
  </si>
  <si>
    <t>Cookies tạo hình yêu thương</t>
  </si>
  <si>
    <t>Cookies chocochip</t>
  </si>
  <si>
    <t>Cookies trà xanh</t>
  </si>
  <si>
    <t>Cookies dừa hạnh nhân</t>
  </si>
  <si>
    <t>Donut 4 phong cách trang trí</t>
  </si>
  <si>
    <t>Gato mini ghép chữ (vani/socola)</t>
  </si>
  <si>
    <t>Gato mini trái tim (vani/socola)</t>
  </si>
  <si>
    <t>Tiramisu viết chữ</t>
  </si>
  <si>
    <t>Gato sinh nhật (Vani/socola/Dâu tây)</t>
  </si>
  <si>
    <t>GT01</t>
  </si>
  <si>
    <t>GT02</t>
  </si>
  <si>
    <t>GT03</t>
  </si>
  <si>
    <t>GT04</t>
  </si>
  <si>
    <t>GT05</t>
  </si>
  <si>
    <t>GT06</t>
  </si>
  <si>
    <t>GT07</t>
  </si>
  <si>
    <t>GT08</t>
  </si>
  <si>
    <t>GT09</t>
  </si>
  <si>
    <t>GT10</t>
  </si>
  <si>
    <t>GT11</t>
  </si>
  <si>
    <t>GT12</t>
  </si>
  <si>
    <t>GT13</t>
  </si>
  <si>
    <t>GT14</t>
  </si>
  <si>
    <t>GT15</t>
  </si>
  <si>
    <t>Oanh</t>
  </si>
  <si>
    <t>gt03</t>
  </si>
  <si>
    <t>Sang</t>
  </si>
  <si>
    <t>Cupcake trà xanh viết chữ</t>
  </si>
  <si>
    <t>Thảo</t>
  </si>
  <si>
    <t>Chieu</t>
  </si>
  <si>
    <t>Quỳnh</t>
  </si>
  <si>
    <t>gt05</t>
  </si>
  <si>
    <t>Hiền</t>
  </si>
  <si>
    <t>gt01</t>
  </si>
  <si>
    <t>gt07</t>
  </si>
  <si>
    <t>Cookies tạo hình yêu thươ</t>
  </si>
  <si>
    <t>gt09</t>
  </si>
  <si>
    <t>gt20</t>
  </si>
  <si>
    <t xml:space="preserve">Kem tươi </t>
  </si>
  <si>
    <t>gt04</t>
  </si>
  <si>
    <t>gt06</t>
  </si>
  <si>
    <t>Cupcake socola viết chữ y</t>
  </si>
  <si>
    <t>gt15</t>
  </si>
  <si>
    <t>Gato sinh nhật (Vani/soco</t>
  </si>
  <si>
    <t>gt02</t>
  </si>
  <si>
    <t>sale</t>
  </si>
  <si>
    <t>shop</t>
  </si>
  <si>
    <t>Phương Anh</t>
  </si>
  <si>
    <t xml:space="preserve">GT </t>
  </si>
  <si>
    <t>cookie</t>
  </si>
  <si>
    <t>khách dùng nguyên liệu theo công thức riêng</t>
  </si>
  <si>
    <t xml:space="preserve">sale </t>
  </si>
  <si>
    <t>gt12</t>
  </si>
  <si>
    <t>Gato mini ghép chữ (vani/</t>
  </si>
  <si>
    <t>gt13</t>
  </si>
  <si>
    <t>Gato mini trái tim (vani/</t>
  </si>
  <si>
    <t>gt08</t>
  </si>
  <si>
    <t>gt11</t>
  </si>
  <si>
    <t xml:space="preserve">Donut 4 phong cách trang </t>
  </si>
  <si>
    <t>Cookies trà xanh viết chữ</t>
  </si>
  <si>
    <t>thêm kem trang trí</t>
  </si>
  <si>
    <t>Khách trang trí cupcake trà xanh một loại kem</t>
  </si>
  <si>
    <t>khách không trang trí donut</t>
  </si>
  <si>
    <t>khách chỉ trang trí cupcake trà xanh kem tươi</t>
  </si>
  <si>
    <t>khách chỉ trang trí kem tươi</t>
  </si>
  <si>
    <t>Trang</t>
  </si>
  <si>
    <t>Gt02</t>
  </si>
  <si>
    <t>Gt03</t>
  </si>
  <si>
    <t>Cupcake trà xanh kem tươi</t>
  </si>
  <si>
    <t>gt10</t>
  </si>
  <si>
    <t>Gt10</t>
  </si>
  <si>
    <t>Gt09</t>
  </si>
  <si>
    <t>Gt04</t>
  </si>
  <si>
    <t>Gt07</t>
  </si>
  <si>
    <t>gato</t>
  </si>
  <si>
    <t>30</t>
  </si>
  <si>
    <t>Tháng</t>
  </si>
  <si>
    <t>Năm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</si>
</sst>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_(* #,##0_);_(* \(#,##0\);_(* &quot;-&quot;??_);_(@_)"/>
  </numFmts>
  <fonts count="23">
    <font>
      <sz val="10"/>
      <color rgb="FF00000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8"/>
      <color theme="0"/>
      <name val="Arial"/>
      <family val="2"/>
    </font>
    <font>
      <sz val="8"/>
      <name val="Times New Roman"/>
      <family val="2"/>
    </font>
    <font>
      <sz val="8"/>
      <name val="Times New Roman"/>
      <family val="1"/>
    </font>
    <font>
      <sz val="10"/>
      <color theme="0"/>
      <name val="Arial"/>
      <family val="2"/>
    </font>
    <font>
      <sz val="8"/>
      <name val="Inherit"/>
    </font>
    <font>
      <sz val="8"/>
      <name val="Arial"/>
      <family val="2"/>
    </font>
    <font>
      <sz val="8"/>
      <color theme="1"/>
      <name val="Arial"/>
      <family val="2"/>
    </font>
    <font>
      <sz val="8"/>
      <color rgb="FF000000"/>
      <name val="Arial"/>
      <family val="2"/>
    </font>
    <font>
      <b/>
      <sz val="8"/>
      <color rgb="FF000000"/>
      <name val="Arial"/>
      <family val="2"/>
    </font>
    <font>
      <b/>
      <sz val="8"/>
      <name val="Arial"/>
      <family val="2"/>
    </font>
    <font>
      <sz val="8"/>
      <color theme="1"/>
      <name val="Calibri"/>
      <family val="2"/>
      <scheme val="minor"/>
    </font>
    <font>
      <b/>
      <sz val="14"/>
      <color rgb="FF000000"/>
      <name val="Arial"/>
      <family val="2"/>
    </font>
    <font>
      <b/>
      <sz val="10"/>
      <color rgb="FF00000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2.1"/>
      <color rgb="FF000000"/>
      <name val="Calibri"/>
      <family val="2"/>
      <charset val="163"/>
      <scheme val="minor"/>
    </font>
    <font>
      <b/>
      <sz val="10"/>
      <name val="Arial"/>
      <family val="2"/>
    </font>
    <font>
      <sz val="10"/>
      <color rgb="FF222222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theme="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/>
      <top/>
      <bottom/>
      <diagonal/>
    </border>
    <border>
      <left/>
      <right/>
      <top style="thin">
        <color theme="8"/>
      </top>
      <bottom/>
      <diagonal/>
    </border>
    <border>
      <left style="thick">
        <color auto="1"/>
      </left>
      <right/>
      <top style="thin">
        <color theme="8"/>
      </top>
      <bottom/>
      <diagonal/>
    </border>
    <border>
      <left style="thin">
        <color theme="0" tint="-4.9989318521683403E-2"/>
      </left>
      <right/>
      <top/>
      <bottom/>
      <diagonal/>
    </border>
    <border>
      <left style="thin">
        <color theme="0" tint="-4.9989318521683403E-2"/>
      </left>
      <right/>
      <top style="thin">
        <color theme="8"/>
      </top>
      <bottom/>
      <diagonal/>
    </border>
    <border>
      <left/>
      <right style="thin">
        <color theme="0" tint="-4.9989318521683403E-2"/>
      </right>
      <top style="thin">
        <color theme="8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theme="0" tint="-4.9989318521683403E-2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6">
    <xf numFmtId="0" fontId="0" fillId="0" borderId="0"/>
    <xf numFmtId="43" fontId="3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2" fillId="0" borderId="0"/>
    <xf numFmtId="43" fontId="1" fillId="0" borderId="0" applyFont="0" applyFill="0" applyBorder="0" applyAlignment="0" applyProtection="0"/>
    <xf numFmtId="0" fontId="1" fillId="0" borderId="0"/>
  </cellStyleXfs>
  <cellXfs count="161">
    <xf numFmtId="0" fontId="0" fillId="0" borderId="0" xfId="0"/>
    <xf numFmtId="0" fontId="0" fillId="0" borderId="0" xfId="0" applyAlignment="1">
      <alignment wrapText="1"/>
    </xf>
    <xf numFmtId="0" fontId="5" fillId="2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6" fillId="4" borderId="1" xfId="0" applyNumberFormat="1" applyFont="1" applyFill="1" applyBorder="1" applyAlignment="1">
      <alignment horizontal="center" vertical="center"/>
    </xf>
    <xf numFmtId="0" fontId="7" fillId="4" borderId="1" xfId="0" applyNumberFormat="1" applyFont="1" applyFill="1" applyBorder="1" applyAlignment="1"/>
    <xf numFmtId="0" fontId="6" fillId="5" borderId="2" xfId="0" applyNumberFormat="1" applyFont="1" applyFill="1" applyBorder="1" applyAlignment="1">
      <alignment horizontal="center" vertical="center"/>
    </xf>
    <xf numFmtId="0" fontId="7" fillId="5" borderId="2" xfId="0" applyNumberFormat="1" applyFont="1" applyFill="1" applyBorder="1" applyAlignment="1"/>
    <xf numFmtId="0" fontId="6" fillId="5" borderId="1" xfId="0" applyNumberFormat="1" applyFont="1" applyFill="1" applyBorder="1" applyAlignment="1">
      <alignment horizontal="center" vertical="center"/>
    </xf>
    <xf numFmtId="0" fontId="7" fillId="5" borderId="1" xfId="0" applyNumberFormat="1" applyFont="1" applyFill="1" applyBorder="1" applyAlignment="1"/>
    <xf numFmtId="0" fontId="6" fillId="6" borderId="1" xfId="0" applyNumberFormat="1" applyFont="1" applyFill="1" applyBorder="1" applyAlignment="1">
      <alignment horizontal="center" vertical="center"/>
    </xf>
    <xf numFmtId="0" fontId="7" fillId="6" borderId="1" xfId="0" applyNumberFormat="1" applyFont="1" applyFill="1" applyBorder="1" applyAlignment="1"/>
    <xf numFmtId="0" fontId="10" fillId="7" borderId="1" xfId="0" applyFont="1" applyFill="1" applyBorder="1" applyAlignment="1">
      <alignment horizontal="center" vertical="center" wrapText="1"/>
    </xf>
    <xf numFmtId="0" fontId="11" fillId="7" borderId="1" xfId="0" applyFont="1" applyFill="1" applyBorder="1" applyAlignment="1">
      <alignment wrapText="1"/>
    </xf>
    <xf numFmtId="0" fontId="12" fillId="7" borderId="1" xfId="0" applyFont="1" applyFill="1" applyBorder="1" applyAlignment="1">
      <alignment horizontal="center" vertical="center" wrapText="1"/>
    </xf>
    <xf numFmtId="0" fontId="12" fillId="7" borderId="1" xfId="0" applyFont="1" applyFill="1" applyBorder="1" applyAlignment="1">
      <alignment wrapText="1"/>
    </xf>
    <xf numFmtId="0" fontId="6" fillId="8" borderId="1" xfId="0" applyNumberFormat="1" applyFont="1" applyFill="1" applyBorder="1" applyAlignment="1">
      <alignment horizontal="center" vertical="center"/>
    </xf>
    <xf numFmtId="0" fontId="7" fillId="8" borderId="1" xfId="0" applyNumberFormat="1" applyFont="1" applyFill="1" applyBorder="1" applyAlignment="1"/>
    <xf numFmtId="0" fontId="9" fillId="8" borderId="1" xfId="0" applyFont="1" applyFill="1" applyBorder="1" applyAlignment="1">
      <alignment horizontal="center" vertical="center" wrapText="1"/>
    </xf>
    <xf numFmtId="0" fontId="10" fillId="8" borderId="1" xfId="0" applyFont="1" applyFill="1" applyBorder="1" applyAlignment="1">
      <alignment wrapText="1"/>
    </xf>
    <xf numFmtId="0" fontId="10" fillId="8" borderId="1" xfId="0" applyFont="1" applyFill="1" applyBorder="1" applyAlignment="1">
      <alignment horizontal="center" vertical="center" wrapText="1"/>
    </xf>
    <xf numFmtId="0" fontId="11" fillId="8" borderId="1" xfId="0" applyFont="1" applyFill="1" applyBorder="1" applyAlignment="1">
      <alignment wrapText="1"/>
    </xf>
    <xf numFmtId="0" fontId="6" fillId="9" borderId="1" xfId="0" applyNumberFormat="1" applyFont="1" applyFill="1" applyBorder="1" applyAlignment="1">
      <alignment horizontal="center" vertical="center"/>
    </xf>
    <xf numFmtId="0" fontId="7" fillId="9" borderId="1" xfId="0" applyNumberFormat="1" applyFont="1" applyFill="1" applyBorder="1" applyAlignment="1"/>
    <xf numFmtId="0" fontId="7" fillId="9" borderId="1" xfId="0" applyFont="1" applyFill="1" applyBorder="1"/>
    <xf numFmtId="0" fontId="6" fillId="10" borderId="1" xfId="0" applyNumberFormat="1" applyFont="1" applyFill="1" applyBorder="1" applyAlignment="1">
      <alignment horizontal="center" vertical="center"/>
    </xf>
    <xf numFmtId="0" fontId="7" fillId="10" borderId="1" xfId="0" applyNumberFormat="1" applyFont="1" applyFill="1" applyBorder="1" applyAlignment="1"/>
    <xf numFmtId="0" fontId="7" fillId="10" borderId="1" xfId="0" applyFont="1" applyFill="1" applyBorder="1"/>
    <xf numFmtId="0" fontId="0" fillId="0" borderId="0" xfId="0" applyAlignment="1">
      <alignment horizontal="right" wrapText="1"/>
    </xf>
    <xf numFmtId="0" fontId="0" fillId="4" borderId="0" xfId="0" applyFill="1" applyAlignment="1">
      <alignment wrapText="1"/>
    </xf>
    <xf numFmtId="0" fontId="0" fillId="0" borderId="1" xfId="0" applyBorder="1" applyAlignment="1">
      <alignment horizontal="right" wrapText="1"/>
    </xf>
    <xf numFmtId="0" fontId="0" fillId="4" borderId="0" xfId="0" applyFill="1" applyAlignment="1">
      <alignment horizontal="center" vertical="center" wrapText="1"/>
    </xf>
    <xf numFmtId="0" fontId="0" fillId="4" borderId="0" xfId="0" applyFill="1" applyAlignment="1">
      <alignment horizontal="right" wrapText="1"/>
    </xf>
    <xf numFmtId="0" fontId="8" fillId="3" borderId="3" xfId="0" applyFont="1" applyFill="1" applyBorder="1" applyAlignment="1">
      <alignment horizontal="center" vertical="center" wrapText="1"/>
    </xf>
    <xf numFmtId="164" fontId="0" fillId="0" borderId="1" xfId="1" applyNumberFormat="1" applyFont="1" applyBorder="1" applyAlignment="1">
      <alignment horizontal="right" wrapText="1"/>
    </xf>
    <xf numFmtId="164" fontId="0" fillId="4" borderId="0" xfId="1" applyNumberFormat="1" applyFont="1" applyFill="1" applyAlignment="1">
      <alignment horizontal="center" vertical="center" wrapText="1"/>
    </xf>
    <xf numFmtId="164" fontId="8" fillId="3" borderId="3" xfId="1" applyNumberFormat="1" applyFont="1" applyFill="1" applyBorder="1" applyAlignment="1">
      <alignment horizontal="center" vertical="center" wrapText="1"/>
    </xf>
    <xf numFmtId="164" fontId="0" fillId="0" borderId="0" xfId="1" applyNumberFormat="1" applyFont="1" applyAlignment="1">
      <alignment horizontal="center" vertical="center" wrapText="1"/>
    </xf>
    <xf numFmtId="164" fontId="0" fillId="0" borderId="0" xfId="0" applyNumberFormat="1"/>
    <xf numFmtId="164" fontId="0" fillId="0" borderId="0" xfId="1" applyNumberFormat="1" applyFont="1"/>
    <xf numFmtId="0" fontId="17" fillId="4" borderId="0" xfId="0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8" fillId="4" borderId="0" xfId="0" applyFont="1" applyFill="1" applyAlignment="1">
      <alignment wrapText="1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wrapText="1"/>
    </xf>
    <xf numFmtId="0" fontId="17" fillId="0" borderId="0" xfId="0" applyFont="1" applyAlignment="1">
      <alignment wrapText="1"/>
    </xf>
    <xf numFmtId="0" fontId="14" fillId="0" borderId="1" xfId="0" applyFont="1" applyBorder="1" applyAlignment="1">
      <alignment vertical="center" wrapText="1"/>
    </xf>
    <xf numFmtId="0" fontId="13" fillId="0" borderId="1" xfId="0" applyFont="1" applyBorder="1" applyAlignment="1">
      <alignment horizontal="center" vertical="center" wrapText="1"/>
    </xf>
    <xf numFmtId="0" fontId="10" fillId="0" borderId="0" xfId="0" applyFont="1" applyAlignment="1">
      <alignment wrapText="1"/>
    </xf>
    <xf numFmtId="0" fontId="12" fillId="0" borderId="0" xfId="0" applyFont="1" applyAlignment="1">
      <alignment wrapText="1"/>
    </xf>
    <xf numFmtId="49" fontId="0" fillId="0" borderId="0" xfId="0" applyNumberFormat="1" applyAlignment="1">
      <alignment horizontal="center" vertical="center"/>
    </xf>
    <xf numFmtId="0" fontId="18" fillId="0" borderId="0" xfId="0" applyFont="1" applyFill="1" applyBorder="1" applyAlignment="1">
      <alignment horizontal="center" vertical="center" wrapText="1"/>
    </xf>
    <xf numFmtId="0" fontId="15" fillId="11" borderId="2" xfId="3" applyFont="1" applyFill="1" applyBorder="1"/>
    <xf numFmtId="0" fontId="15" fillId="11" borderId="1" xfId="3" applyFont="1" applyFill="1" applyBorder="1"/>
    <xf numFmtId="0" fontId="0" fillId="0" borderId="1" xfId="0" applyNumberFormat="1" applyBorder="1" applyAlignment="1">
      <alignment horizontal="right" wrapText="1"/>
    </xf>
    <xf numFmtId="164" fontId="12" fillId="0" borderId="0" xfId="1" applyNumberFormat="1" applyFont="1" applyAlignment="1">
      <alignment wrapText="1"/>
    </xf>
    <xf numFmtId="164" fontId="13" fillId="0" borderId="1" xfId="1" applyNumberFormat="1" applyFont="1" applyBorder="1" applyAlignment="1">
      <alignment wrapText="1"/>
    </xf>
    <xf numFmtId="49" fontId="0" fillId="0" borderId="1" xfId="0" applyNumberFormat="1" applyBorder="1" applyAlignment="1">
      <alignment horizontal="right" wrapText="1"/>
    </xf>
    <xf numFmtId="0" fontId="0" fillId="0" borderId="0" xfId="0" applyFill="1" applyBorder="1" applyAlignment="1">
      <alignment horizontal="center" vertical="center" wrapText="1"/>
    </xf>
    <xf numFmtId="0" fontId="8" fillId="3" borderId="6" xfId="0" applyFont="1" applyFill="1" applyBorder="1" applyAlignment="1">
      <alignment horizontal="center" vertical="center" wrapText="1"/>
    </xf>
    <xf numFmtId="0" fontId="8" fillId="3" borderId="7" xfId="0" applyFont="1" applyFill="1" applyBorder="1" applyAlignment="1">
      <alignment horizontal="center" vertical="center" wrapText="1"/>
    </xf>
    <xf numFmtId="164" fontId="16" fillId="4" borderId="4" xfId="1" applyNumberFormat="1" applyFont="1" applyFill="1" applyBorder="1" applyAlignment="1">
      <alignment horizontal="right" vertical="center" wrapText="1"/>
    </xf>
    <xf numFmtId="164" fontId="16" fillId="4" borderId="5" xfId="1" applyNumberFormat="1" applyFont="1" applyFill="1" applyBorder="1" applyAlignment="1">
      <alignment horizontal="right" vertical="center" wrapText="1"/>
    </xf>
    <xf numFmtId="0" fontId="0" fillId="0" borderId="2" xfId="0" applyBorder="1" applyAlignment="1">
      <alignment horizontal="center" vertical="center" wrapText="1"/>
    </xf>
    <xf numFmtId="9" fontId="0" fillId="0" borderId="2" xfId="0" applyNumberFormat="1" applyBorder="1" applyAlignment="1">
      <alignment horizontal="right" wrapText="1"/>
    </xf>
    <xf numFmtId="0" fontId="19" fillId="4" borderId="0" xfId="0" applyFont="1" applyFill="1" applyBorder="1" applyAlignment="1">
      <alignment horizontal="center" vertical="center"/>
    </xf>
    <xf numFmtId="0" fontId="0" fillId="0" borderId="0" xfId="0" applyBorder="1"/>
    <xf numFmtId="0" fontId="0" fillId="0" borderId="0" xfId="0" applyFill="1" applyBorder="1" applyProtection="1"/>
    <xf numFmtId="164" fontId="0" fillId="0" borderId="0" xfId="1" applyNumberFormat="1" applyFont="1" applyFill="1" applyBorder="1" applyProtection="1"/>
    <xf numFmtId="164" fontId="18" fillId="0" borderId="0" xfId="1" applyNumberFormat="1" applyFont="1" applyFill="1" applyBorder="1" applyAlignment="1">
      <alignment horizontal="center" vertical="center" wrapText="1"/>
    </xf>
    <xf numFmtId="0" fontId="0" fillId="0" borderId="0" xfId="0" applyFill="1" applyBorder="1" applyAlignment="1" applyProtection="1">
      <alignment horizontal="center" vertical="center" wrapText="1"/>
    </xf>
    <xf numFmtId="0" fontId="0" fillId="0" borderId="0" xfId="0" applyFill="1" applyBorder="1"/>
    <xf numFmtId="164" fontId="0" fillId="0" borderId="0" xfId="1" applyNumberFormat="1" applyFont="1" applyFill="1" applyBorder="1"/>
    <xf numFmtId="0" fontId="20" fillId="0" borderId="0" xfId="0" applyFont="1" applyFill="1" applyBorder="1" applyAlignment="1">
      <alignment horizontal="left" wrapText="1" readingOrder="1"/>
    </xf>
    <xf numFmtId="0" fontId="20" fillId="0" borderId="0" xfId="0" applyFont="1" applyFill="1" applyBorder="1" applyAlignment="1">
      <alignment horizontal="right" wrapText="1" readingOrder="1"/>
    </xf>
    <xf numFmtId="0" fontId="20" fillId="0" borderId="0" xfId="0" applyFont="1" applyFill="1" applyBorder="1"/>
    <xf numFmtId="0" fontId="19" fillId="0" borderId="0" xfId="0" applyFont="1" applyFill="1" applyBorder="1" applyAlignment="1">
      <alignment horizontal="center"/>
    </xf>
    <xf numFmtId="0" fontId="19" fillId="0" borderId="0" xfId="0" applyFont="1" applyFill="1" applyBorder="1"/>
    <xf numFmtId="0" fontId="0" fillId="0" borderId="0" xfId="0" applyFill="1" applyBorder="1" applyAlignment="1">
      <alignment horizontal="center" wrapText="1"/>
    </xf>
    <xf numFmtId="0" fontId="0" fillId="0" borderId="8" xfId="0" applyBorder="1"/>
    <xf numFmtId="49" fontId="21" fillId="12" borderId="9" xfId="0" applyNumberFormat="1" applyFont="1" applyFill="1" applyBorder="1" applyAlignment="1">
      <alignment horizontal="center" vertical="center"/>
    </xf>
    <xf numFmtId="0" fontId="21" fillId="12" borderId="9" xfId="0" applyFont="1" applyFill="1" applyBorder="1" applyAlignment="1">
      <alignment horizontal="center" vertical="center"/>
    </xf>
    <xf numFmtId="0" fontId="18" fillId="12" borderId="9" xfId="0" applyFont="1" applyFill="1" applyBorder="1"/>
    <xf numFmtId="0" fontId="18" fillId="12" borderId="9" xfId="0" applyFont="1" applyFill="1" applyBorder="1" applyAlignment="1">
      <alignment horizontal="center"/>
    </xf>
    <xf numFmtId="164" fontId="18" fillId="12" borderId="9" xfId="1" applyNumberFormat="1" applyFont="1" applyFill="1" applyBorder="1"/>
    <xf numFmtId="164" fontId="18" fillId="12" borderId="9" xfId="0" applyNumberFormat="1" applyFont="1" applyFill="1" applyBorder="1"/>
    <xf numFmtId="0" fontId="18" fillId="12" borderId="10" xfId="0" applyFont="1" applyFill="1" applyBorder="1"/>
    <xf numFmtId="0" fontId="0" fillId="0" borderId="0" xfId="0" applyNumberFormat="1" applyAlignment="1">
      <alignment horizontal="center" vertical="center"/>
    </xf>
    <xf numFmtId="0" fontId="21" fillId="12" borderId="9" xfId="0" applyNumberFormat="1" applyFont="1" applyFill="1" applyBorder="1" applyAlignment="1">
      <alignment horizontal="center" vertical="center"/>
    </xf>
    <xf numFmtId="164" fontId="17" fillId="4" borderId="1" xfId="1" applyNumberFormat="1" applyFont="1" applyFill="1" applyBorder="1" applyAlignment="1">
      <alignment horizontal="right" wrapText="1"/>
    </xf>
    <xf numFmtId="49" fontId="21" fillId="12" borderId="12" xfId="0" applyNumberFormat="1" applyFont="1" applyFill="1" applyBorder="1" applyAlignment="1">
      <alignment horizontal="center" vertical="center"/>
    </xf>
    <xf numFmtId="0" fontId="18" fillId="12" borderId="13" xfId="0" applyFont="1" applyFill="1" applyBorder="1"/>
    <xf numFmtId="0" fontId="0" fillId="0" borderId="0" xfId="0" applyAlignment="1">
      <alignment horizontal="center"/>
    </xf>
    <xf numFmtId="0" fontId="14" fillId="12" borderId="11" xfId="0" applyFont="1" applyFill="1" applyBorder="1" applyAlignment="1">
      <alignment horizontal="center" vertical="center" wrapText="1"/>
    </xf>
    <xf numFmtId="0" fontId="14" fillId="12" borderId="14" xfId="0" applyFont="1" applyFill="1" applyBorder="1" applyAlignment="1">
      <alignment horizontal="center" vertical="center" wrapText="1"/>
    </xf>
    <xf numFmtId="49" fontId="14" fillId="12" borderId="14" xfId="0" applyNumberFormat="1" applyFont="1" applyFill="1" applyBorder="1" applyAlignment="1">
      <alignment horizontal="center" vertical="center" wrapText="1"/>
    </xf>
    <xf numFmtId="0" fontId="14" fillId="12" borderId="14" xfId="0" applyNumberFormat="1" applyFont="1" applyFill="1" applyBorder="1" applyAlignment="1">
      <alignment horizontal="center" vertical="center" wrapText="1"/>
    </xf>
    <xf numFmtId="0" fontId="14" fillId="12" borderId="8" xfId="0" applyFont="1" applyFill="1" applyBorder="1" applyAlignment="1">
      <alignment horizontal="center" vertical="center" wrapText="1"/>
    </xf>
    <xf numFmtId="164" fontId="14" fillId="12" borderId="14" xfId="1" applyNumberFormat="1" applyFont="1" applyFill="1" applyBorder="1" applyAlignment="1">
      <alignment horizontal="center" vertical="center" wrapText="1"/>
    </xf>
    <xf numFmtId="164" fontId="14" fillId="12" borderId="14" xfId="2" applyNumberFormat="1" applyFont="1" applyFill="1" applyBorder="1" applyAlignment="1">
      <alignment horizontal="center" vertical="center" wrapText="1"/>
    </xf>
    <xf numFmtId="0" fontId="14" fillId="12" borderId="15" xfId="0" applyFont="1" applyFill="1" applyBorder="1" applyAlignment="1">
      <alignment horizontal="center" vertical="center" wrapText="1"/>
    </xf>
    <xf numFmtId="0" fontId="22" fillId="13" borderId="0" xfId="0" applyFont="1" applyFill="1" applyAlignment="1">
      <alignment horizontal="left" wrapText="1"/>
    </xf>
    <xf numFmtId="0" fontId="22" fillId="0" borderId="0" xfId="0" applyFont="1"/>
    <xf numFmtId="0" fontId="22" fillId="0" borderId="0" xfId="0" applyFont="1" applyFill="1" applyBorder="1"/>
    <xf numFmtId="0" fontId="17" fillId="4" borderId="0" xfId="0" applyFont="1" applyFill="1" applyAlignment="1">
      <alignment wrapText="1"/>
    </xf>
    <xf numFmtId="0" fontId="17" fillId="4" borderId="0" xfId="0" applyFont="1" applyFill="1" applyAlignment="1"/>
    <xf numFmtId="0" fontId="8" fillId="3" borderId="1" xfId="0" applyFont="1" applyFill="1" applyBorder="1" applyAlignment="1">
      <alignment wrapText="1"/>
    </xf>
    <xf numFmtId="0" fontId="0" fillId="4" borderId="1" xfId="0" applyFill="1" applyBorder="1" applyAlignment="1"/>
    <xf numFmtId="164" fontId="0" fillId="4" borderId="1" xfId="1" applyNumberFormat="1" applyFont="1" applyFill="1" applyBorder="1" applyAlignment="1"/>
    <xf numFmtId="0" fontId="18" fillId="4" borderId="1" xfId="0" applyFont="1" applyFill="1" applyBorder="1" applyAlignment="1"/>
    <xf numFmtId="164" fontId="18" fillId="4" borderId="1" xfId="1" applyNumberFormat="1" applyFont="1" applyFill="1" applyBorder="1" applyAlignment="1"/>
    <xf numFmtId="9" fontId="0" fillId="4" borderId="1" xfId="0" applyNumberFormat="1" applyFill="1" applyBorder="1" applyAlignment="1">
      <alignment horizontal="right" wrapText="1"/>
    </xf>
    <xf numFmtId="0" fontId="0" fillId="4" borderId="1" xfId="0" applyFill="1" applyBorder="1" applyAlignment="1">
      <alignment wrapText="1"/>
    </xf>
    <xf numFmtId="0" fontId="19" fillId="4" borderId="1" xfId="0" applyFont="1" applyFill="1" applyBorder="1" applyAlignment="1">
      <alignment horizontal="center" vertical="center"/>
    </xf>
    <xf numFmtId="0" fontId="22" fillId="0" borderId="0" xfId="0" applyFont="1" applyProtection="1"/>
    <xf numFmtId="49" fontId="18" fillId="0" borderId="12" xfId="0" applyNumberFormat="1" applyFont="1" applyBorder="1" applyAlignment="1">
      <alignment horizontal="center" vertical="center"/>
    </xf>
    <xf numFmtId="49" fontId="18" fillId="0" borderId="9" xfId="0" applyNumberFormat="1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18" fillId="0" borderId="9" xfId="0" applyNumberFormat="1" applyFont="1" applyBorder="1" applyAlignment="1">
      <alignment horizontal="center" vertical="center"/>
    </xf>
    <xf numFmtId="0" fontId="18" fillId="0" borderId="10" xfId="0" applyFont="1" applyBorder="1"/>
    <xf numFmtId="0" fontId="18" fillId="0" borderId="9" xfId="0" applyFont="1" applyBorder="1"/>
    <xf numFmtId="164" fontId="18" fillId="0" borderId="9" xfId="1" applyNumberFormat="1" applyFont="1" applyBorder="1"/>
    <xf numFmtId="164" fontId="18" fillId="0" borderId="9" xfId="0" applyNumberFormat="1" applyFont="1" applyBorder="1"/>
    <xf numFmtId="0" fontId="18" fillId="0" borderId="13" xfId="0" applyFont="1" applyBorder="1"/>
    <xf numFmtId="164" fontId="21" fillId="0" borderId="9" xfId="0" applyNumberFormat="1" applyFont="1" applyBorder="1"/>
    <xf numFmtId="0" fontId="21" fillId="0" borderId="13" xfId="0" applyFont="1" applyBorder="1"/>
    <xf numFmtId="0" fontId="10" fillId="14" borderId="1" xfId="0" applyFont="1" applyFill="1" applyBorder="1" applyAlignment="1">
      <alignment wrapText="1"/>
    </xf>
    <xf numFmtId="0" fontId="12" fillId="14" borderId="1" xfId="0" applyFont="1" applyFill="1" applyBorder="1" applyAlignment="1">
      <alignment wrapText="1"/>
    </xf>
    <xf numFmtId="164" fontId="12" fillId="14" borderId="1" xfId="1" applyNumberFormat="1" applyFont="1" applyFill="1" applyBorder="1" applyAlignment="1">
      <alignment wrapText="1"/>
    </xf>
    <xf numFmtId="0" fontId="0" fillId="0" borderId="0" xfId="0" applyBorder="1" applyAlignment="1">
      <alignment horizontal="center" vertical="center"/>
    </xf>
    <xf numFmtId="49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NumberFormat="1" applyBorder="1" applyAlignment="1">
      <alignment horizontal="center" vertical="center"/>
    </xf>
    <xf numFmtId="164" fontId="4" fillId="0" borderId="0" xfId="1" applyNumberFormat="1" applyFont="1" applyBorder="1"/>
    <xf numFmtId="164" fontId="0" fillId="0" borderId="0" xfId="0" applyNumberFormat="1" applyBorder="1"/>
    <xf numFmtId="0" fontId="17" fillId="15" borderId="0" xfId="0" applyFont="1" applyFill="1" applyBorder="1" applyAlignment="1">
      <alignment horizontal="center" vertical="center"/>
    </xf>
    <xf numFmtId="49" fontId="17" fillId="15" borderId="0" xfId="0" applyNumberFormat="1" applyFont="1" applyFill="1" applyBorder="1" applyAlignment="1">
      <alignment horizontal="center" vertical="center"/>
    </xf>
    <xf numFmtId="0" fontId="17" fillId="15" borderId="0" xfId="0" applyFont="1" applyFill="1" applyBorder="1" applyAlignment="1">
      <alignment horizontal="center"/>
    </xf>
    <xf numFmtId="0" fontId="17" fillId="15" borderId="0" xfId="0" applyNumberFormat="1" applyFont="1" applyFill="1" applyBorder="1" applyAlignment="1">
      <alignment horizontal="center" vertical="center"/>
    </xf>
    <xf numFmtId="0" fontId="17" fillId="15" borderId="8" xfId="0" applyFont="1" applyFill="1" applyBorder="1"/>
    <xf numFmtId="0" fontId="17" fillId="15" borderId="0" xfId="0" applyFont="1" applyFill="1" applyBorder="1"/>
    <xf numFmtId="164" fontId="17" fillId="15" borderId="0" xfId="1" applyNumberFormat="1" applyFont="1" applyFill="1" applyBorder="1"/>
    <xf numFmtId="164" fontId="17" fillId="15" borderId="0" xfId="0" applyNumberFormat="1" applyFont="1" applyFill="1" applyBorder="1"/>
    <xf numFmtId="0" fontId="17" fillId="15" borderId="0" xfId="0" applyFont="1" applyFill="1" applyAlignment="1">
      <alignment horizontal="center" vertical="center"/>
    </xf>
    <xf numFmtId="49" fontId="17" fillId="15" borderId="0" xfId="0" applyNumberFormat="1" applyFont="1" applyFill="1" applyAlignment="1">
      <alignment horizontal="center" vertical="center"/>
    </xf>
    <xf numFmtId="0" fontId="17" fillId="15" borderId="0" xfId="0" applyFont="1" applyFill="1" applyAlignment="1">
      <alignment horizontal="center"/>
    </xf>
    <xf numFmtId="0" fontId="17" fillId="15" borderId="0" xfId="0" applyNumberFormat="1" applyFont="1" applyFill="1" applyAlignment="1">
      <alignment horizontal="center" vertical="center"/>
    </xf>
    <xf numFmtId="0" fontId="17" fillId="15" borderId="0" xfId="0" applyFont="1" applyFill="1"/>
    <xf numFmtId="164" fontId="17" fillId="15" borderId="0" xfId="1" applyNumberFormat="1" applyFont="1" applyFill="1"/>
    <xf numFmtId="164" fontId="17" fillId="15" borderId="0" xfId="0" applyNumberFormat="1" applyFont="1" applyFill="1"/>
    <xf numFmtId="164" fontId="0" fillId="0" borderId="0" xfId="1" applyNumberFormat="1" applyFont="1" applyBorder="1"/>
    <xf numFmtId="164" fontId="0" fillId="15" borderId="0" xfId="1" applyNumberFormat="1" applyFont="1" applyFill="1"/>
    <xf numFmtId="0" fontId="0" fillId="0" borderId="16" xfId="0" applyFill="1" applyBorder="1" applyAlignment="1">
      <alignment horizontal="center" wrapText="1"/>
    </xf>
    <xf numFmtId="0" fontId="0" fillId="0" borderId="17" xfId="0" applyFill="1" applyBorder="1" applyAlignment="1">
      <alignment horizontal="center" wrapText="1"/>
    </xf>
    <xf numFmtId="0" fontId="0" fillId="0" borderId="18" xfId="0" applyFill="1" applyBorder="1" applyAlignment="1">
      <alignment horizontal="center" wrapText="1"/>
    </xf>
    <xf numFmtId="164" fontId="14" fillId="12" borderId="19" xfId="2" applyNumberFormat="1" applyFont="1" applyFill="1" applyBorder="1" applyAlignment="1">
      <alignment horizontal="center" vertical="center" wrapText="1"/>
    </xf>
    <xf numFmtId="0" fontId="14" fillId="12" borderId="19" xfId="2" applyNumberFormat="1" applyFont="1" applyFill="1" applyBorder="1" applyAlignment="1">
      <alignment horizontal="center" vertical="center" wrapText="1"/>
    </xf>
    <xf numFmtId="0" fontId="0" fillId="0" borderId="0" xfId="1" applyNumberFormat="1" applyFont="1"/>
    <xf numFmtId="0" fontId="0" fillId="0" borderId="0" xfId="0" applyNumberFormat="1"/>
  </cellXfs>
  <cellStyles count="6">
    <cellStyle name="Comma" xfId="1" builtinId="3"/>
    <cellStyle name="Comma 2" xfId="2"/>
    <cellStyle name="Comma 3" xfId="4"/>
    <cellStyle name="Normal" xfId="0" builtinId="0"/>
    <cellStyle name="Normal 2" xfId="3"/>
    <cellStyle name="Normal 2 2" xfId="5"/>
  </cellStyles>
  <dxfs count="1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4" formatCode="_(* #,##0_);_(* \(#,##0\);_(* &quot;-&quot;??_);_(@_)"/>
    </dxf>
    <dxf>
      <fill>
        <patternFill>
          <bgColor rgb="FFFF0000"/>
        </patternFill>
      </fill>
    </dxf>
    <dxf>
      <numFmt numFmtId="164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4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4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4" formatCode="_(* #,##0_);_(* \(#,##0\);_(* &quot;-&quot;??_);_(@_)"/>
    </dxf>
    <dxf>
      <border diagonalUp="0" diagonalDown="0">
        <left style="thick">
          <color auto="1"/>
        </left>
        <right/>
        <top/>
        <bottom/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0" tint="-4.9989318521683403E-2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_(* #,##0_);_(* \(#,##0\);_(* &quot;-&quot;??_);_(@_)"/>
      <fill>
        <patternFill patternType="solid">
          <fgColor indexed="64"/>
          <bgColor theme="8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276225</xdr:colOff>
          <xdr:row>22</xdr:row>
          <xdr:rowOff>66675</xdr:rowOff>
        </xdr:from>
        <xdr:to>
          <xdr:col>8</xdr:col>
          <xdr:colOff>695325</xdr:colOff>
          <xdr:row>25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Ghi vào Sheet Tổng Hợp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0</xdr:row>
          <xdr:rowOff>114300</xdr:rowOff>
        </xdr:from>
        <xdr:to>
          <xdr:col>8</xdr:col>
          <xdr:colOff>523875</xdr:colOff>
          <xdr:row>2</xdr:row>
          <xdr:rowOff>28575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Xóa dữ liệu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2</xdr:row>
          <xdr:rowOff>66675</xdr:rowOff>
        </xdr:from>
        <xdr:to>
          <xdr:col>14</xdr:col>
          <xdr:colOff>190500</xdr:colOff>
          <xdr:row>4</xdr:row>
          <xdr:rowOff>28575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Tìm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1:P872" totalsRowShown="0" headerRowDxfId="15" dataDxfId="14" tableBorderDxfId="13" headerRowCellStyle="Comma 2" dataCellStyle="Comma">
  <autoFilter ref="A1:P872"/>
  <tableColumns count="16">
    <tableColumn id="1" name="Ngày" dataDxfId="12"/>
    <tableColumn id="2" name="Ca" dataDxfId="11"/>
    <tableColumn id="3" name="Người nhập" dataDxfId="10"/>
    <tableColumn id="4" name="Shop/HN/TI" dataDxfId="9"/>
    <tableColumn id="5" name="Mã đơn" dataDxfId="8"/>
    <tableColumn id="6" name="Mã SP" dataDxfId="7"/>
    <tableColumn id="7" name="Tên mặt hàng"/>
    <tableColumn id="8" name="SL"/>
    <tableColumn id="9" name="Đơn giá"/>
    <tableColumn id="10" name="Thành tiền"/>
    <tableColumn id="11" name="Doanh thu kế toán" dataDxfId="6" dataCellStyle="Comma"/>
    <tableColumn id="12" name="Chiết khấu" dataDxfId="5" dataCellStyle="Comma"/>
    <tableColumn id="13" name="Thực thu" dataDxfId="4" dataCellStyle="Comma"/>
    <tableColumn id="14" name="Ghi chú" dataDxfId="3"/>
    <tableColumn id="15" name="Tháng" dataDxfId="1" dataCellStyle="Comma"/>
    <tableColumn id="16" name="Năm" dataDxfId="0" dataCellStyle="Comma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2"/>
  <sheetViews>
    <sheetView workbookViewId="0">
      <selection activeCell="E29" sqref="E29"/>
    </sheetView>
  </sheetViews>
  <sheetFormatPr defaultColWidth="8.85546875" defaultRowHeight="12.75"/>
  <cols>
    <col min="2" max="2" width="16.42578125" customWidth="1"/>
    <col min="3" max="3" width="3.28515625" customWidth="1"/>
    <col min="5" max="5" width="21.42578125" customWidth="1"/>
    <col min="6" max="6" width="3.28515625" customWidth="1"/>
    <col min="8" max="8" width="17.42578125" customWidth="1"/>
    <col min="9" max="9" width="3.42578125" customWidth="1"/>
    <col min="11" max="11" width="14.140625" customWidth="1"/>
  </cols>
  <sheetData>
    <row r="1" spans="1:11">
      <c r="A1" s="2" t="s">
        <v>0</v>
      </c>
      <c r="B1" s="2" t="s">
        <v>1</v>
      </c>
      <c r="C1" s="1"/>
      <c r="D1" s="1"/>
      <c r="E1" s="1"/>
      <c r="F1" s="1"/>
      <c r="G1" s="1"/>
      <c r="H1" s="1"/>
    </row>
    <row r="2" spans="1:11">
      <c r="A2" s="8" t="s">
        <v>2</v>
      </c>
      <c r="B2" s="9" t="s">
        <v>3</v>
      </c>
      <c r="C2" s="1"/>
      <c r="D2" s="24" t="s">
        <v>196</v>
      </c>
      <c r="E2" s="25" t="s">
        <v>197</v>
      </c>
      <c r="F2" s="1"/>
      <c r="G2" s="18" t="s">
        <v>284</v>
      </c>
      <c r="H2" s="19" t="s">
        <v>285</v>
      </c>
      <c r="J2" s="6" t="s">
        <v>169</v>
      </c>
      <c r="K2" s="7" t="s">
        <v>170</v>
      </c>
    </row>
    <row r="3" spans="1:11">
      <c r="A3" s="10" t="s">
        <v>6</v>
      </c>
      <c r="B3" s="11" t="s">
        <v>7</v>
      </c>
      <c r="C3" s="1"/>
      <c r="D3" s="24" t="s">
        <v>198</v>
      </c>
      <c r="E3" s="26" t="s">
        <v>3</v>
      </c>
      <c r="F3" s="1"/>
      <c r="G3" s="18" t="s">
        <v>286</v>
      </c>
      <c r="H3" s="19" t="s">
        <v>287</v>
      </c>
      <c r="J3" s="6" t="s">
        <v>171</v>
      </c>
      <c r="K3" s="7" t="s">
        <v>172</v>
      </c>
    </row>
    <row r="4" spans="1:11">
      <c r="A4" s="10" t="s">
        <v>8</v>
      </c>
      <c r="B4" s="11" t="s">
        <v>9</v>
      </c>
      <c r="C4" s="1"/>
      <c r="D4" s="24" t="s">
        <v>199</v>
      </c>
      <c r="E4" s="26" t="s">
        <v>83</v>
      </c>
      <c r="F4" s="1"/>
      <c r="G4" s="18" t="s">
        <v>288</v>
      </c>
      <c r="H4" s="19" t="s">
        <v>289</v>
      </c>
      <c r="J4" s="6" t="s">
        <v>173</v>
      </c>
      <c r="K4" s="7" t="s">
        <v>174</v>
      </c>
    </row>
    <row r="5" spans="1:11">
      <c r="A5" s="10" t="s">
        <v>10</v>
      </c>
      <c r="B5" s="11" t="s">
        <v>11</v>
      </c>
      <c r="C5" s="1"/>
      <c r="D5" s="24" t="s">
        <v>200</v>
      </c>
      <c r="E5" s="26" t="s">
        <v>201</v>
      </c>
      <c r="F5" s="1"/>
      <c r="G5" s="18" t="s">
        <v>290</v>
      </c>
      <c r="H5" s="19" t="s">
        <v>291</v>
      </c>
      <c r="J5" s="6" t="s">
        <v>175</v>
      </c>
      <c r="K5" s="7" t="s">
        <v>176</v>
      </c>
    </row>
    <row r="6" spans="1:11">
      <c r="A6" s="10" t="s">
        <v>12</v>
      </c>
      <c r="B6" s="11" t="s">
        <v>13</v>
      </c>
      <c r="C6" s="1"/>
      <c r="D6" s="24" t="s">
        <v>202</v>
      </c>
      <c r="E6" s="26" t="s">
        <v>203</v>
      </c>
      <c r="F6" s="1"/>
      <c r="G6" s="18" t="s">
        <v>292</v>
      </c>
      <c r="H6" s="19" t="s">
        <v>293</v>
      </c>
      <c r="J6" s="6" t="s">
        <v>177</v>
      </c>
      <c r="K6" s="7" t="s">
        <v>178</v>
      </c>
    </row>
    <row r="7" spans="1:11">
      <c r="A7" s="10" t="s">
        <v>20</v>
      </c>
      <c r="B7" s="11" t="s">
        <v>21</v>
      </c>
      <c r="C7" s="1"/>
      <c r="D7" s="24" t="s">
        <v>204</v>
      </c>
      <c r="E7" s="26" t="s">
        <v>205</v>
      </c>
      <c r="F7" s="1"/>
      <c r="G7" s="18" t="s">
        <v>294</v>
      </c>
      <c r="H7" s="19" t="s">
        <v>295</v>
      </c>
      <c r="J7" s="6" t="s">
        <v>179</v>
      </c>
      <c r="K7" s="7" t="s">
        <v>180</v>
      </c>
    </row>
    <row r="8" spans="1:11">
      <c r="A8" s="10" t="s">
        <v>22</v>
      </c>
      <c r="B8" s="11" t="s">
        <v>23</v>
      </c>
      <c r="C8" s="1"/>
      <c r="D8" s="24" t="s">
        <v>206</v>
      </c>
      <c r="E8" s="26" t="s">
        <v>207</v>
      </c>
      <c r="F8" s="1"/>
      <c r="G8" s="18" t="s">
        <v>296</v>
      </c>
      <c r="H8" s="19" t="s">
        <v>297</v>
      </c>
      <c r="J8" s="6" t="s">
        <v>181</v>
      </c>
      <c r="K8" s="7" t="s">
        <v>182</v>
      </c>
    </row>
    <row r="9" spans="1:11">
      <c r="A9" s="10" t="s">
        <v>24</v>
      </c>
      <c r="B9" s="11" t="s">
        <v>25</v>
      </c>
      <c r="C9" s="1"/>
      <c r="D9" s="24" t="s">
        <v>208</v>
      </c>
      <c r="E9" s="26" t="s">
        <v>209</v>
      </c>
      <c r="F9" s="1"/>
      <c r="G9" s="18" t="s">
        <v>298</v>
      </c>
      <c r="H9" s="19" t="s">
        <v>299</v>
      </c>
      <c r="J9" s="6" t="s">
        <v>183</v>
      </c>
      <c r="K9" s="7" t="s">
        <v>184</v>
      </c>
    </row>
    <row r="10" spans="1:11">
      <c r="A10" s="10" t="s">
        <v>26</v>
      </c>
      <c r="B10" s="11" t="s">
        <v>27</v>
      </c>
      <c r="C10" s="1"/>
      <c r="D10" s="24" t="s">
        <v>210</v>
      </c>
      <c r="E10" s="26" t="s">
        <v>211</v>
      </c>
      <c r="F10" s="1"/>
      <c r="G10" s="18" t="s">
        <v>300</v>
      </c>
      <c r="H10" s="19" t="s">
        <v>301</v>
      </c>
      <c r="J10" s="6" t="s">
        <v>185</v>
      </c>
      <c r="K10" s="7" t="s">
        <v>99</v>
      </c>
    </row>
    <row r="11" spans="1:11">
      <c r="A11" s="10" t="s">
        <v>28</v>
      </c>
      <c r="B11" s="11" t="s">
        <v>29</v>
      </c>
      <c r="C11" s="1"/>
      <c r="D11" s="1"/>
      <c r="E11" s="1"/>
      <c r="F11" s="1"/>
      <c r="G11" s="18" t="s">
        <v>302</v>
      </c>
      <c r="H11" s="19" t="s">
        <v>303</v>
      </c>
      <c r="J11" s="6" t="s">
        <v>186</v>
      </c>
      <c r="K11" s="7" t="s">
        <v>187</v>
      </c>
    </row>
    <row r="12" spans="1:11">
      <c r="A12" s="10" t="s">
        <v>30</v>
      </c>
      <c r="B12" s="11" t="s">
        <v>31</v>
      </c>
      <c r="C12" s="1"/>
      <c r="D12" s="27" t="s">
        <v>212</v>
      </c>
      <c r="E12" s="29" t="s">
        <v>213</v>
      </c>
      <c r="F12" s="1"/>
      <c r="G12" s="18" t="s">
        <v>304</v>
      </c>
      <c r="H12" s="19" t="s">
        <v>305</v>
      </c>
      <c r="J12" s="6" t="s">
        <v>188</v>
      </c>
      <c r="K12" s="7" t="s">
        <v>189</v>
      </c>
    </row>
    <row r="13" spans="1:11">
      <c r="A13" s="10" t="s">
        <v>32</v>
      </c>
      <c r="B13" s="11" t="s">
        <v>33</v>
      </c>
      <c r="C13" s="1"/>
      <c r="D13" s="27" t="s">
        <v>214</v>
      </c>
      <c r="E13" s="29" t="s">
        <v>215</v>
      </c>
      <c r="F13" s="1"/>
      <c r="G13" s="18" t="s">
        <v>306</v>
      </c>
      <c r="H13" s="19" t="s">
        <v>307</v>
      </c>
      <c r="J13" s="6" t="s">
        <v>190</v>
      </c>
      <c r="K13" s="7" t="s">
        <v>191</v>
      </c>
    </row>
    <row r="14" spans="1:11">
      <c r="A14" s="10" t="s">
        <v>34</v>
      </c>
      <c r="B14" s="11" t="s">
        <v>35</v>
      </c>
      <c r="C14" s="1"/>
      <c r="D14" s="27" t="s">
        <v>216</v>
      </c>
      <c r="E14" s="29" t="s">
        <v>217</v>
      </c>
      <c r="F14" s="1"/>
      <c r="G14" s="18" t="s">
        <v>308</v>
      </c>
      <c r="H14" s="19" t="s">
        <v>309</v>
      </c>
      <c r="J14" s="6" t="s">
        <v>192</v>
      </c>
      <c r="K14" s="7" t="s">
        <v>193</v>
      </c>
    </row>
    <row r="15" spans="1:11">
      <c r="A15" s="10" t="s">
        <v>36</v>
      </c>
      <c r="B15" s="11" t="s">
        <v>37</v>
      </c>
      <c r="C15" s="1"/>
      <c r="D15" s="27" t="s">
        <v>218</v>
      </c>
      <c r="E15" s="29" t="s">
        <v>219</v>
      </c>
      <c r="F15" s="1"/>
      <c r="G15" s="18" t="s">
        <v>310</v>
      </c>
      <c r="H15" s="19" t="s">
        <v>311</v>
      </c>
      <c r="J15" s="6" t="s">
        <v>194</v>
      </c>
      <c r="K15" s="7" t="s">
        <v>195</v>
      </c>
    </row>
    <row r="16" spans="1:11">
      <c r="A16" s="10" t="s">
        <v>38</v>
      </c>
      <c r="B16" s="11" t="s">
        <v>39</v>
      </c>
      <c r="C16" s="1"/>
      <c r="D16" s="27" t="s">
        <v>220</v>
      </c>
      <c r="E16" s="29" t="s">
        <v>221</v>
      </c>
      <c r="F16" s="1"/>
      <c r="G16" s="18" t="s">
        <v>464</v>
      </c>
      <c r="H16" s="19" t="s">
        <v>465</v>
      </c>
    </row>
    <row r="17" spans="1:8">
      <c r="A17" s="10" t="s">
        <v>40</v>
      </c>
      <c r="B17" s="11" t="s">
        <v>41</v>
      </c>
      <c r="C17" s="1"/>
      <c r="D17" s="27" t="s">
        <v>222</v>
      </c>
      <c r="E17" s="28" t="s">
        <v>223</v>
      </c>
      <c r="F17" s="1"/>
      <c r="G17" s="18" t="s">
        <v>312</v>
      </c>
      <c r="H17" s="19" t="s">
        <v>313</v>
      </c>
    </row>
    <row r="18" spans="1:8">
      <c r="A18" s="10" t="s">
        <v>42</v>
      </c>
      <c r="B18" s="11" t="s">
        <v>43</v>
      </c>
      <c r="C18" s="1"/>
      <c r="D18" s="27" t="s">
        <v>224</v>
      </c>
      <c r="E18" s="28" t="s">
        <v>225</v>
      </c>
      <c r="F18" s="1"/>
      <c r="G18" s="18" t="s">
        <v>314</v>
      </c>
      <c r="H18" s="19" t="s">
        <v>315</v>
      </c>
    </row>
    <row r="19" spans="1:8">
      <c r="A19" s="10" t="s">
        <v>44</v>
      </c>
      <c r="B19" s="11" t="s">
        <v>45</v>
      </c>
      <c r="C19" s="1"/>
      <c r="D19" s="27" t="s">
        <v>226</v>
      </c>
      <c r="E19" s="28" t="s">
        <v>227</v>
      </c>
      <c r="F19" s="1"/>
      <c r="G19" s="18" t="s">
        <v>316</v>
      </c>
      <c r="H19" s="19" t="s">
        <v>317</v>
      </c>
    </row>
    <row r="20" spans="1:8">
      <c r="A20" s="10" t="s">
        <v>46</v>
      </c>
      <c r="B20" s="11" t="s">
        <v>47</v>
      </c>
      <c r="C20" s="1"/>
      <c r="D20" s="27" t="s">
        <v>228</v>
      </c>
      <c r="E20" s="28" t="s">
        <v>229</v>
      </c>
      <c r="F20" s="1"/>
      <c r="G20" s="18" t="s">
        <v>318</v>
      </c>
      <c r="H20" s="19" t="s">
        <v>319</v>
      </c>
    </row>
    <row r="21" spans="1:8">
      <c r="A21" s="10" t="s">
        <v>48</v>
      </c>
      <c r="B21" s="11" t="s">
        <v>49</v>
      </c>
      <c r="C21" s="1"/>
      <c r="D21" s="27" t="s">
        <v>230</v>
      </c>
      <c r="E21" s="28" t="s">
        <v>231</v>
      </c>
      <c r="F21" s="1"/>
      <c r="G21" s="18" t="s">
        <v>320</v>
      </c>
      <c r="H21" s="19" t="s">
        <v>321</v>
      </c>
    </row>
    <row r="22" spans="1:8">
      <c r="A22" s="10" t="s">
        <v>50</v>
      </c>
      <c r="B22" s="11" t="s">
        <v>51</v>
      </c>
      <c r="C22" s="1"/>
      <c r="D22" s="27" t="s">
        <v>232</v>
      </c>
      <c r="E22" s="28" t="s">
        <v>233</v>
      </c>
      <c r="F22" s="1"/>
      <c r="G22" s="18" t="s">
        <v>322</v>
      </c>
      <c r="H22" s="19" t="s">
        <v>323</v>
      </c>
    </row>
    <row r="23" spans="1:8">
      <c r="A23" s="10" t="s">
        <v>52</v>
      </c>
      <c r="B23" s="11" t="s">
        <v>53</v>
      </c>
      <c r="C23" s="1"/>
      <c r="D23" s="27" t="s">
        <v>234</v>
      </c>
      <c r="E23" s="28" t="s">
        <v>235</v>
      </c>
      <c r="F23" s="1"/>
      <c r="G23" s="18" t="s">
        <v>324</v>
      </c>
      <c r="H23" s="19" t="s">
        <v>325</v>
      </c>
    </row>
    <row r="24" spans="1:8">
      <c r="A24" s="10" t="s">
        <v>54</v>
      </c>
      <c r="B24" s="11" t="s">
        <v>55</v>
      </c>
      <c r="C24" s="1"/>
      <c r="D24" s="27" t="s">
        <v>236</v>
      </c>
      <c r="E24" s="28" t="s">
        <v>237</v>
      </c>
      <c r="F24" s="1"/>
      <c r="G24" s="18" t="s">
        <v>466</v>
      </c>
      <c r="H24" s="19" t="s">
        <v>467</v>
      </c>
    </row>
    <row r="25" spans="1:8">
      <c r="A25" s="10" t="s">
        <v>56</v>
      </c>
      <c r="B25" s="11" t="s">
        <v>57</v>
      </c>
      <c r="C25" s="1"/>
      <c r="D25" s="27" t="s">
        <v>238</v>
      </c>
      <c r="E25" s="28" t="s">
        <v>239</v>
      </c>
      <c r="F25" s="1"/>
      <c r="G25" s="18" t="s">
        <v>468</v>
      </c>
      <c r="H25" s="19" t="s">
        <v>469</v>
      </c>
    </row>
    <row r="26" spans="1:8">
      <c r="A26" s="10" t="s">
        <v>58</v>
      </c>
      <c r="B26" s="11" t="s">
        <v>59</v>
      </c>
      <c r="C26" s="1"/>
      <c r="D26" s="27" t="s">
        <v>240</v>
      </c>
      <c r="E26" s="28" t="s">
        <v>241</v>
      </c>
      <c r="F26" s="1"/>
      <c r="G26" s="1"/>
      <c r="H26" s="1"/>
    </row>
    <row r="27" spans="1:8">
      <c r="A27" s="10" t="s">
        <v>60</v>
      </c>
      <c r="B27" s="11" t="s">
        <v>61</v>
      </c>
      <c r="C27" s="1"/>
      <c r="D27" s="27" t="s">
        <v>242</v>
      </c>
      <c r="E27" s="28" t="s">
        <v>243</v>
      </c>
      <c r="F27" s="1"/>
      <c r="G27" s="18" t="s">
        <v>326</v>
      </c>
      <c r="H27" s="19" t="s">
        <v>327</v>
      </c>
    </row>
    <row r="28" spans="1:8">
      <c r="A28" s="10" t="s">
        <v>62</v>
      </c>
      <c r="B28" s="11" t="s">
        <v>63</v>
      </c>
      <c r="C28" s="1"/>
      <c r="D28" s="1"/>
      <c r="E28" s="1"/>
      <c r="F28" s="1"/>
      <c r="G28" s="18" t="s">
        <v>328</v>
      </c>
      <c r="H28" s="19" t="s">
        <v>329</v>
      </c>
    </row>
    <row r="29" spans="1:8">
      <c r="A29" s="10" t="s">
        <v>64</v>
      </c>
      <c r="B29" s="11" t="s">
        <v>65</v>
      </c>
      <c r="C29" s="1"/>
      <c r="D29" s="12" t="s">
        <v>244</v>
      </c>
      <c r="E29" s="13" t="s">
        <v>245</v>
      </c>
      <c r="F29" s="1"/>
      <c r="G29" s="20" t="s">
        <v>330</v>
      </c>
      <c r="H29" s="21" t="s">
        <v>331</v>
      </c>
    </row>
    <row r="30" spans="1:8">
      <c r="A30" s="10" t="s">
        <v>66</v>
      </c>
      <c r="B30" s="11" t="s">
        <v>67</v>
      </c>
      <c r="C30" s="1"/>
      <c r="D30" s="12" t="s">
        <v>246</v>
      </c>
      <c r="E30" s="13" t="s">
        <v>247</v>
      </c>
      <c r="F30" s="1"/>
      <c r="G30" s="20" t="s">
        <v>332</v>
      </c>
      <c r="H30" s="21" t="s">
        <v>333</v>
      </c>
    </row>
    <row r="31" spans="1:8">
      <c r="A31" s="10" t="s">
        <v>68</v>
      </c>
      <c r="B31" s="11" t="s">
        <v>69</v>
      </c>
      <c r="C31" s="1"/>
      <c r="D31" s="12" t="s">
        <v>248</v>
      </c>
      <c r="E31" s="13" t="s">
        <v>249</v>
      </c>
      <c r="F31" s="1"/>
      <c r="G31" s="20" t="s">
        <v>334</v>
      </c>
      <c r="H31" s="21" t="s">
        <v>335</v>
      </c>
    </row>
    <row r="32" spans="1:8">
      <c r="A32" s="10" t="s">
        <v>70</v>
      </c>
      <c r="B32" s="11" t="s">
        <v>71</v>
      </c>
      <c r="C32" s="1"/>
      <c r="D32" s="12" t="s">
        <v>250</v>
      </c>
      <c r="E32" s="13" t="s">
        <v>251</v>
      </c>
      <c r="F32" s="1"/>
      <c r="G32" s="20" t="s">
        <v>336</v>
      </c>
      <c r="H32" s="21" t="s">
        <v>337</v>
      </c>
    </row>
    <row r="33" spans="1:8">
      <c r="A33" s="10" t="s">
        <v>72</v>
      </c>
      <c r="B33" s="11" t="s">
        <v>73</v>
      </c>
      <c r="C33" s="1"/>
      <c r="D33" s="12" t="s">
        <v>252</v>
      </c>
      <c r="E33" s="13" t="s">
        <v>253</v>
      </c>
      <c r="F33" s="1"/>
      <c r="G33" s="20" t="s">
        <v>338</v>
      </c>
      <c r="H33" s="21" t="s">
        <v>339</v>
      </c>
    </row>
    <row r="34" spans="1:8">
      <c r="A34" s="10" t="s">
        <v>74</v>
      </c>
      <c r="B34" s="11" t="s">
        <v>75</v>
      </c>
      <c r="C34" s="1"/>
      <c r="D34" s="12" t="s">
        <v>254</v>
      </c>
      <c r="E34" s="13" t="s">
        <v>255</v>
      </c>
      <c r="F34" s="1"/>
      <c r="G34" s="20" t="s">
        <v>340</v>
      </c>
      <c r="H34" s="21" t="s">
        <v>341</v>
      </c>
    </row>
    <row r="35" spans="1:8">
      <c r="A35" s="10" t="s">
        <v>76</v>
      </c>
      <c r="B35" s="11" t="s">
        <v>77</v>
      </c>
      <c r="C35" s="1"/>
      <c r="D35" s="12" t="s">
        <v>256</v>
      </c>
      <c r="E35" s="13" t="s">
        <v>257</v>
      </c>
      <c r="F35" s="1"/>
      <c r="G35" s="20" t="s">
        <v>342</v>
      </c>
      <c r="H35" s="21" t="s">
        <v>343</v>
      </c>
    </row>
    <row r="36" spans="1:8">
      <c r="A36" s="10" t="s">
        <v>78</v>
      </c>
      <c r="B36" s="11" t="s">
        <v>79</v>
      </c>
      <c r="C36" s="1"/>
      <c r="D36" s="12" t="s">
        <v>258</v>
      </c>
      <c r="E36" s="13" t="s">
        <v>259</v>
      </c>
      <c r="F36" s="1"/>
      <c r="G36" s="20" t="s">
        <v>344</v>
      </c>
      <c r="H36" s="21" t="s">
        <v>345</v>
      </c>
    </row>
    <row r="37" spans="1:8">
      <c r="A37" s="10" t="s">
        <v>80</v>
      </c>
      <c r="B37" s="11" t="s">
        <v>81</v>
      </c>
      <c r="C37" s="1"/>
      <c r="D37" s="12" t="s">
        <v>260</v>
      </c>
      <c r="E37" s="13" t="s">
        <v>261</v>
      </c>
      <c r="F37" s="1"/>
      <c r="G37" s="20" t="s">
        <v>346</v>
      </c>
      <c r="H37" s="21" t="s">
        <v>347</v>
      </c>
    </row>
    <row r="38" spans="1:8">
      <c r="A38" s="10" t="s">
        <v>82</v>
      </c>
      <c r="B38" s="11" t="s">
        <v>83</v>
      </c>
      <c r="C38" s="1"/>
      <c r="D38" s="12" t="s">
        <v>262</v>
      </c>
      <c r="E38" s="13" t="s">
        <v>263</v>
      </c>
      <c r="F38" s="1"/>
      <c r="G38" s="20" t="s">
        <v>348</v>
      </c>
      <c r="H38" s="21" t="s">
        <v>349</v>
      </c>
    </row>
    <row r="39" spans="1:8">
      <c r="A39" s="10" t="s">
        <v>84</v>
      </c>
      <c r="B39" s="11" t="s">
        <v>9</v>
      </c>
      <c r="C39" s="1"/>
      <c r="D39" s="12" t="s">
        <v>264</v>
      </c>
      <c r="E39" s="13" t="s">
        <v>265</v>
      </c>
      <c r="F39" s="1"/>
      <c r="G39" s="20" t="s">
        <v>350</v>
      </c>
      <c r="H39" s="21" t="s">
        <v>351</v>
      </c>
    </row>
    <row r="40" spans="1:8">
      <c r="A40" s="10" t="s">
        <v>85</v>
      </c>
      <c r="B40" s="11" t="s">
        <v>86</v>
      </c>
      <c r="C40" s="1"/>
      <c r="D40" s="12" t="s">
        <v>266</v>
      </c>
      <c r="E40" s="13" t="s">
        <v>267</v>
      </c>
      <c r="F40" s="1"/>
      <c r="G40" s="20" t="s">
        <v>352</v>
      </c>
      <c r="H40" s="21" t="s">
        <v>353</v>
      </c>
    </row>
    <row r="41" spans="1:8">
      <c r="A41" s="10" t="s">
        <v>87</v>
      </c>
      <c r="B41" s="11" t="s">
        <v>37</v>
      </c>
      <c r="C41" s="1"/>
      <c r="D41" s="12" t="s">
        <v>268</v>
      </c>
      <c r="E41" s="13" t="s">
        <v>269</v>
      </c>
      <c r="F41" s="1"/>
      <c r="G41" s="20" t="s">
        <v>354</v>
      </c>
      <c r="H41" s="21" t="s">
        <v>355</v>
      </c>
    </row>
    <row r="42" spans="1:8">
      <c r="A42" s="10" t="s">
        <v>88</v>
      </c>
      <c r="B42" s="11" t="s">
        <v>89</v>
      </c>
      <c r="C42" s="1"/>
      <c r="D42" s="12" t="s">
        <v>270</v>
      </c>
      <c r="E42" s="13" t="s">
        <v>271</v>
      </c>
      <c r="F42" s="1"/>
      <c r="G42" s="20" t="s">
        <v>356</v>
      </c>
      <c r="H42" s="21" t="s">
        <v>357</v>
      </c>
    </row>
    <row r="43" spans="1:8">
      <c r="A43" s="10" t="s">
        <v>90</v>
      </c>
      <c r="B43" s="11" t="s">
        <v>31</v>
      </c>
      <c r="C43" s="1"/>
      <c r="D43" s="12" t="s">
        <v>272</v>
      </c>
      <c r="E43" s="13" t="s">
        <v>273</v>
      </c>
      <c r="F43" s="1"/>
      <c r="G43" s="20" t="s">
        <v>358</v>
      </c>
      <c r="H43" s="21" t="s">
        <v>359</v>
      </c>
    </row>
    <row r="44" spans="1:8">
      <c r="A44" s="10" t="s">
        <v>91</v>
      </c>
      <c r="B44" s="11" t="s">
        <v>51</v>
      </c>
      <c r="C44" s="1"/>
      <c r="D44" s="12" t="s">
        <v>274</v>
      </c>
      <c r="E44" s="13" t="s">
        <v>275</v>
      </c>
      <c r="F44" s="1"/>
      <c r="G44" s="20" t="s">
        <v>360</v>
      </c>
      <c r="H44" s="21" t="s">
        <v>361</v>
      </c>
    </row>
    <row r="45" spans="1:8">
      <c r="A45" s="10" t="s">
        <v>92</v>
      </c>
      <c r="B45" s="11" t="s">
        <v>93</v>
      </c>
      <c r="C45" s="1"/>
      <c r="D45" s="12" t="s">
        <v>276</v>
      </c>
      <c r="E45" s="13" t="s">
        <v>277</v>
      </c>
      <c r="F45" s="1"/>
      <c r="G45" s="20" t="s">
        <v>362</v>
      </c>
      <c r="H45" s="21" t="s">
        <v>363</v>
      </c>
    </row>
    <row r="46" spans="1:8">
      <c r="A46" s="10" t="s">
        <v>94</v>
      </c>
      <c r="B46" s="11" t="s">
        <v>95</v>
      </c>
      <c r="C46" s="1"/>
      <c r="D46" s="12" t="s">
        <v>278</v>
      </c>
      <c r="E46" s="13" t="s">
        <v>279</v>
      </c>
      <c r="F46" s="1"/>
      <c r="G46" s="20" t="s">
        <v>364</v>
      </c>
      <c r="H46" s="21" t="s">
        <v>365</v>
      </c>
    </row>
    <row r="47" spans="1:8">
      <c r="A47" s="10" t="s">
        <v>96</v>
      </c>
      <c r="B47" s="11" t="s">
        <v>97</v>
      </c>
      <c r="C47" s="1"/>
      <c r="D47" s="12" t="s">
        <v>280</v>
      </c>
      <c r="E47" s="13" t="s">
        <v>281</v>
      </c>
      <c r="F47" s="1"/>
      <c r="G47" s="20" t="s">
        <v>366</v>
      </c>
      <c r="H47" s="21" t="s">
        <v>367</v>
      </c>
    </row>
    <row r="48" spans="1:8">
      <c r="A48" s="10" t="s">
        <v>98</v>
      </c>
      <c r="B48" s="11" t="s">
        <v>99</v>
      </c>
      <c r="C48" s="1"/>
      <c r="D48" s="12" t="s">
        <v>282</v>
      </c>
      <c r="E48" s="13" t="s">
        <v>283</v>
      </c>
      <c r="F48" s="1"/>
      <c r="G48" s="20" t="s">
        <v>368</v>
      </c>
      <c r="H48" s="21" t="s">
        <v>369</v>
      </c>
    </row>
    <row r="49" spans="1:8">
      <c r="A49" s="10" t="s">
        <v>100</v>
      </c>
      <c r="B49" s="11" t="s">
        <v>101</v>
      </c>
      <c r="C49" s="1"/>
      <c r="D49" s="1"/>
      <c r="E49" s="1"/>
      <c r="F49" s="1"/>
      <c r="G49" s="20" t="s">
        <v>370</v>
      </c>
      <c r="H49" s="21" t="s">
        <v>371</v>
      </c>
    </row>
    <row r="50" spans="1:8">
      <c r="A50" s="10" t="s">
        <v>102</v>
      </c>
      <c r="B50" s="11" t="s">
        <v>41</v>
      </c>
      <c r="C50" s="1"/>
      <c r="D50" s="14" t="s">
        <v>411</v>
      </c>
      <c r="E50" s="15" t="s">
        <v>412</v>
      </c>
      <c r="F50" s="1"/>
      <c r="G50" s="20" t="s">
        <v>372</v>
      </c>
      <c r="H50" s="21" t="s">
        <v>373</v>
      </c>
    </row>
    <row r="51" spans="1:8">
      <c r="A51" s="10" t="s">
        <v>103</v>
      </c>
      <c r="B51" s="11" t="s">
        <v>104</v>
      </c>
      <c r="C51" s="1"/>
      <c r="D51" s="14" t="s">
        <v>413</v>
      </c>
      <c r="E51" s="15" t="s">
        <v>414</v>
      </c>
      <c r="F51" s="1"/>
      <c r="G51" s="20" t="s">
        <v>374</v>
      </c>
      <c r="H51" s="21" t="s">
        <v>375</v>
      </c>
    </row>
    <row r="52" spans="1:8">
      <c r="A52" s="10" t="s">
        <v>105</v>
      </c>
      <c r="B52" s="11" t="s">
        <v>106</v>
      </c>
      <c r="C52" s="1"/>
      <c r="D52" s="14" t="s">
        <v>415</v>
      </c>
      <c r="E52" s="15" t="s">
        <v>416</v>
      </c>
      <c r="F52" s="1"/>
      <c r="G52" s="20" t="s">
        <v>376</v>
      </c>
      <c r="H52" s="21" t="s">
        <v>377</v>
      </c>
    </row>
    <row r="53" spans="1:8">
      <c r="A53" s="10" t="s">
        <v>107</v>
      </c>
      <c r="B53" s="11" t="s">
        <v>108</v>
      </c>
      <c r="C53" s="1"/>
      <c r="D53" s="14" t="s">
        <v>417</v>
      </c>
      <c r="E53" s="15" t="s">
        <v>418</v>
      </c>
      <c r="F53" s="1"/>
      <c r="G53" s="20" t="s">
        <v>378</v>
      </c>
      <c r="H53" s="21" t="s">
        <v>379</v>
      </c>
    </row>
    <row r="54" spans="1:8">
      <c r="A54" s="10" t="s">
        <v>109</v>
      </c>
      <c r="B54" s="11" t="s">
        <v>110</v>
      </c>
      <c r="C54" s="1"/>
      <c r="D54" s="14" t="s">
        <v>419</v>
      </c>
      <c r="E54" s="15" t="s">
        <v>420</v>
      </c>
      <c r="F54" s="1"/>
      <c r="G54" s="20" t="s">
        <v>380</v>
      </c>
      <c r="H54" s="21" t="s">
        <v>381</v>
      </c>
    </row>
    <row r="55" spans="1:8">
      <c r="A55" s="10" t="s">
        <v>111</v>
      </c>
      <c r="B55" s="11" t="s">
        <v>112</v>
      </c>
      <c r="C55" s="1"/>
      <c r="D55" s="16" t="s">
        <v>421</v>
      </c>
      <c r="E55" s="17" t="s">
        <v>422</v>
      </c>
      <c r="F55" s="1"/>
      <c r="G55" s="20" t="s">
        <v>382</v>
      </c>
      <c r="H55" s="21" t="s">
        <v>383</v>
      </c>
    </row>
    <row r="56" spans="1:8">
      <c r="A56" s="10" t="s">
        <v>113</v>
      </c>
      <c r="B56" s="11" t="s">
        <v>114</v>
      </c>
      <c r="C56" s="1"/>
      <c r="D56" s="16" t="s">
        <v>423</v>
      </c>
      <c r="E56" s="17" t="s">
        <v>424</v>
      </c>
      <c r="F56" s="1"/>
      <c r="G56" s="20" t="s">
        <v>384</v>
      </c>
      <c r="H56" s="21" t="s">
        <v>385</v>
      </c>
    </row>
    <row r="57" spans="1:8">
      <c r="A57" s="10" t="s">
        <v>115</v>
      </c>
      <c r="B57" s="11" t="s">
        <v>116</v>
      </c>
      <c r="C57" s="1"/>
      <c r="D57" s="16" t="s">
        <v>425</v>
      </c>
      <c r="E57" s="17" t="s">
        <v>426</v>
      </c>
      <c r="F57" s="1"/>
      <c r="G57" s="20" t="s">
        <v>386</v>
      </c>
      <c r="H57" s="21" t="s">
        <v>387</v>
      </c>
    </row>
    <row r="58" spans="1:8">
      <c r="A58" s="10" t="s">
        <v>117</v>
      </c>
      <c r="B58" s="11" t="s">
        <v>118</v>
      </c>
      <c r="C58" s="1"/>
      <c r="D58" s="16" t="s">
        <v>427</v>
      </c>
      <c r="E58" s="17" t="s">
        <v>428</v>
      </c>
      <c r="F58" s="1"/>
      <c r="G58" s="20" t="s">
        <v>388</v>
      </c>
      <c r="H58" s="21" t="s">
        <v>389</v>
      </c>
    </row>
    <row r="59" spans="1:8">
      <c r="A59" s="10" t="s">
        <v>119</v>
      </c>
      <c r="B59" s="11" t="s">
        <v>120</v>
      </c>
      <c r="C59" s="1"/>
      <c r="D59" s="16" t="s">
        <v>429</v>
      </c>
      <c r="E59" s="17" t="s">
        <v>430</v>
      </c>
      <c r="F59" s="1"/>
      <c r="G59" s="20" t="s">
        <v>390</v>
      </c>
      <c r="H59" s="21" t="s">
        <v>391</v>
      </c>
    </row>
    <row r="60" spans="1:8">
      <c r="A60" s="10" t="s">
        <v>121</v>
      </c>
      <c r="B60" s="11" t="s">
        <v>122</v>
      </c>
      <c r="C60" s="1"/>
      <c r="D60" s="16" t="s">
        <v>431</v>
      </c>
      <c r="E60" s="17" t="s">
        <v>432</v>
      </c>
      <c r="F60" s="1"/>
      <c r="G60" s="20" t="s">
        <v>392</v>
      </c>
      <c r="H60" s="21" t="s">
        <v>35</v>
      </c>
    </row>
    <row r="61" spans="1:8">
      <c r="A61" s="10" t="s">
        <v>123</v>
      </c>
      <c r="B61" s="11" t="s">
        <v>124</v>
      </c>
      <c r="C61" s="1"/>
      <c r="D61" s="16" t="s">
        <v>433</v>
      </c>
      <c r="E61" s="17" t="s">
        <v>434</v>
      </c>
      <c r="F61" s="1"/>
      <c r="G61" s="20" t="s">
        <v>393</v>
      </c>
      <c r="H61" s="21" t="s">
        <v>394</v>
      </c>
    </row>
    <row r="62" spans="1:8">
      <c r="A62" s="10" t="s">
        <v>125</v>
      </c>
      <c r="B62" s="11" t="s">
        <v>126</v>
      </c>
      <c r="C62" s="1"/>
      <c r="D62" s="16" t="s">
        <v>435</v>
      </c>
      <c r="E62" s="17" t="s">
        <v>436</v>
      </c>
      <c r="F62" s="1"/>
      <c r="G62" s="20" t="s">
        <v>395</v>
      </c>
      <c r="H62" s="21" t="s">
        <v>396</v>
      </c>
    </row>
    <row r="63" spans="1:8">
      <c r="A63" s="10" t="s">
        <v>127</v>
      </c>
      <c r="B63" s="11" t="s">
        <v>128</v>
      </c>
      <c r="C63" s="1"/>
      <c r="D63" s="16" t="s">
        <v>437</v>
      </c>
      <c r="E63" s="17" t="s">
        <v>438</v>
      </c>
      <c r="F63" s="1"/>
      <c r="G63" s="20" t="s">
        <v>397</v>
      </c>
      <c r="H63" s="21" t="s">
        <v>398</v>
      </c>
    </row>
    <row r="64" spans="1:8">
      <c r="A64" s="10" t="s">
        <v>129</v>
      </c>
      <c r="B64" s="11" t="s">
        <v>130</v>
      </c>
      <c r="C64" s="1"/>
      <c r="D64" s="16" t="s">
        <v>439</v>
      </c>
      <c r="E64" s="17" t="s">
        <v>440</v>
      </c>
      <c r="F64" s="1"/>
      <c r="G64" s="20" t="s">
        <v>399</v>
      </c>
      <c r="H64" s="21" t="s">
        <v>400</v>
      </c>
    </row>
    <row r="65" spans="1:8">
      <c r="A65" s="10" t="s">
        <v>131</v>
      </c>
      <c r="B65" s="11" t="s">
        <v>132</v>
      </c>
      <c r="C65" s="1"/>
      <c r="D65" s="16" t="s">
        <v>441</v>
      </c>
      <c r="E65" s="17" t="s">
        <v>442</v>
      </c>
      <c r="F65" s="1"/>
      <c r="G65" s="20" t="s">
        <v>401</v>
      </c>
      <c r="H65" s="21" t="s">
        <v>402</v>
      </c>
    </row>
    <row r="66" spans="1:8">
      <c r="A66" s="10" t="s">
        <v>133</v>
      </c>
      <c r="B66" s="11" t="s">
        <v>134</v>
      </c>
      <c r="C66" s="1"/>
      <c r="D66" s="16" t="s">
        <v>443</v>
      </c>
      <c r="E66" s="17" t="s">
        <v>444</v>
      </c>
      <c r="F66" s="1"/>
      <c r="G66" s="20" t="s">
        <v>403</v>
      </c>
      <c r="H66" s="21" t="s">
        <v>404</v>
      </c>
    </row>
    <row r="67" spans="1:8">
      <c r="A67" s="10" t="s">
        <v>135</v>
      </c>
      <c r="B67" s="11" t="s">
        <v>136</v>
      </c>
      <c r="C67" s="1"/>
      <c r="D67" s="16" t="s">
        <v>445</v>
      </c>
      <c r="E67" s="17" t="s">
        <v>446</v>
      </c>
      <c r="F67" s="1"/>
      <c r="G67" s="20" t="s">
        <v>405</v>
      </c>
      <c r="H67" s="21" t="s">
        <v>406</v>
      </c>
    </row>
    <row r="68" spans="1:8">
      <c r="A68" s="10" t="s">
        <v>137</v>
      </c>
      <c r="B68" s="11" t="s">
        <v>138</v>
      </c>
      <c r="C68" s="1"/>
      <c r="D68" s="16" t="s">
        <v>447</v>
      </c>
      <c r="E68" s="17" t="s">
        <v>448</v>
      </c>
      <c r="F68" s="1"/>
      <c r="G68" s="20" t="s">
        <v>407</v>
      </c>
      <c r="H68" s="21" t="s">
        <v>408</v>
      </c>
    </row>
    <row r="69" spans="1:8">
      <c r="A69" s="10" t="s">
        <v>139</v>
      </c>
      <c r="B69" s="11" t="s">
        <v>140</v>
      </c>
      <c r="C69" s="1"/>
      <c r="D69" s="16" t="s">
        <v>449</v>
      </c>
      <c r="E69" s="17" t="s">
        <v>450</v>
      </c>
      <c r="F69" s="1"/>
      <c r="G69" s="20" t="s">
        <v>409</v>
      </c>
      <c r="H69" s="21" t="s">
        <v>410</v>
      </c>
    </row>
    <row r="70" spans="1:8">
      <c r="A70" s="10" t="s">
        <v>141</v>
      </c>
      <c r="B70" s="11" t="s">
        <v>142</v>
      </c>
      <c r="C70" s="1"/>
      <c r="D70" s="16" t="s">
        <v>451</v>
      </c>
      <c r="E70" s="17" t="s">
        <v>452</v>
      </c>
      <c r="F70" s="1"/>
      <c r="G70" s="20" t="s">
        <v>470</v>
      </c>
      <c r="H70" s="21" t="s">
        <v>471</v>
      </c>
    </row>
    <row r="71" spans="1:8">
      <c r="A71" s="10" t="s">
        <v>143</v>
      </c>
      <c r="B71" s="11" t="s">
        <v>144</v>
      </c>
      <c r="C71" s="1"/>
      <c r="D71" s="16" t="s">
        <v>453</v>
      </c>
      <c r="E71" s="17" t="s">
        <v>454</v>
      </c>
      <c r="F71" s="1"/>
      <c r="G71" s="20" t="s">
        <v>472</v>
      </c>
      <c r="H71" s="21" t="s">
        <v>473</v>
      </c>
    </row>
    <row r="72" spans="1:8">
      <c r="A72" s="10" t="s">
        <v>145</v>
      </c>
      <c r="B72" s="11" t="s">
        <v>146</v>
      </c>
      <c r="C72" s="1"/>
      <c r="D72" s="16" t="s">
        <v>455</v>
      </c>
      <c r="E72" s="17" t="s">
        <v>456</v>
      </c>
      <c r="F72" s="1"/>
      <c r="G72" s="22" t="s">
        <v>474</v>
      </c>
      <c r="H72" s="23" t="s">
        <v>475</v>
      </c>
    </row>
    <row r="73" spans="1:8">
      <c r="A73" s="10" t="s">
        <v>147</v>
      </c>
      <c r="B73" s="11" t="s">
        <v>148</v>
      </c>
      <c r="C73" s="1"/>
      <c r="D73" s="16" t="s">
        <v>457</v>
      </c>
      <c r="E73" s="17" t="s">
        <v>458</v>
      </c>
      <c r="F73" s="1"/>
      <c r="G73" s="22" t="s">
        <v>476</v>
      </c>
      <c r="H73" s="23" t="s">
        <v>477</v>
      </c>
    </row>
    <row r="74" spans="1:8">
      <c r="A74" s="10" t="s">
        <v>149</v>
      </c>
      <c r="B74" s="11" t="s">
        <v>150</v>
      </c>
      <c r="C74" s="1"/>
      <c r="D74" s="16" t="s">
        <v>459</v>
      </c>
      <c r="E74" s="17" t="s">
        <v>460</v>
      </c>
      <c r="F74" s="1"/>
      <c r="G74" s="22" t="s">
        <v>478</v>
      </c>
      <c r="H74" s="23" t="s">
        <v>479</v>
      </c>
    </row>
    <row r="75" spans="1:8">
      <c r="A75" s="10" t="s">
        <v>151</v>
      </c>
      <c r="B75" s="11" t="s">
        <v>152</v>
      </c>
      <c r="C75" s="1"/>
      <c r="D75" s="16" t="s">
        <v>461</v>
      </c>
      <c r="E75" s="17" t="s">
        <v>462</v>
      </c>
      <c r="F75" s="1"/>
      <c r="G75" s="22" t="s">
        <v>480</v>
      </c>
      <c r="H75" s="23" t="s">
        <v>481</v>
      </c>
    </row>
    <row r="76" spans="1:8">
      <c r="A76" s="10" t="s">
        <v>153</v>
      </c>
      <c r="B76" s="11" t="s">
        <v>154</v>
      </c>
      <c r="C76" s="1"/>
      <c r="D76" s="16" t="s">
        <v>505</v>
      </c>
      <c r="E76" s="17" t="s">
        <v>506</v>
      </c>
      <c r="F76" s="1"/>
      <c r="G76" s="22" t="s">
        <v>482</v>
      </c>
      <c r="H76" s="23" t="s">
        <v>483</v>
      </c>
    </row>
    <row r="77" spans="1:8">
      <c r="A77" s="10" t="s">
        <v>155</v>
      </c>
      <c r="B77" s="11" t="s">
        <v>156</v>
      </c>
      <c r="C77" s="1"/>
      <c r="D77" s="16" t="s">
        <v>507</v>
      </c>
      <c r="E77" s="17" t="s">
        <v>508</v>
      </c>
      <c r="F77" s="1"/>
      <c r="G77" s="22" t="s">
        <v>484</v>
      </c>
      <c r="H77" s="23" t="s">
        <v>485</v>
      </c>
    </row>
    <row r="78" spans="1:8">
      <c r="A78" s="10" t="s">
        <v>157</v>
      </c>
      <c r="B78" s="11" t="s">
        <v>158</v>
      </c>
      <c r="C78" s="1"/>
      <c r="D78" s="1"/>
      <c r="E78" s="1"/>
      <c r="F78" s="1"/>
      <c r="G78" s="22" t="s">
        <v>486</v>
      </c>
      <c r="H78" s="23" t="s">
        <v>487</v>
      </c>
    </row>
    <row r="79" spans="1:8">
      <c r="A79" s="10" t="s">
        <v>159</v>
      </c>
      <c r="B79" s="11" t="s">
        <v>160</v>
      </c>
      <c r="C79" s="1"/>
      <c r="D79" s="1"/>
      <c r="E79" s="1"/>
      <c r="F79" s="1"/>
      <c r="G79" s="22" t="s">
        <v>488</v>
      </c>
      <c r="H79" s="23" t="s">
        <v>489</v>
      </c>
    </row>
    <row r="80" spans="1:8">
      <c r="A80" s="10" t="s">
        <v>161</v>
      </c>
      <c r="B80" s="11" t="s">
        <v>162</v>
      </c>
      <c r="C80" s="1"/>
      <c r="D80" s="1"/>
      <c r="E80" s="1"/>
      <c r="F80" s="1"/>
      <c r="G80" s="22" t="s">
        <v>490</v>
      </c>
      <c r="H80" s="23" t="s">
        <v>509</v>
      </c>
    </row>
    <row r="81" spans="1:8">
      <c r="A81" s="10" t="s">
        <v>163</v>
      </c>
      <c r="B81" s="11" t="s">
        <v>164</v>
      </c>
      <c r="C81" s="1"/>
      <c r="D81" s="1"/>
      <c r="E81" s="1"/>
      <c r="F81" s="1"/>
      <c r="G81" s="22" t="s">
        <v>491</v>
      </c>
      <c r="H81" s="23" t="s">
        <v>492</v>
      </c>
    </row>
    <row r="82" spans="1:8">
      <c r="A82" s="10" t="s">
        <v>165</v>
      </c>
      <c r="B82" s="11" t="s">
        <v>166</v>
      </c>
      <c r="C82" s="1"/>
      <c r="D82" s="1"/>
      <c r="E82" s="1"/>
      <c r="F82" s="1"/>
      <c r="G82" s="22" t="s">
        <v>493</v>
      </c>
      <c r="H82" s="23" t="s">
        <v>494</v>
      </c>
    </row>
    <row r="83" spans="1:8">
      <c r="A83" s="10" t="s">
        <v>167</v>
      </c>
      <c r="B83" s="11" t="s">
        <v>168</v>
      </c>
      <c r="C83" s="1"/>
      <c r="D83" s="1"/>
      <c r="E83" s="1"/>
      <c r="F83" s="1"/>
      <c r="G83" s="22" t="s">
        <v>495</v>
      </c>
      <c r="H83" s="23" t="s">
        <v>496</v>
      </c>
    </row>
    <row r="84" spans="1:8">
      <c r="A84" s="5"/>
      <c r="B84" s="1"/>
      <c r="C84" s="1"/>
      <c r="D84" s="1"/>
      <c r="E84" s="1"/>
      <c r="F84" s="1"/>
      <c r="G84" s="22" t="s">
        <v>497</v>
      </c>
      <c r="H84" s="23" t="s">
        <v>498</v>
      </c>
    </row>
    <row r="85" spans="1:8">
      <c r="C85" s="1"/>
      <c r="D85" s="1"/>
      <c r="E85" s="1"/>
      <c r="F85" s="1"/>
      <c r="G85" s="22" t="s">
        <v>499</v>
      </c>
      <c r="H85" s="23" t="s">
        <v>500</v>
      </c>
    </row>
    <row r="86" spans="1:8">
      <c r="C86" s="1"/>
      <c r="D86" s="1"/>
      <c r="E86" s="1"/>
      <c r="F86" s="1"/>
      <c r="G86" s="22" t="s">
        <v>501</v>
      </c>
      <c r="H86" s="23" t="s">
        <v>502</v>
      </c>
    </row>
    <row r="87" spans="1:8">
      <c r="C87" s="1"/>
      <c r="D87" s="1"/>
      <c r="E87" s="1"/>
      <c r="F87" s="1"/>
      <c r="G87" s="22" t="s">
        <v>503</v>
      </c>
      <c r="H87" s="23" t="s">
        <v>504</v>
      </c>
    </row>
    <row r="92" spans="1:8">
      <c r="C92" s="1"/>
      <c r="D92" s="1"/>
      <c r="E92" s="1"/>
      <c r="F92" s="1"/>
      <c r="G92" s="1"/>
      <c r="H92" s="1"/>
    </row>
    <row r="93" spans="1:8">
      <c r="C93" s="1"/>
      <c r="D93" s="1"/>
      <c r="E93" s="1"/>
      <c r="F93" s="1"/>
      <c r="G93" s="1"/>
      <c r="H93" s="1"/>
    </row>
    <row r="94" spans="1:8">
      <c r="C94" s="1"/>
      <c r="D94" s="1"/>
      <c r="E94" s="1"/>
      <c r="F94" s="1"/>
      <c r="G94" s="1"/>
      <c r="H94" s="1"/>
    </row>
    <row r="95" spans="1:8">
      <c r="C95" s="1"/>
      <c r="D95" s="1"/>
      <c r="E95" s="1"/>
      <c r="F95" s="1"/>
      <c r="G95" s="1"/>
      <c r="H95" s="1"/>
    </row>
    <row r="96" spans="1:8">
      <c r="C96" s="1"/>
      <c r="D96" s="1"/>
      <c r="E96" s="1"/>
      <c r="F96" s="1"/>
      <c r="G96" s="1"/>
      <c r="H96" s="1"/>
    </row>
    <row r="97" spans="3:8">
      <c r="C97" s="1"/>
      <c r="D97" s="1"/>
      <c r="E97" s="1"/>
      <c r="F97" s="1"/>
      <c r="G97" s="1"/>
      <c r="H97" s="1"/>
    </row>
    <row r="98" spans="3:8">
      <c r="C98" s="1"/>
      <c r="D98" s="1"/>
      <c r="E98" s="1"/>
      <c r="F98" s="1"/>
      <c r="G98" s="1"/>
      <c r="H98" s="1"/>
    </row>
    <row r="99" spans="3:8">
      <c r="C99" s="1"/>
      <c r="D99" s="1"/>
      <c r="E99" s="1"/>
      <c r="F99" s="1"/>
      <c r="G99" s="1"/>
      <c r="H99" s="1"/>
    </row>
    <row r="100" spans="3:8">
      <c r="C100" s="1"/>
      <c r="D100" s="1"/>
      <c r="E100" s="1"/>
      <c r="F100" s="1"/>
      <c r="G100" s="1"/>
      <c r="H100" s="1"/>
    </row>
    <row r="101" spans="3:8">
      <c r="C101" s="1"/>
      <c r="D101" s="1"/>
      <c r="E101" s="1"/>
      <c r="F101" s="1"/>
      <c r="G101" s="1"/>
      <c r="H101" s="1"/>
    </row>
    <row r="102" spans="3:8">
      <c r="C102" s="1"/>
      <c r="D102" s="1"/>
      <c r="E102" s="1"/>
      <c r="F102" s="1"/>
      <c r="G102" s="1"/>
      <c r="H102" s="1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AB125"/>
  <sheetViews>
    <sheetView zoomScale="90" zoomScaleNormal="90" zoomScalePageLayoutView="90" workbookViewId="0">
      <selection activeCell="D4" sqref="D4"/>
    </sheetView>
  </sheetViews>
  <sheetFormatPr defaultColWidth="9.140625" defaultRowHeight="12.75"/>
  <cols>
    <col min="1" max="1" width="8" style="5" customWidth="1"/>
    <col min="2" max="2" width="13.140625" style="5" customWidth="1"/>
    <col min="3" max="3" width="22.85546875" style="5" customWidth="1"/>
    <col min="4" max="4" width="11" style="5" customWidth="1"/>
    <col min="5" max="5" width="12.42578125" style="39" customWidth="1"/>
    <col min="6" max="6" width="13.28515625" style="39" customWidth="1"/>
    <col min="7" max="7" width="1.85546875" style="31" customWidth="1"/>
    <col min="8" max="8" width="13.85546875" style="5" customWidth="1"/>
    <col min="9" max="9" width="23.85546875" style="30" customWidth="1"/>
    <col min="10" max="10" width="1.85546875" style="31" customWidth="1"/>
    <col min="11" max="11" width="12" style="31" customWidth="1"/>
    <col min="12" max="12" width="40.42578125" style="31" customWidth="1"/>
    <col min="13" max="13" width="14.42578125" style="31" customWidth="1"/>
    <col min="14" max="14" width="9.140625" style="31"/>
    <col min="15" max="15" width="17.85546875" style="31" customWidth="1"/>
    <col min="16" max="28" width="9.140625" style="31"/>
    <col min="29" max="16384" width="9.140625" style="1"/>
  </cols>
  <sheetData>
    <row r="1" spans="1:28" ht="21.75" customHeight="1">
      <c r="A1" s="33"/>
      <c r="B1" s="33"/>
      <c r="C1" s="42" t="s">
        <v>648</v>
      </c>
      <c r="D1" s="33"/>
      <c r="E1" s="37"/>
      <c r="F1" s="37"/>
      <c r="H1" s="31"/>
      <c r="I1" s="34"/>
      <c r="L1" s="106" t="s">
        <v>635</v>
      </c>
    </row>
    <row r="2" spans="1:28" ht="11.25" customHeight="1">
      <c r="A2" s="33"/>
      <c r="B2" s="33"/>
      <c r="C2" s="33"/>
      <c r="D2" s="33"/>
      <c r="E2" s="37"/>
      <c r="F2" s="37"/>
      <c r="H2" s="31"/>
      <c r="I2" s="34"/>
    </row>
    <row r="3" spans="1:28">
      <c r="A3" s="35" t="s">
        <v>14</v>
      </c>
      <c r="B3" s="35" t="s">
        <v>15</v>
      </c>
      <c r="C3" s="35" t="s">
        <v>16</v>
      </c>
      <c r="D3" s="35" t="s">
        <v>17</v>
      </c>
      <c r="E3" s="38" t="s">
        <v>18</v>
      </c>
      <c r="F3" s="38" t="s">
        <v>19</v>
      </c>
      <c r="H3" s="33"/>
      <c r="I3" s="34"/>
      <c r="K3" s="107" t="s">
        <v>636</v>
      </c>
    </row>
    <row r="4" spans="1:28">
      <c r="A4" s="60">
        <v>1</v>
      </c>
      <c r="B4" s="116" t="s">
        <v>699</v>
      </c>
      <c r="C4" s="73" t="s">
        <v>650</v>
      </c>
      <c r="D4" s="73">
        <v>1</v>
      </c>
      <c r="E4" s="74">
        <f>SIGN(D4)*85000</f>
        <v>85000</v>
      </c>
      <c r="F4" s="74">
        <f>ABS(D4)*E4</f>
        <v>85000</v>
      </c>
      <c r="H4" s="4" t="s">
        <v>514</v>
      </c>
      <c r="I4" s="32" t="s">
        <v>679</v>
      </c>
      <c r="K4" s="154" t="s">
        <v>729</v>
      </c>
      <c r="L4" s="155"/>
      <c r="M4" s="156"/>
      <c r="N4" s="31">
        <v>2</v>
      </c>
      <c r="O4" s="31" t="s">
        <v>645</v>
      </c>
    </row>
    <row r="5" spans="1:28">
      <c r="A5" s="60"/>
      <c r="B5" s="103"/>
      <c r="C5" s="73"/>
      <c r="D5" s="73"/>
      <c r="E5" s="74"/>
      <c r="F5" s="74"/>
      <c r="H5" s="4" t="s">
        <v>4</v>
      </c>
      <c r="I5" s="59" t="s">
        <v>730</v>
      </c>
      <c r="X5" s="1"/>
      <c r="Y5" s="1"/>
      <c r="Z5" s="1"/>
      <c r="AA5" s="1"/>
      <c r="AB5" s="1"/>
    </row>
    <row r="6" spans="1:28">
      <c r="A6" s="60"/>
      <c r="B6" s="73"/>
      <c r="C6" s="73"/>
      <c r="D6" s="73"/>
      <c r="E6" s="74"/>
      <c r="F6" s="74"/>
      <c r="H6" s="4" t="s">
        <v>631</v>
      </c>
      <c r="I6" s="32" t="s">
        <v>684</v>
      </c>
      <c r="K6" s="106" t="s">
        <v>637</v>
      </c>
      <c r="X6" s="1"/>
      <c r="Y6" s="1"/>
      <c r="Z6" s="1"/>
      <c r="AA6" s="1"/>
      <c r="AB6" s="1"/>
    </row>
    <row r="7" spans="1:28" ht="25.5">
      <c r="A7" s="60"/>
      <c r="B7" s="104"/>
      <c r="C7" s="73"/>
      <c r="D7" s="73"/>
      <c r="E7" s="74"/>
      <c r="F7" s="74"/>
      <c r="H7" s="33"/>
      <c r="I7" s="34"/>
      <c r="K7" s="108" t="s">
        <v>638</v>
      </c>
      <c r="L7" s="108" t="s">
        <v>1</v>
      </c>
      <c r="M7" s="108" t="s">
        <v>639</v>
      </c>
      <c r="X7" s="1"/>
      <c r="Y7" s="1"/>
      <c r="Z7" s="1"/>
      <c r="AA7" s="1"/>
      <c r="AB7" s="1"/>
    </row>
    <row r="8" spans="1:28">
      <c r="H8" s="4"/>
      <c r="I8" s="56">
        <v>1</v>
      </c>
      <c r="K8" s="109" t="s">
        <v>675</v>
      </c>
      <c r="L8" s="109" t="s">
        <v>660</v>
      </c>
      <c r="M8" s="110">
        <v>115000</v>
      </c>
      <c r="X8" s="1"/>
      <c r="Y8" s="1"/>
      <c r="Z8" s="1"/>
      <c r="AA8" s="1"/>
      <c r="AB8" s="1"/>
    </row>
    <row r="9" spans="1:28" ht="15.75" customHeight="1">
      <c r="A9" s="53"/>
      <c r="B9" s="104"/>
      <c r="C9" s="73"/>
      <c r="D9" s="73"/>
      <c r="E9" s="74"/>
      <c r="F9" s="74"/>
      <c r="H9" s="65" t="s">
        <v>644</v>
      </c>
      <c r="I9" s="66" t="s">
        <v>701</v>
      </c>
      <c r="K9" s="109" t="s">
        <v>676</v>
      </c>
      <c r="L9" s="109" t="s">
        <v>661</v>
      </c>
      <c r="M9" s="110">
        <v>155000</v>
      </c>
      <c r="X9" s="1"/>
      <c r="Y9" s="1"/>
      <c r="Z9" s="1"/>
      <c r="AA9" s="1"/>
      <c r="AB9" s="1"/>
    </row>
    <row r="10" spans="1:28">
      <c r="A10" s="60"/>
      <c r="B10" s="105"/>
      <c r="C10" s="73"/>
      <c r="D10" s="73"/>
      <c r="E10" s="74"/>
      <c r="F10" s="74"/>
      <c r="H10" s="33"/>
      <c r="I10" s="34"/>
      <c r="K10" s="109" t="s">
        <v>678</v>
      </c>
      <c r="L10" s="109" t="s">
        <v>663</v>
      </c>
      <c r="M10" s="110">
        <v>195000</v>
      </c>
      <c r="X10" s="1"/>
      <c r="Y10" s="1"/>
      <c r="Z10" s="1"/>
      <c r="AA10" s="1"/>
      <c r="AB10" s="1"/>
    </row>
    <row r="11" spans="1:28">
      <c r="A11" s="53"/>
      <c r="B11" s="105"/>
      <c r="C11" s="73"/>
      <c r="D11" s="73"/>
      <c r="E11" s="74"/>
      <c r="F11" s="74"/>
      <c r="H11" s="3" t="s">
        <v>510</v>
      </c>
      <c r="I11" s="91">
        <f>SUM(F:F)</f>
        <v>85000</v>
      </c>
      <c r="K11" s="109"/>
      <c r="L11" s="109"/>
      <c r="M11" s="110"/>
      <c r="X11" s="1"/>
      <c r="Y11" s="1"/>
      <c r="Z11" s="1"/>
      <c r="AA11" s="1"/>
      <c r="AB11" s="1"/>
    </row>
    <row r="12" spans="1:28">
      <c r="A12" s="53"/>
      <c r="B12" s="105"/>
      <c r="C12" s="73"/>
      <c r="D12" s="73"/>
      <c r="E12" s="74"/>
      <c r="F12" s="74"/>
      <c r="H12" s="31"/>
      <c r="I12" s="34"/>
      <c r="K12" s="109"/>
      <c r="L12" s="109"/>
      <c r="M12" s="110"/>
    </row>
    <row r="13" spans="1:28">
      <c r="A13" s="53"/>
      <c r="B13" s="105"/>
      <c r="C13" s="73"/>
      <c r="D13" s="73"/>
      <c r="E13" s="74"/>
      <c r="F13" s="74"/>
      <c r="G13" s="44"/>
      <c r="H13" s="4" t="s">
        <v>5</v>
      </c>
      <c r="I13" s="36"/>
      <c r="J13" s="44"/>
      <c r="K13" s="109"/>
      <c r="L13" s="109"/>
      <c r="M13" s="110"/>
    </row>
    <row r="14" spans="1:28">
      <c r="A14" s="53"/>
      <c r="B14" s="105"/>
      <c r="C14" s="73"/>
      <c r="D14" s="73"/>
      <c r="E14" s="74"/>
      <c r="F14" s="74"/>
      <c r="H14" s="33"/>
      <c r="I14" s="34"/>
      <c r="K14" s="111"/>
      <c r="L14" s="111"/>
      <c r="M14" s="112"/>
    </row>
    <row r="15" spans="1:28" ht="12.75" customHeight="1">
      <c r="A15" s="53"/>
      <c r="B15" s="105"/>
      <c r="C15" s="73"/>
      <c r="D15" s="73"/>
      <c r="E15" s="74"/>
      <c r="F15" s="74"/>
      <c r="H15" s="4" t="s">
        <v>513</v>
      </c>
      <c r="I15" s="113"/>
      <c r="K15" s="111"/>
      <c r="L15" s="111"/>
      <c r="M15" s="112"/>
    </row>
    <row r="16" spans="1:28" ht="13.5" customHeight="1" thickBot="1">
      <c r="H16" s="31"/>
      <c r="K16" s="111"/>
      <c r="L16" s="111"/>
      <c r="M16" s="112"/>
    </row>
    <row r="17" spans="1:13" ht="13.5" customHeight="1">
      <c r="H17" s="61" t="s">
        <v>511</v>
      </c>
      <c r="I17" s="63">
        <f>I11-I13</f>
        <v>85000</v>
      </c>
      <c r="K17" s="114"/>
      <c r="L17" s="114"/>
      <c r="M17" s="114"/>
    </row>
    <row r="18" spans="1:13" ht="13.5" customHeight="1" thickBot="1">
      <c r="A18" s="53"/>
      <c r="B18" s="75"/>
      <c r="C18" s="75"/>
      <c r="D18" s="76"/>
      <c r="E18" s="77"/>
      <c r="F18" s="77"/>
      <c r="H18" s="62"/>
      <c r="I18" s="64"/>
      <c r="J18" s="67"/>
      <c r="K18" s="115"/>
      <c r="L18" s="114"/>
      <c r="M18" s="114"/>
    </row>
    <row r="19" spans="1:13" ht="13.5" customHeight="1">
      <c r="A19" s="53"/>
      <c r="B19" s="78"/>
      <c r="C19" s="69"/>
      <c r="D19" s="79"/>
      <c r="E19" s="70"/>
      <c r="F19" s="70"/>
      <c r="H19" s="33"/>
      <c r="I19" s="34"/>
      <c r="K19" s="114"/>
      <c r="L19" s="114"/>
      <c r="M19" s="114"/>
    </row>
    <row r="20" spans="1:13" s="31" customFormat="1" ht="13.5" customHeight="1">
      <c r="A20" s="53"/>
      <c r="B20" s="78"/>
      <c r="C20" s="69"/>
      <c r="D20" s="79"/>
      <c r="E20" s="70"/>
      <c r="F20" s="70"/>
      <c r="K20" s="114"/>
      <c r="L20" s="114"/>
      <c r="M20" s="114"/>
    </row>
    <row r="21" spans="1:13" ht="13.5" customHeight="1">
      <c r="A21" s="53"/>
      <c r="B21" s="78"/>
      <c r="C21" s="69"/>
      <c r="D21" s="79"/>
      <c r="E21" s="70"/>
      <c r="F21" s="70"/>
      <c r="H21" s="33"/>
      <c r="I21" s="34"/>
      <c r="K21" s="114"/>
      <c r="L21" s="114"/>
      <c r="M21" s="114"/>
    </row>
    <row r="22" spans="1:13" s="31" customFormat="1">
      <c r="A22" s="53"/>
      <c r="B22" s="78"/>
      <c r="C22" s="69"/>
      <c r="D22" s="79"/>
      <c r="E22" s="70"/>
      <c r="F22" s="70"/>
      <c r="K22" s="114"/>
      <c r="L22" s="114"/>
      <c r="M22" s="114"/>
    </row>
    <row r="23" spans="1:13">
      <c r="A23" s="53"/>
      <c r="B23" s="78"/>
      <c r="C23" s="69"/>
      <c r="D23" s="79"/>
      <c r="E23" s="70"/>
      <c r="F23" s="70"/>
      <c r="H23" s="31"/>
      <c r="I23" s="31"/>
    </row>
    <row r="24" spans="1:13">
      <c r="A24" s="53"/>
      <c r="B24" s="78"/>
      <c r="C24" s="69"/>
      <c r="D24" s="79"/>
      <c r="E24" s="70"/>
      <c r="F24" s="70"/>
      <c r="H24" s="31"/>
      <c r="I24" s="31"/>
    </row>
    <row r="25" spans="1:13">
      <c r="A25" s="53"/>
      <c r="B25" s="78"/>
      <c r="C25" s="53"/>
      <c r="D25" s="79"/>
      <c r="E25" s="71"/>
      <c r="F25" s="71"/>
      <c r="H25" s="33"/>
      <c r="I25" s="34"/>
    </row>
    <row r="26" spans="1:13">
      <c r="A26" s="53"/>
      <c r="B26" s="78"/>
      <c r="C26" s="53"/>
      <c r="D26" s="79"/>
      <c r="E26" s="71"/>
      <c r="F26" s="71"/>
      <c r="H26" s="33"/>
      <c r="I26" s="34"/>
    </row>
    <row r="27" spans="1:13">
      <c r="A27" s="53"/>
      <c r="B27" s="78"/>
      <c r="C27" s="53"/>
      <c r="D27" s="79"/>
      <c r="E27" s="71"/>
      <c r="F27" s="71"/>
      <c r="H27" s="33"/>
      <c r="I27" s="34"/>
    </row>
    <row r="28" spans="1:13">
      <c r="A28" s="53"/>
      <c r="B28" s="78"/>
      <c r="C28" s="69"/>
      <c r="D28" s="79"/>
      <c r="E28" s="71"/>
      <c r="F28" s="71"/>
      <c r="H28" s="33"/>
      <c r="I28" s="34"/>
    </row>
    <row r="29" spans="1:13">
      <c r="A29" s="53"/>
      <c r="B29" s="80"/>
      <c r="C29" s="60"/>
      <c r="D29" s="60"/>
      <c r="E29" s="71"/>
      <c r="F29" s="71"/>
      <c r="H29" s="33"/>
      <c r="I29" s="34"/>
    </row>
    <row r="30" spans="1:13">
      <c r="A30" s="53"/>
      <c r="B30" s="80"/>
      <c r="C30" s="60"/>
      <c r="D30" s="60"/>
      <c r="E30" s="71"/>
      <c r="F30" s="71"/>
      <c r="H30" s="33"/>
      <c r="I30" s="34"/>
    </row>
    <row r="31" spans="1:13">
      <c r="A31" s="53"/>
      <c r="B31" s="80"/>
      <c r="C31" s="60"/>
      <c r="D31" s="60"/>
      <c r="E31" s="71"/>
      <c r="F31" s="71"/>
      <c r="H31" s="33"/>
      <c r="I31" s="34"/>
    </row>
    <row r="32" spans="1:13">
      <c r="A32" s="53"/>
      <c r="B32" s="80"/>
      <c r="C32" s="60"/>
      <c r="D32" s="60"/>
      <c r="E32" s="71"/>
      <c r="F32" s="71"/>
      <c r="H32" s="33"/>
      <c r="I32" s="34"/>
    </row>
    <row r="33" spans="1:9">
      <c r="A33" s="53"/>
      <c r="B33" s="80"/>
      <c r="C33" s="60"/>
      <c r="D33" s="60"/>
      <c r="E33" s="71"/>
      <c r="F33" s="71"/>
      <c r="H33" s="33"/>
      <c r="I33" s="34"/>
    </row>
    <row r="34" spans="1:9">
      <c r="A34" s="53"/>
      <c r="B34" s="80"/>
      <c r="C34" s="60"/>
      <c r="D34" s="60"/>
      <c r="E34" s="71"/>
      <c r="F34" s="71"/>
      <c r="H34" s="33"/>
      <c r="I34" s="34"/>
    </row>
    <row r="35" spans="1:9">
      <c r="A35" s="53"/>
      <c r="B35" s="80"/>
      <c r="C35" s="60"/>
      <c r="D35" s="60"/>
      <c r="E35" s="71"/>
      <c r="F35" s="71"/>
      <c r="H35" s="33"/>
      <c r="I35" s="34"/>
    </row>
    <row r="36" spans="1:9">
      <c r="A36" s="53"/>
      <c r="B36" s="78"/>
      <c r="C36" s="72"/>
      <c r="D36" s="79"/>
      <c r="E36" s="71"/>
      <c r="F36" s="71"/>
      <c r="H36" s="33"/>
      <c r="I36" s="34"/>
    </row>
    <row r="37" spans="1:9">
      <c r="A37" s="53"/>
      <c r="B37" s="78"/>
      <c r="C37" s="69"/>
      <c r="D37" s="79"/>
      <c r="E37" s="71"/>
      <c r="F37" s="71"/>
      <c r="H37" s="33"/>
      <c r="I37" s="34"/>
    </row>
    <row r="38" spans="1:9">
      <c r="A38" s="53"/>
      <c r="B38" s="78"/>
      <c r="C38" s="69"/>
      <c r="D38" s="79"/>
      <c r="E38" s="71"/>
      <c r="F38" s="71"/>
      <c r="H38" s="33"/>
      <c r="I38" s="34"/>
    </row>
    <row r="39" spans="1:9">
      <c r="A39" s="53"/>
      <c r="B39" s="78"/>
      <c r="C39" s="69"/>
      <c r="D39" s="79"/>
      <c r="E39" s="71"/>
      <c r="F39" s="71"/>
      <c r="H39" s="33"/>
      <c r="I39" s="34"/>
    </row>
    <row r="40" spans="1:9">
      <c r="A40" s="53"/>
      <c r="B40" s="78"/>
      <c r="C40" s="69"/>
      <c r="D40" s="79"/>
      <c r="E40" s="71"/>
      <c r="F40" s="71"/>
      <c r="H40" s="33"/>
      <c r="I40" s="34"/>
    </row>
    <row r="41" spans="1:9">
      <c r="A41" s="53"/>
      <c r="B41" s="53"/>
      <c r="C41" s="53"/>
      <c r="D41" s="53"/>
      <c r="E41" s="71"/>
      <c r="F41" s="71"/>
      <c r="H41" s="33"/>
      <c r="I41" s="34"/>
    </row>
    <row r="42" spans="1:9">
      <c r="A42" s="53"/>
      <c r="B42" s="53"/>
      <c r="C42" s="53"/>
      <c r="D42" s="53"/>
      <c r="E42" s="71"/>
      <c r="F42" s="71"/>
      <c r="H42" s="33"/>
      <c r="I42" s="34"/>
    </row>
    <row r="43" spans="1:9">
      <c r="A43" s="53"/>
      <c r="B43" s="53"/>
      <c r="C43" s="53"/>
      <c r="D43" s="53"/>
      <c r="E43" s="71"/>
      <c r="F43" s="71"/>
      <c r="H43" s="33"/>
      <c r="I43" s="34"/>
    </row>
    <row r="44" spans="1:9">
      <c r="H44" s="33"/>
      <c r="I44" s="34"/>
    </row>
    <row r="45" spans="1:9">
      <c r="H45" s="33"/>
      <c r="I45" s="34"/>
    </row>
    <row r="46" spans="1:9" s="31" customFormat="1">
      <c r="A46" s="33"/>
      <c r="B46" s="33"/>
      <c r="C46" s="33"/>
      <c r="D46" s="33"/>
      <c r="E46" s="37"/>
      <c r="F46" s="37"/>
      <c r="H46" s="33"/>
      <c r="I46" s="34"/>
    </row>
    <row r="47" spans="1:9" s="31" customFormat="1">
      <c r="A47" s="33"/>
      <c r="B47" s="33"/>
      <c r="C47" s="33"/>
      <c r="D47" s="33"/>
      <c r="E47" s="37"/>
      <c r="F47" s="37"/>
      <c r="H47" s="33"/>
      <c r="I47" s="34"/>
    </row>
    <row r="48" spans="1:9" s="31" customFormat="1">
      <c r="A48" s="33"/>
      <c r="B48" s="33"/>
      <c r="C48" s="33"/>
      <c r="D48" s="33"/>
      <c r="E48" s="37"/>
      <c r="F48" s="37"/>
      <c r="H48" s="33"/>
      <c r="I48" s="34"/>
    </row>
    <row r="49" spans="1:9" s="31" customFormat="1">
      <c r="A49" s="33"/>
      <c r="B49" s="33"/>
      <c r="C49" s="33"/>
      <c r="D49" s="33"/>
      <c r="E49" s="37"/>
      <c r="F49" s="37"/>
      <c r="H49" s="33"/>
      <c r="I49" s="34"/>
    </row>
    <row r="50" spans="1:9" s="31" customFormat="1">
      <c r="A50" s="33"/>
      <c r="B50" s="33"/>
      <c r="C50" s="33"/>
      <c r="D50" s="33"/>
      <c r="E50" s="37"/>
      <c r="F50" s="37"/>
      <c r="H50" s="33"/>
      <c r="I50" s="34"/>
    </row>
    <row r="51" spans="1:9" s="31" customFormat="1">
      <c r="A51" s="33"/>
      <c r="B51" s="33"/>
      <c r="C51" s="33"/>
      <c r="D51" s="33"/>
      <c r="E51" s="37"/>
      <c r="F51" s="37"/>
      <c r="H51" s="33"/>
      <c r="I51" s="34"/>
    </row>
    <row r="52" spans="1:9" s="31" customFormat="1">
      <c r="A52" s="33"/>
      <c r="B52" s="33"/>
      <c r="C52" s="33"/>
      <c r="D52" s="33"/>
      <c r="E52" s="37"/>
      <c r="F52" s="37"/>
      <c r="H52" s="33"/>
      <c r="I52" s="34"/>
    </row>
    <row r="53" spans="1:9" s="31" customFormat="1">
      <c r="A53" s="33"/>
      <c r="B53" s="33"/>
      <c r="C53" s="33"/>
      <c r="D53" s="33"/>
      <c r="E53" s="37"/>
      <c r="F53" s="37"/>
      <c r="H53" s="33"/>
      <c r="I53" s="34"/>
    </row>
    <row r="54" spans="1:9" s="31" customFormat="1">
      <c r="A54" s="33"/>
      <c r="B54" s="33"/>
      <c r="C54" s="33"/>
      <c r="D54" s="33"/>
      <c r="E54" s="37"/>
      <c r="F54" s="37"/>
      <c r="H54" s="33"/>
      <c r="I54" s="34"/>
    </row>
    <row r="55" spans="1:9" s="31" customFormat="1">
      <c r="A55" s="33"/>
      <c r="B55" s="33"/>
      <c r="C55" s="33"/>
      <c r="D55" s="33"/>
      <c r="E55" s="37"/>
      <c r="F55" s="37"/>
      <c r="H55" s="33"/>
      <c r="I55" s="34"/>
    </row>
    <row r="56" spans="1:9" s="31" customFormat="1">
      <c r="A56" s="33"/>
      <c r="B56" s="33"/>
      <c r="C56" s="33"/>
      <c r="D56" s="33"/>
      <c r="E56" s="37"/>
      <c r="F56" s="37"/>
      <c r="H56" s="33"/>
      <c r="I56" s="34"/>
    </row>
    <row r="57" spans="1:9" s="31" customFormat="1">
      <c r="A57" s="33"/>
      <c r="B57" s="33"/>
      <c r="C57" s="33"/>
      <c r="D57" s="33"/>
      <c r="E57" s="37"/>
      <c r="F57" s="37"/>
      <c r="H57" s="33"/>
      <c r="I57" s="34"/>
    </row>
    <row r="58" spans="1:9" s="31" customFormat="1">
      <c r="A58" s="33"/>
      <c r="B58" s="33"/>
      <c r="C58" s="33"/>
      <c r="D58" s="33"/>
      <c r="E58" s="37"/>
      <c r="F58" s="37"/>
      <c r="H58" s="33"/>
      <c r="I58" s="34"/>
    </row>
    <row r="59" spans="1:9" s="31" customFormat="1">
      <c r="A59" s="33"/>
      <c r="B59" s="33"/>
      <c r="C59" s="33"/>
      <c r="D59" s="33"/>
      <c r="E59" s="37"/>
      <c r="F59" s="37"/>
      <c r="H59" s="33"/>
      <c r="I59" s="34"/>
    </row>
    <row r="60" spans="1:9" s="31" customFormat="1">
      <c r="A60" s="33"/>
      <c r="B60" s="33"/>
      <c r="C60" s="33"/>
      <c r="D60" s="33"/>
      <c r="E60" s="37"/>
      <c r="F60" s="37"/>
      <c r="H60" s="33"/>
      <c r="I60" s="34"/>
    </row>
    <row r="61" spans="1:9" s="31" customFormat="1">
      <c r="A61" s="33"/>
      <c r="B61" s="33"/>
      <c r="C61" s="33"/>
      <c r="D61" s="33"/>
      <c r="E61" s="37"/>
      <c r="F61" s="37"/>
      <c r="H61" s="33"/>
      <c r="I61" s="34"/>
    </row>
    <row r="62" spans="1:9" s="31" customFormat="1">
      <c r="A62" s="33"/>
      <c r="B62" s="33"/>
      <c r="C62" s="33"/>
      <c r="D62" s="33"/>
      <c r="E62" s="37"/>
      <c r="F62" s="37"/>
      <c r="H62" s="33"/>
      <c r="I62" s="34"/>
    </row>
    <row r="63" spans="1:9" s="31" customFormat="1">
      <c r="A63" s="33"/>
      <c r="B63" s="33"/>
      <c r="C63" s="33"/>
      <c r="D63" s="33"/>
      <c r="E63" s="37"/>
      <c r="F63" s="37"/>
      <c r="H63" s="33"/>
      <c r="I63" s="34"/>
    </row>
    <row r="64" spans="1:9" s="31" customFormat="1">
      <c r="A64" s="33"/>
      <c r="B64" s="33"/>
      <c r="C64" s="33"/>
      <c r="D64" s="33"/>
      <c r="E64" s="37"/>
      <c r="F64" s="37"/>
      <c r="H64" s="33"/>
      <c r="I64" s="34"/>
    </row>
    <row r="65" spans="1:9" s="31" customFormat="1">
      <c r="A65" s="33"/>
      <c r="B65" s="33"/>
      <c r="C65" s="33"/>
      <c r="D65" s="33"/>
      <c r="E65" s="37"/>
      <c r="F65" s="37"/>
      <c r="H65" s="33"/>
      <c r="I65" s="34"/>
    </row>
    <row r="66" spans="1:9" s="31" customFormat="1">
      <c r="A66" s="33"/>
      <c r="B66" s="33"/>
      <c r="C66" s="33"/>
      <c r="D66" s="33"/>
      <c r="E66" s="37"/>
      <c r="F66" s="37"/>
      <c r="H66" s="33"/>
      <c r="I66" s="34"/>
    </row>
    <row r="67" spans="1:9" s="31" customFormat="1">
      <c r="A67" s="33"/>
      <c r="B67" s="33"/>
      <c r="C67" s="33"/>
      <c r="D67" s="33"/>
      <c r="E67" s="37"/>
      <c r="F67" s="37"/>
      <c r="H67" s="33"/>
      <c r="I67" s="34"/>
    </row>
    <row r="68" spans="1:9" s="31" customFormat="1">
      <c r="A68" s="33"/>
      <c r="B68" s="33"/>
      <c r="C68" s="33"/>
      <c r="D68" s="33"/>
      <c r="E68" s="37"/>
      <c r="F68" s="37"/>
      <c r="H68" s="33"/>
      <c r="I68" s="34"/>
    </row>
    <row r="69" spans="1:9" s="31" customFormat="1">
      <c r="A69" s="33"/>
      <c r="B69" s="33"/>
      <c r="C69" s="33"/>
      <c r="D69" s="33"/>
      <c r="E69" s="37"/>
      <c r="F69" s="37"/>
      <c r="H69" s="33"/>
      <c r="I69" s="34"/>
    </row>
    <row r="70" spans="1:9" s="31" customFormat="1">
      <c r="A70" s="33"/>
      <c r="B70" s="33"/>
      <c r="C70" s="33"/>
      <c r="D70" s="33"/>
      <c r="E70" s="37"/>
      <c r="F70" s="37"/>
      <c r="H70" s="33"/>
      <c r="I70" s="34"/>
    </row>
    <row r="71" spans="1:9" s="31" customFormat="1">
      <c r="A71" s="33"/>
      <c r="B71" s="33"/>
      <c r="C71" s="33"/>
      <c r="D71" s="33"/>
      <c r="E71" s="37"/>
      <c r="F71" s="37"/>
      <c r="H71" s="33"/>
      <c r="I71" s="34"/>
    </row>
    <row r="72" spans="1:9" s="31" customFormat="1">
      <c r="A72" s="33"/>
      <c r="B72" s="33"/>
      <c r="C72" s="33"/>
      <c r="D72" s="33"/>
      <c r="E72" s="37"/>
      <c r="F72" s="37"/>
      <c r="H72" s="33"/>
      <c r="I72" s="34"/>
    </row>
    <row r="73" spans="1:9" s="31" customFormat="1">
      <c r="A73" s="33"/>
      <c r="B73" s="33"/>
      <c r="C73" s="33"/>
      <c r="D73" s="33"/>
      <c r="E73" s="37"/>
      <c r="F73" s="37"/>
      <c r="H73" s="33"/>
      <c r="I73" s="34"/>
    </row>
    <row r="74" spans="1:9" s="31" customFormat="1">
      <c r="A74" s="33"/>
      <c r="B74" s="33"/>
      <c r="C74" s="33"/>
      <c r="D74" s="33"/>
      <c r="E74" s="37"/>
      <c r="F74" s="37"/>
      <c r="H74" s="33"/>
      <c r="I74" s="34"/>
    </row>
    <row r="75" spans="1:9" s="31" customFormat="1">
      <c r="A75" s="33"/>
      <c r="B75" s="33"/>
      <c r="C75" s="33"/>
      <c r="D75" s="33"/>
      <c r="E75" s="37"/>
      <c r="F75" s="37"/>
      <c r="H75" s="33"/>
      <c r="I75" s="34"/>
    </row>
    <row r="76" spans="1:9" s="31" customFormat="1">
      <c r="A76" s="33"/>
      <c r="B76" s="33"/>
      <c r="C76" s="33"/>
      <c r="D76" s="33"/>
      <c r="E76" s="37"/>
      <c r="F76" s="37"/>
      <c r="H76" s="33"/>
      <c r="I76" s="34"/>
    </row>
    <row r="77" spans="1:9" s="31" customFormat="1">
      <c r="A77" s="33"/>
      <c r="B77" s="33"/>
      <c r="C77" s="33"/>
      <c r="D77" s="33"/>
      <c r="E77" s="37"/>
      <c r="F77" s="37"/>
      <c r="H77" s="33"/>
      <c r="I77" s="34"/>
    </row>
    <row r="78" spans="1:9" s="31" customFormat="1">
      <c r="A78" s="33"/>
      <c r="B78" s="33"/>
      <c r="C78" s="33"/>
      <c r="D78" s="33"/>
      <c r="E78" s="37"/>
      <c r="F78" s="37"/>
      <c r="H78" s="33"/>
      <c r="I78" s="34"/>
    </row>
    <row r="79" spans="1:9" s="31" customFormat="1">
      <c r="A79" s="33"/>
      <c r="B79" s="33"/>
      <c r="C79" s="33"/>
      <c r="D79" s="33"/>
      <c r="E79" s="37"/>
      <c r="F79" s="37"/>
      <c r="H79" s="33"/>
      <c r="I79" s="34"/>
    </row>
    <row r="80" spans="1:9" s="31" customFormat="1">
      <c r="A80" s="33"/>
      <c r="B80" s="33"/>
      <c r="C80" s="33"/>
      <c r="D80" s="33"/>
      <c r="E80" s="37"/>
      <c r="F80" s="37"/>
      <c r="H80" s="33"/>
      <c r="I80" s="34"/>
    </row>
    <row r="81" spans="1:9" s="31" customFormat="1">
      <c r="A81" s="33"/>
      <c r="B81" s="33"/>
      <c r="C81" s="33"/>
      <c r="D81" s="33"/>
      <c r="E81" s="37"/>
      <c r="F81" s="37"/>
      <c r="H81" s="33"/>
      <c r="I81" s="34"/>
    </row>
    <row r="82" spans="1:9" s="31" customFormat="1">
      <c r="A82" s="33"/>
      <c r="B82" s="33"/>
      <c r="C82" s="33"/>
      <c r="D82" s="33"/>
      <c r="E82" s="37"/>
      <c r="F82" s="37"/>
      <c r="H82" s="33"/>
      <c r="I82" s="34"/>
    </row>
    <row r="83" spans="1:9" s="31" customFormat="1">
      <c r="A83" s="33"/>
      <c r="B83" s="33"/>
      <c r="C83" s="33"/>
      <c r="D83" s="33"/>
      <c r="E83" s="37"/>
      <c r="F83" s="37"/>
      <c r="H83" s="33"/>
      <c r="I83" s="34"/>
    </row>
    <row r="84" spans="1:9" s="31" customFormat="1">
      <c r="A84" s="33"/>
      <c r="B84" s="33"/>
      <c r="C84" s="33"/>
      <c r="D84" s="33"/>
      <c r="E84" s="37"/>
      <c r="F84" s="37"/>
      <c r="H84" s="33"/>
      <c r="I84" s="34"/>
    </row>
    <row r="85" spans="1:9" s="31" customFormat="1">
      <c r="A85" s="33"/>
      <c r="B85" s="33"/>
      <c r="C85" s="33"/>
      <c r="D85" s="33"/>
      <c r="E85" s="37"/>
      <c r="F85" s="37"/>
      <c r="H85" s="33"/>
      <c r="I85" s="34"/>
    </row>
    <row r="86" spans="1:9" s="31" customFormat="1">
      <c r="A86" s="33"/>
      <c r="B86" s="33"/>
      <c r="C86" s="33"/>
      <c r="D86" s="33"/>
      <c r="E86" s="37"/>
      <c r="F86" s="37"/>
      <c r="H86" s="33"/>
      <c r="I86" s="34"/>
    </row>
    <row r="87" spans="1:9" s="31" customFormat="1">
      <c r="A87" s="33"/>
      <c r="B87" s="33"/>
      <c r="C87" s="33"/>
      <c r="D87" s="33"/>
      <c r="E87" s="37"/>
      <c r="F87" s="37"/>
      <c r="H87" s="33"/>
      <c r="I87" s="34"/>
    </row>
    <row r="88" spans="1:9" s="31" customFormat="1">
      <c r="A88" s="33"/>
      <c r="B88" s="33"/>
      <c r="C88" s="33"/>
      <c r="D88" s="33"/>
      <c r="E88" s="37"/>
      <c r="F88" s="37"/>
      <c r="H88" s="33"/>
      <c r="I88" s="34"/>
    </row>
    <row r="89" spans="1:9" s="31" customFormat="1">
      <c r="A89" s="33"/>
      <c r="B89" s="33"/>
      <c r="C89" s="33"/>
      <c r="D89" s="33"/>
      <c r="E89" s="37"/>
      <c r="F89" s="37"/>
      <c r="H89" s="33"/>
      <c r="I89" s="34"/>
    </row>
    <row r="90" spans="1:9" s="31" customFormat="1">
      <c r="A90" s="33"/>
      <c r="B90" s="33"/>
      <c r="C90" s="33"/>
      <c r="D90" s="33"/>
      <c r="E90" s="37"/>
      <c r="F90" s="37"/>
      <c r="H90" s="33"/>
      <c r="I90" s="34"/>
    </row>
    <row r="91" spans="1:9" s="31" customFormat="1">
      <c r="A91" s="33"/>
      <c r="B91" s="33"/>
      <c r="C91" s="33"/>
      <c r="D91" s="33"/>
      <c r="E91" s="37"/>
      <c r="F91" s="37"/>
      <c r="H91" s="33"/>
      <c r="I91" s="34"/>
    </row>
    <row r="92" spans="1:9" s="31" customFormat="1">
      <c r="A92" s="33"/>
      <c r="B92" s="33"/>
      <c r="C92" s="33"/>
      <c r="D92" s="33"/>
      <c r="E92" s="37"/>
      <c r="F92" s="37"/>
      <c r="H92" s="33"/>
      <c r="I92" s="34"/>
    </row>
    <row r="93" spans="1:9" s="31" customFormat="1">
      <c r="A93" s="33"/>
      <c r="B93" s="33"/>
      <c r="C93" s="33"/>
      <c r="D93" s="33"/>
      <c r="E93" s="37"/>
      <c r="F93" s="37"/>
      <c r="H93" s="33"/>
      <c r="I93" s="34"/>
    </row>
    <row r="94" spans="1:9" s="31" customFormat="1">
      <c r="A94" s="33"/>
      <c r="B94" s="33"/>
      <c r="C94" s="33"/>
      <c r="D94" s="33"/>
      <c r="E94" s="37"/>
      <c r="F94" s="37"/>
      <c r="H94" s="33"/>
      <c r="I94" s="34"/>
    </row>
    <row r="95" spans="1:9" s="31" customFormat="1">
      <c r="A95" s="33"/>
      <c r="B95" s="33"/>
      <c r="C95" s="33"/>
      <c r="D95" s="33"/>
      <c r="E95" s="37"/>
      <c r="F95" s="37"/>
      <c r="H95" s="33"/>
      <c r="I95" s="34"/>
    </row>
    <row r="96" spans="1:9" s="31" customFormat="1">
      <c r="A96" s="33"/>
      <c r="B96" s="33"/>
      <c r="C96" s="33"/>
      <c r="D96" s="33"/>
      <c r="E96" s="37"/>
      <c r="F96" s="37"/>
      <c r="H96" s="33"/>
      <c r="I96" s="34"/>
    </row>
    <row r="97" spans="1:9" s="31" customFormat="1">
      <c r="A97" s="33"/>
      <c r="B97" s="33"/>
      <c r="C97" s="33"/>
      <c r="D97" s="33"/>
      <c r="E97" s="37"/>
      <c r="F97" s="37"/>
      <c r="H97" s="33"/>
      <c r="I97" s="34"/>
    </row>
    <row r="98" spans="1:9" s="31" customFormat="1">
      <c r="A98" s="33"/>
      <c r="B98" s="33"/>
      <c r="C98" s="33"/>
      <c r="D98" s="33"/>
      <c r="E98" s="37"/>
      <c r="F98" s="37"/>
      <c r="H98" s="33"/>
      <c r="I98" s="34"/>
    </row>
    <row r="99" spans="1:9" s="31" customFormat="1">
      <c r="A99" s="33"/>
      <c r="B99" s="33"/>
      <c r="C99" s="33"/>
      <c r="D99" s="33"/>
      <c r="E99" s="37"/>
      <c r="F99" s="37"/>
      <c r="H99" s="33"/>
      <c r="I99" s="34"/>
    </row>
    <row r="100" spans="1:9" s="31" customFormat="1">
      <c r="A100" s="33"/>
      <c r="B100" s="33"/>
      <c r="C100" s="33"/>
      <c r="D100" s="33"/>
      <c r="E100" s="37"/>
      <c r="F100" s="37"/>
      <c r="H100" s="33"/>
      <c r="I100" s="34"/>
    </row>
    <row r="101" spans="1:9" s="31" customFormat="1">
      <c r="A101" s="33"/>
      <c r="B101" s="33"/>
      <c r="C101" s="33"/>
      <c r="D101" s="33"/>
      <c r="E101" s="37"/>
      <c r="F101" s="37"/>
      <c r="H101" s="33"/>
      <c r="I101" s="34"/>
    </row>
    <row r="102" spans="1:9" s="31" customFormat="1">
      <c r="A102" s="33"/>
      <c r="B102" s="33"/>
      <c r="C102" s="33"/>
      <c r="D102" s="33"/>
      <c r="E102" s="37"/>
      <c r="F102" s="37"/>
      <c r="H102" s="33"/>
      <c r="I102" s="34"/>
    </row>
    <row r="103" spans="1:9" s="31" customFormat="1">
      <c r="A103" s="33"/>
      <c r="B103" s="33"/>
      <c r="C103" s="33"/>
      <c r="D103" s="33"/>
      <c r="E103" s="37"/>
      <c r="F103" s="37"/>
      <c r="H103" s="33"/>
      <c r="I103" s="34"/>
    </row>
    <row r="104" spans="1:9" s="31" customFormat="1">
      <c r="A104" s="33"/>
      <c r="B104" s="33"/>
      <c r="C104" s="33"/>
      <c r="D104" s="33"/>
      <c r="E104" s="37"/>
      <c r="F104" s="37"/>
      <c r="H104" s="33"/>
      <c r="I104" s="34"/>
    </row>
    <row r="105" spans="1:9" s="31" customFormat="1">
      <c r="A105" s="33"/>
      <c r="B105" s="33"/>
      <c r="C105" s="33"/>
      <c r="D105" s="33"/>
      <c r="E105" s="37"/>
      <c r="F105" s="37"/>
      <c r="H105" s="33"/>
      <c r="I105" s="34"/>
    </row>
    <row r="106" spans="1:9" s="31" customFormat="1">
      <c r="A106" s="33"/>
      <c r="B106" s="33"/>
      <c r="C106" s="33"/>
      <c r="D106" s="33"/>
      <c r="E106" s="37"/>
      <c r="F106" s="37"/>
      <c r="H106" s="33"/>
      <c r="I106" s="34"/>
    </row>
    <row r="107" spans="1:9" s="31" customFormat="1">
      <c r="A107" s="33"/>
      <c r="B107" s="33"/>
      <c r="C107" s="33"/>
      <c r="D107" s="33"/>
      <c r="E107" s="37"/>
      <c r="F107" s="37"/>
      <c r="H107" s="33"/>
      <c r="I107" s="34"/>
    </row>
    <row r="108" spans="1:9" s="31" customFormat="1">
      <c r="A108" s="33"/>
      <c r="B108" s="33"/>
      <c r="C108" s="33"/>
      <c r="D108" s="33"/>
      <c r="E108" s="37"/>
      <c r="F108" s="37"/>
      <c r="H108" s="33"/>
      <c r="I108" s="34"/>
    </row>
    <row r="109" spans="1:9" s="31" customFormat="1">
      <c r="A109" s="33"/>
      <c r="B109" s="33"/>
      <c r="C109" s="33"/>
      <c r="D109" s="33"/>
      <c r="E109" s="37"/>
      <c r="F109" s="37"/>
      <c r="H109" s="33"/>
      <c r="I109" s="34"/>
    </row>
    <row r="110" spans="1:9" s="31" customFormat="1">
      <c r="A110" s="33"/>
      <c r="B110" s="33"/>
      <c r="C110" s="33"/>
      <c r="D110" s="33"/>
      <c r="E110" s="37"/>
      <c r="F110" s="37"/>
      <c r="H110" s="33"/>
      <c r="I110" s="34"/>
    </row>
    <row r="111" spans="1:9" s="31" customFormat="1">
      <c r="A111" s="33"/>
      <c r="B111" s="33"/>
      <c r="C111" s="33"/>
      <c r="D111" s="33"/>
      <c r="E111" s="37"/>
      <c r="F111" s="37"/>
      <c r="H111" s="33"/>
      <c r="I111" s="34"/>
    </row>
    <row r="112" spans="1:9" s="31" customFormat="1">
      <c r="A112" s="33"/>
      <c r="B112" s="33"/>
      <c r="C112" s="33"/>
      <c r="D112" s="33"/>
      <c r="E112" s="37"/>
      <c r="F112" s="37"/>
      <c r="H112" s="33"/>
      <c r="I112" s="34"/>
    </row>
    <row r="113" spans="1:9" s="31" customFormat="1">
      <c r="A113" s="33"/>
      <c r="B113" s="33"/>
      <c r="C113" s="33"/>
      <c r="D113" s="33"/>
      <c r="E113" s="37"/>
      <c r="F113" s="37"/>
      <c r="H113" s="33"/>
      <c r="I113" s="34"/>
    </row>
    <row r="114" spans="1:9" s="31" customFormat="1">
      <c r="A114" s="33"/>
      <c r="B114" s="33"/>
      <c r="C114" s="33"/>
      <c r="D114" s="33"/>
      <c r="E114" s="37"/>
      <c r="F114" s="37"/>
      <c r="H114" s="33"/>
      <c r="I114" s="34"/>
    </row>
    <row r="115" spans="1:9" s="31" customFormat="1">
      <c r="A115" s="33"/>
      <c r="B115" s="33"/>
      <c r="C115" s="33"/>
      <c r="D115" s="33"/>
      <c r="E115" s="37"/>
      <c r="F115" s="37"/>
      <c r="H115" s="33"/>
      <c r="I115" s="34"/>
    </row>
    <row r="116" spans="1:9" s="31" customFormat="1">
      <c r="A116" s="33"/>
      <c r="B116" s="33"/>
      <c r="C116" s="33"/>
      <c r="D116" s="33"/>
      <c r="E116" s="37"/>
      <c r="F116" s="37"/>
      <c r="H116" s="33"/>
      <c r="I116" s="34"/>
    </row>
    <row r="117" spans="1:9" s="31" customFormat="1">
      <c r="A117" s="33"/>
      <c r="B117" s="33"/>
      <c r="C117" s="33"/>
      <c r="D117" s="33"/>
      <c r="E117" s="37"/>
      <c r="F117" s="37"/>
      <c r="H117" s="33"/>
      <c r="I117" s="34"/>
    </row>
    <row r="118" spans="1:9" s="31" customFormat="1">
      <c r="A118" s="33"/>
      <c r="B118" s="33"/>
      <c r="C118" s="33"/>
      <c r="D118" s="33"/>
      <c r="E118" s="37"/>
      <c r="F118" s="37"/>
      <c r="H118" s="33"/>
      <c r="I118" s="34"/>
    </row>
    <row r="119" spans="1:9" s="31" customFormat="1">
      <c r="A119" s="33"/>
      <c r="B119" s="33"/>
      <c r="C119" s="33"/>
      <c r="D119" s="33"/>
      <c r="E119" s="37"/>
      <c r="F119" s="37"/>
      <c r="H119" s="33"/>
      <c r="I119" s="34"/>
    </row>
    <row r="120" spans="1:9" s="31" customFormat="1">
      <c r="A120" s="33"/>
      <c r="B120" s="33"/>
      <c r="C120" s="33"/>
      <c r="D120" s="33"/>
      <c r="E120" s="37"/>
      <c r="F120" s="37"/>
      <c r="H120" s="33"/>
      <c r="I120" s="34"/>
    </row>
    <row r="121" spans="1:9" s="31" customFormat="1">
      <c r="A121" s="33"/>
      <c r="B121" s="33"/>
      <c r="C121" s="33"/>
      <c r="D121" s="33"/>
      <c r="E121" s="37"/>
      <c r="F121" s="37"/>
      <c r="H121" s="33"/>
      <c r="I121" s="34"/>
    </row>
    <row r="122" spans="1:9" s="31" customFormat="1">
      <c r="A122" s="33"/>
      <c r="B122" s="33"/>
      <c r="C122" s="33"/>
      <c r="D122" s="33"/>
      <c r="E122" s="37"/>
      <c r="F122" s="37"/>
      <c r="H122" s="33"/>
      <c r="I122" s="34"/>
    </row>
    <row r="123" spans="1:9" s="31" customFormat="1">
      <c r="A123" s="33"/>
      <c r="B123" s="33"/>
      <c r="C123" s="33"/>
      <c r="D123" s="33"/>
      <c r="E123" s="37"/>
      <c r="F123" s="37"/>
      <c r="H123" s="33"/>
      <c r="I123" s="34"/>
    </row>
    <row r="124" spans="1:9" s="31" customFormat="1">
      <c r="A124" s="33"/>
      <c r="B124" s="33"/>
      <c r="C124" s="33"/>
      <c r="D124" s="33"/>
      <c r="E124" s="37"/>
      <c r="F124" s="37"/>
      <c r="H124" s="33"/>
      <c r="I124" s="34"/>
    </row>
    <row r="125" spans="1:9" s="31" customFormat="1">
      <c r="A125" s="33"/>
      <c r="B125" s="33"/>
      <c r="C125" s="33"/>
      <c r="D125" s="33"/>
      <c r="E125" s="37"/>
      <c r="F125" s="37"/>
      <c r="H125" s="33"/>
      <c r="I125" s="34"/>
    </row>
  </sheetData>
  <protectedRanges>
    <protectedRange sqref="A4 C4:F4 A5:F7 A9:F15 A18:F43" name="Range1"/>
    <protectedRange sqref="I4:I6 I8:I9 I13" name="Range2"/>
    <protectedRange sqref="K8:M22 B4" name="Khung Tim Kiem"/>
    <protectedRange sqref="K4:M4" name="Tim Kiem"/>
    <protectedRange sqref="I15" name="Range5"/>
  </protectedRanges>
  <mergeCells count="1">
    <mergeCell ref="K4:M4"/>
  </mergeCell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XuatSale">
                <anchor moveWithCells="1" sizeWithCells="1">
                  <from>
                    <xdr:col>7</xdr:col>
                    <xdr:colOff>276225</xdr:colOff>
                    <xdr:row>22</xdr:row>
                    <xdr:rowOff>66675</xdr:rowOff>
                  </from>
                  <to>
                    <xdr:col>8</xdr:col>
                    <xdr:colOff>695325</xdr:colOff>
                    <xdr:row>25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XoaBanLe">
                <anchor moveWithCells="1" sizeWithCells="1">
                  <from>
                    <xdr:col>7</xdr:col>
                    <xdr:colOff>419100</xdr:colOff>
                    <xdr:row>0</xdr:row>
                    <xdr:rowOff>114300</xdr:rowOff>
                  </from>
                  <to>
                    <xdr:col>8</xdr:col>
                    <xdr:colOff>523875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TimKiemTheoTen">
                <anchor moveWithCells="1" sizeWithCells="1">
                  <from>
                    <xdr:col>13</xdr:col>
                    <xdr:colOff>66675</xdr:colOff>
                    <xdr:row>2</xdr:row>
                    <xdr:rowOff>66675</xdr:rowOff>
                  </from>
                  <to>
                    <xdr:col>14</xdr:col>
                    <xdr:colOff>190500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:Q872"/>
  <sheetViews>
    <sheetView tabSelected="1" zoomScale="120" zoomScaleNormal="120" zoomScalePageLayoutView="120" workbookViewId="0">
      <selection activeCell="G15" sqref="G15"/>
    </sheetView>
  </sheetViews>
  <sheetFormatPr defaultColWidth="8.85546875" defaultRowHeight="12.75"/>
  <cols>
    <col min="1" max="1" width="6.7109375" style="43" customWidth="1"/>
    <col min="2" max="2" width="7" style="43" customWidth="1"/>
    <col min="3" max="3" width="12.7109375" style="52" customWidth="1"/>
    <col min="4" max="4" width="10.28515625" style="94" customWidth="1"/>
    <col min="5" max="5" width="7.28515625" style="89" customWidth="1"/>
    <col min="6" max="6" width="8.42578125" style="81" customWidth="1"/>
    <col min="7" max="7" width="27.42578125" customWidth="1"/>
    <col min="8" max="8" width="5.42578125" style="68" customWidth="1"/>
    <col min="9" max="9" width="10.42578125" customWidth="1"/>
    <col min="10" max="10" width="10.85546875" customWidth="1"/>
    <col min="11" max="11" width="16.140625" style="41" customWidth="1"/>
    <col min="12" max="12" width="11.28515625" style="41" customWidth="1"/>
    <col min="13" max="13" width="12.85546875" style="41" customWidth="1"/>
    <col min="14" max="14" width="14.42578125" style="40" customWidth="1"/>
    <col min="15" max="15" width="11.85546875" style="40" customWidth="1"/>
    <col min="16" max="16" width="8.85546875" style="160"/>
    <col min="17" max="17" width="13.42578125" style="43" customWidth="1"/>
  </cols>
  <sheetData>
    <row r="1" spans="1:17">
      <c r="A1" s="95" t="s">
        <v>4</v>
      </c>
      <c r="B1" s="96" t="s">
        <v>630</v>
      </c>
      <c r="C1" s="97" t="s">
        <v>632</v>
      </c>
      <c r="D1" s="96" t="s">
        <v>512</v>
      </c>
      <c r="E1" s="98" t="s">
        <v>633</v>
      </c>
      <c r="F1" s="99" t="s">
        <v>0</v>
      </c>
      <c r="G1" s="96" t="s">
        <v>515</v>
      </c>
      <c r="H1" s="96" t="s">
        <v>634</v>
      </c>
      <c r="I1" s="100" t="s">
        <v>18</v>
      </c>
      <c r="J1" s="100" t="s">
        <v>19</v>
      </c>
      <c r="K1" s="100" t="s">
        <v>516</v>
      </c>
      <c r="L1" s="101" t="s">
        <v>5</v>
      </c>
      <c r="M1" s="101" t="s">
        <v>517</v>
      </c>
      <c r="N1" s="102" t="s">
        <v>513</v>
      </c>
      <c r="O1" s="157" t="s">
        <v>731</v>
      </c>
      <c r="P1" s="158" t="s">
        <v>732</v>
      </c>
      <c r="Q1"/>
    </row>
    <row r="2" spans="1:17">
      <c r="A2" s="92" t="s">
        <v>640</v>
      </c>
      <c r="B2" s="82" t="s">
        <v>643</v>
      </c>
      <c r="C2" s="82" t="s">
        <v>643</v>
      </c>
      <c r="D2" s="83" t="s">
        <v>643</v>
      </c>
      <c r="E2" s="90">
        <v>0</v>
      </c>
      <c r="F2" s="88"/>
      <c r="G2" s="85"/>
      <c r="H2" s="84"/>
      <c r="I2" s="86"/>
      <c r="J2" s="86"/>
      <c r="K2" s="86"/>
      <c r="L2" s="87"/>
      <c r="M2" s="87"/>
      <c r="N2" s="93"/>
      <c r="O2" s="41">
        <v>6</v>
      </c>
      <c r="P2" s="159">
        <v>2014</v>
      </c>
      <c r="Q2"/>
    </row>
    <row r="3" spans="1:17">
      <c r="A3" s="117" t="s">
        <v>640</v>
      </c>
      <c r="B3" s="118" t="s">
        <v>643</v>
      </c>
      <c r="C3" s="118" t="s">
        <v>643</v>
      </c>
      <c r="D3" s="119" t="s">
        <v>643</v>
      </c>
      <c r="E3" s="120">
        <v>0</v>
      </c>
      <c r="F3" s="121" t="s">
        <v>641</v>
      </c>
      <c r="G3" s="122" t="s">
        <v>265</v>
      </c>
      <c r="H3" s="122">
        <v>1</v>
      </c>
      <c r="I3" s="123">
        <v>10000</v>
      </c>
      <c r="J3" s="123">
        <v>10000</v>
      </c>
      <c r="K3" s="123"/>
      <c r="L3" s="124"/>
      <c r="M3" s="124"/>
      <c r="N3" s="125"/>
      <c r="O3" s="41">
        <v>6</v>
      </c>
      <c r="P3" s="159">
        <v>2014</v>
      </c>
    </row>
    <row r="4" spans="1:17">
      <c r="A4" s="117" t="s">
        <v>640</v>
      </c>
      <c r="B4" s="118" t="s">
        <v>643</v>
      </c>
      <c r="C4" s="118" t="s">
        <v>643</v>
      </c>
      <c r="D4" s="119" t="s">
        <v>643</v>
      </c>
      <c r="E4" s="120">
        <v>0</v>
      </c>
      <c r="F4" s="121"/>
      <c r="G4" s="122"/>
      <c r="H4" s="122"/>
      <c r="I4" s="123"/>
      <c r="J4" s="123"/>
      <c r="K4" s="123">
        <v>10000</v>
      </c>
      <c r="L4" s="124">
        <v>2000</v>
      </c>
      <c r="M4" s="126">
        <v>8000</v>
      </c>
      <c r="N4" s="127"/>
      <c r="O4" s="41">
        <v>6</v>
      </c>
      <c r="P4" s="159">
        <v>2014</v>
      </c>
    </row>
    <row r="5" spans="1:17">
      <c r="A5" s="137">
        <v>6</v>
      </c>
      <c r="B5" s="137" t="s">
        <v>681</v>
      </c>
      <c r="C5" s="138" t="s">
        <v>679</v>
      </c>
      <c r="D5" s="139" t="s">
        <v>644</v>
      </c>
      <c r="E5" s="140">
        <v>1</v>
      </c>
      <c r="F5" s="141"/>
      <c r="G5" s="142"/>
      <c r="H5" s="142"/>
      <c r="I5" s="142"/>
      <c r="J5" s="142"/>
      <c r="K5" s="143"/>
      <c r="L5" s="143"/>
      <c r="M5" s="143"/>
      <c r="N5" s="144"/>
      <c r="O5" s="41">
        <v>6</v>
      </c>
      <c r="P5" s="159">
        <v>2014</v>
      </c>
    </row>
    <row r="6" spans="1:17">
      <c r="A6" s="131">
        <v>6</v>
      </c>
      <c r="B6" s="131" t="s">
        <v>681</v>
      </c>
      <c r="C6" s="132" t="s">
        <v>679</v>
      </c>
      <c r="D6" s="133" t="s">
        <v>644</v>
      </c>
      <c r="E6" s="134">
        <v>1</v>
      </c>
      <c r="F6" s="81" t="s">
        <v>680</v>
      </c>
      <c r="G6" s="68" t="s">
        <v>651</v>
      </c>
      <c r="H6" s="68">
        <v>1</v>
      </c>
      <c r="I6" s="68">
        <v>98000</v>
      </c>
      <c r="J6" s="68">
        <v>98000</v>
      </c>
      <c r="K6" s="135"/>
      <c r="L6" s="135"/>
      <c r="M6" s="135"/>
      <c r="N6" s="136"/>
      <c r="O6" s="41">
        <v>6</v>
      </c>
      <c r="P6" s="159">
        <v>2014</v>
      </c>
    </row>
    <row r="7" spans="1:17">
      <c r="A7" s="131">
        <v>6</v>
      </c>
      <c r="B7" s="131" t="s">
        <v>681</v>
      </c>
      <c r="C7" s="132" t="s">
        <v>679</v>
      </c>
      <c r="D7" s="133" t="s">
        <v>644</v>
      </c>
      <c r="E7" s="134">
        <v>1</v>
      </c>
      <c r="G7" s="68"/>
      <c r="I7" s="68"/>
      <c r="J7" s="68"/>
      <c r="K7" s="135">
        <v>98000</v>
      </c>
      <c r="L7" s="135"/>
      <c r="M7" s="135">
        <v>98000</v>
      </c>
      <c r="N7" s="136"/>
      <c r="O7" s="41">
        <v>6</v>
      </c>
      <c r="P7" s="159">
        <v>2014</v>
      </c>
    </row>
    <row r="8" spans="1:17">
      <c r="A8" s="145">
        <v>2</v>
      </c>
      <c r="B8" s="145" t="s">
        <v>684</v>
      </c>
      <c r="C8" s="146" t="s">
        <v>683</v>
      </c>
      <c r="D8" s="147" t="s">
        <v>644</v>
      </c>
      <c r="E8" s="148">
        <v>1</v>
      </c>
      <c r="F8" s="141"/>
      <c r="G8" s="149"/>
      <c r="H8" s="142"/>
      <c r="I8" s="149"/>
      <c r="J8" s="149"/>
      <c r="K8" s="150"/>
      <c r="L8" s="150"/>
      <c r="M8" s="150"/>
      <c r="N8" s="151"/>
      <c r="O8" s="41">
        <v>6</v>
      </c>
      <c r="P8" s="159">
        <v>2014</v>
      </c>
    </row>
    <row r="9" spans="1:17">
      <c r="A9" s="43">
        <v>2</v>
      </c>
      <c r="B9" s="43" t="s">
        <v>684</v>
      </c>
      <c r="C9" s="52" t="s">
        <v>683</v>
      </c>
      <c r="D9" s="94" t="s">
        <v>644</v>
      </c>
      <c r="E9" s="89">
        <v>1</v>
      </c>
      <c r="F9" s="81" t="s">
        <v>668</v>
      </c>
      <c r="G9" t="s">
        <v>682</v>
      </c>
      <c r="H9" s="68">
        <v>1</v>
      </c>
      <c r="I9">
        <v>115000</v>
      </c>
      <c r="J9">
        <v>115000</v>
      </c>
      <c r="O9" s="41">
        <v>6</v>
      </c>
      <c r="P9" s="159">
        <v>2014</v>
      </c>
    </row>
    <row r="10" spans="1:17">
      <c r="A10" s="43">
        <v>2</v>
      </c>
      <c r="B10" s="43" t="s">
        <v>684</v>
      </c>
      <c r="C10" s="52" t="s">
        <v>683</v>
      </c>
      <c r="D10" s="94" t="s">
        <v>644</v>
      </c>
      <c r="E10" s="89">
        <v>1</v>
      </c>
      <c r="K10" s="41">
        <v>115000</v>
      </c>
      <c r="M10" s="41">
        <v>115000</v>
      </c>
      <c r="O10" s="41">
        <v>6</v>
      </c>
      <c r="P10" s="159">
        <v>2014</v>
      </c>
    </row>
    <row r="11" spans="1:17">
      <c r="A11" s="145">
        <v>5</v>
      </c>
      <c r="B11" s="145" t="s">
        <v>684</v>
      </c>
      <c r="C11" s="146" t="s">
        <v>685</v>
      </c>
      <c r="D11" s="147" t="s">
        <v>644</v>
      </c>
      <c r="E11" s="148">
        <v>1</v>
      </c>
      <c r="F11" s="141"/>
      <c r="G11" s="149"/>
      <c r="H11" s="142"/>
      <c r="I11" s="149"/>
      <c r="J11" s="149"/>
      <c r="K11" s="150"/>
      <c r="L11" s="150"/>
      <c r="M11" s="150"/>
      <c r="N11" s="151"/>
      <c r="O11" s="41">
        <v>6</v>
      </c>
      <c r="P11" s="159">
        <v>2014</v>
      </c>
    </row>
    <row r="12" spans="1:17">
      <c r="A12" s="43">
        <v>5</v>
      </c>
      <c r="B12" s="43" t="s">
        <v>684</v>
      </c>
      <c r="C12" s="52" t="s">
        <v>685</v>
      </c>
      <c r="D12" s="94" t="s">
        <v>644</v>
      </c>
      <c r="E12" s="89">
        <v>1</v>
      </c>
      <c r="F12" s="81" t="s">
        <v>664</v>
      </c>
      <c r="G12" t="s">
        <v>649</v>
      </c>
      <c r="H12" s="68">
        <v>1</v>
      </c>
      <c r="I12">
        <v>85000</v>
      </c>
      <c r="J12">
        <v>85000</v>
      </c>
      <c r="O12" s="41">
        <v>6</v>
      </c>
      <c r="P12" s="159">
        <v>2014</v>
      </c>
    </row>
    <row r="13" spans="1:17">
      <c r="A13" s="43">
        <v>5</v>
      </c>
      <c r="B13" s="43" t="s">
        <v>684</v>
      </c>
      <c r="C13" s="52" t="s">
        <v>685</v>
      </c>
      <c r="D13" s="94" t="s">
        <v>644</v>
      </c>
      <c r="E13" s="89">
        <v>1</v>
      </c>
      <c r="K13" s="41">
        <v>85000</v>
      </c>
      <c r="M13" s="41">
        <v>85000</v>
      </c>
      <c r="O13" s="41">
        <v>6</v>
      </c>
      <c r="P13" s="159">
        <v>2014</v>
      </c>
    </row>
    <row r="14" spans="1:17">
      <c r="A14" s="145">
        <v>5</v>
      </c>
      <c r="B14" s="145" t="s">
        <v>684</v>
      </c>
      <c r="C14" s="146" t="s">
        <v>685</v>
      </c>
      <c r="D14" s="147" t="s">
        <v>644</v>
      </c>
      <c r="E14" s="148">
        <v>2</v>
      </c>
      <c r="F14" s="141"/>
      <c r="G14" s="149"/>
      <c r="H14" s="142"/>
      <c r="I14" s="149"/>
      <c r="J14" s="149"/>
      <c r="K14" s="150"/>
      <c r="L14" s="150"/>
      <c r="M14" s="150"/>
      <c r="N14" s="151"/>
      <c r="O14" s="41">
        <v>6</v>
      </c>
      <c r="P14" s="159">
        <v>2014</v>
      </c>
    </row>
    <row r="15" spans="1:17">
      <c r="A15" s="43">
        <v>5</v>
      </c>
      <c r="B15" s="43" t="s">
        <v>684</v>
      </c>
      <c r="C15" s="52" t="s">
        <v>685</v>
      </c>
      <c r="D15" s="94" t="s">
        <v>644</v>
      </c>
      <c r="E15" s="89">
        <v>2</v>
      </c>
      <c r="F15" s="81" t="s">
        <v>680</v>
      </c>
      <c r="G15" t="s">
        <v>651</v>
      </c>
      <c r="H15" s="68">
        <v>1</v>
      </c>
      <c r="I15">
        <v>98000</v>
      </c>
      <c r="J15">
        <v>98000</v>
      </c>
      <c r="O15" s="41">
        <v>6</v>
      </c>
      <c r="P15" s="159">
        <v>2014</v>
      </c>
    </row>
    <row r="16" spans="1:17">
      <c r="A16" s="43">
        <v>5</v>
      </c>
      <c r="B16" s="43" t="s">
        <v>684</v>
      </c>
      <c r="C16" s="52" t="s">
        <v>685</v>
      </c>
      <c r="D16" s="94" t="s">
        <v>644</v>
      </c>
      <c r="E16" s="89">
        <v>2</v>
      </c>
      <c r="K16" s="41">
        <v>98000</v>
      </c>
      <c r="M16" s="41">
        <v>98000</v>
      </c>
      <c r="O16" s="41">
        <v>6</v>
      </c>
      <c r="P16" s="159">
        <v>2014</v>
      </c>
    </row>
    <row r="17" spans="1:16">
      <c r="A17" s="145">
        <v>7</v>
      </c>
      <c r="B17" s="145" t="s">
        <v>684</v>
      </c>
      <c r="C17" s="146" t="s">
        <v>685</v>
      </c>
      <c r="D17" s="147" t="s">
        <v>644</v>
      </c>
      <c r="E17" s="148">
        <v>1</v>
      </c>
      <c r="F17" s="141"/>
      <c r="G17" s="149"/>
      <c r="H17" s="142"/>
      <c r="I17" s="149"/>
      <c r="J17" s="149"/>
      <c r="K17" s="150"/>
      <c r="L17" s="150"/>
      <c r="M17" s="150"/>
      <c r="N17" s="151"/>
      <c r="O17" s="41">
        <v>6</v>
      </c>
      <c r="P17" s="159">
        <v>2014</v>
      </c>
    </row>
    <row r="18" spans="1:16">
      <c r="A18" s="43">
        <v>7</v>
      </c>
      <c r="B18" s="43" t="s">
        <v>684</v>
      </c>
      <c r="C18" s="52" t="s">
        <v>685</v>
      </c>
      <c r="D18" s="94" t="s">
        <v>644</v>
      </c>
      <c r="E18" s="89">
        <v>1</v>
      </c>
      <c r="F18" s="81" t="s">
        <v>680</v>
      </c>
      <c r="G18" t="s">
        <v>651</v>
      </c>
      <c r="H18" s="68">
        <v>1</v>
      </c>
      <c r="I18">
        <v>98000</v>
      </c>
      <c r="J18">
        <v>98000</v>
      </c>
      <c r="O18" s="41">
        <v>6</v>
      </c>
      <c r="P18" s="159">
        <v>2014</v>
      </c>
    </row>
    <row r="19" spans="1:16">
      <c r="A19" s="43">
        <v>7</v>
      </c>
      <c r="B19" s="43" t="s">
        <v>684</v>
      </c>
      <c r="C19" s="52" t="s">
        <v>685</v>
      </c>
      <c r="D19" s="94" t="s">
        <v>644</v>
      </c>
      <c r="E19" s="89">
        <v>1</v>
      </c>
      <c r="K19" s="41">
        <v>98000</v>
      </c>
      <c r="M19" s="41">
        <v>98000</v>
      </c>
      <c r="O19" s="41">
        <v>6</v>
      </c>
      <c r="P19" s="159">
        <v>2014</v>
      </c>
    </row>
    <row r="20" spans="1:16">
      <c r="A20" s="145">
        <v>7</v>
      </c>
      <c r="B20" s="145" t="s">
        <v>684</v>
      </c>
      <c r="C20" s="146" t="s">
        <v>685</v>
      </c>
      <c r="D20" s="147" t="s">
        <v>644</v>
      </c>
      <c r="E20" s="148">
        <v>2</v>
      </c>
      <c r="F20" s="141"/>
      <c r="G20" s="149"/>
      <c r="H20" s="142"/>
      <c r="I20" s="149"/>
      <c r="J20" s="149"/>
      <c r="K20" s="150"/>
      <c r="L20" s="150"/>
      <c r="M20" s="150"/>
      <c r="N20" s="151"/>
      <c r="O20" s="41">
        <v>6</v>
      </c>
      <c r="P20" s="159">
        <v>2014</v>
      </c>
    </row>
    <row r="21" spans="1:16">
      <c r="A21" s="43">
        <v>7</v>
      </c>
      <c r="B21" s="43" t="s">
        <v>684</v>
      </c>
      <c r="C21" s="52" t="s">
        <v>685</v>
      </c>
      <c r="D21" s="94" t="s">
        <v>644</v>
      </c>
      <c r="E21" s="89">
        <v>2</v>
      </c>
      <c r="F21" s="81" t="s">
        <v>686</v>
      </c>
      <c r="G21" t="s">
        <v>682</v>
      </c>
      <c r="H21" s="68">
        <v>1</v>
      </c>
      <c r="I21">
        <v>115000</v>
      </c>
      <c r="J21">
        <v>115000</v>
      </c>
      <c r="O21" s="41">
        <v>6</v>
      </c>
      <c r="P21" s="159">
        <v>2014</v>
      </c>
    </row>
    <row r="22" spans="1:16">
      <c r="A22" s="43">
        <v>7</v>
      </c>
      <c r="B22" s="43" t="s">
        <v>684</v>
      </c>
      <c r="C22" s="52" t="s">
        <v>685</v>
      </c>
      <c r="D22" s="94" t="s">
        <v>644</v>
      </c>
      <c r="E22" s="89">
        <v>2</v>
      </c>
      <c r="K22" s="41">
        <v>115000</v>
      </c>
      <c r="M22" s="41">
        <v>115000</v>
      </c>
      <c r="O22" s="41">
        <v>6</v>
      </c>
      <c r="P22" s="159">
        <v>2014</v>
      </c>
    </row>
    <row r="23" spans="1:16">
      <c r="A23" s="145">
        <v>4</v>
      </c>
      <c r="B23" s="145" t="s">
        <v>684</v>
      </c>
      <c r="C23" s="146" t="s">
        <v>687</v>
      </c>
      <c r="D23" s="147" t="s">
        <v>644</v>
      </c>
      <c r="E23" s="148">
        <v>1</v>
      </c>
      <c r="F23" s="141"/>
      <c r="G23" s="149"/>
      <c r="H23" s="142"/>
      <c r="I23" s="149"/>
      <c r="J23" s="149"/>
      <c r="K23" s="150"/>
      <c r="L23" s="150"/>
      <c r="M23" s="150"/>
      <c r="N23" s="151"/>
      <c r="O23" s="41">
        <v>6</v>
      </c>
      <c r="P23" s="159">
        <v>2014</v>
      </c>
    </row>
    <row r="24" spans="1:16">
      <c r="A24" s="43">
        <v>4</v>
      </c>
      <c r="B24" s="43" t="s">
        <v>684</v>
      </c>
      <c r="C24" s="52" t="s">
        <v>687</v>
      </c>
      <c r="D24" s="94" t="s">
        <v>644</v>
      </c>
      <c r="E24" s="89">
        <v>1</v>
      </c>
      <c r="F24" s="81" t="s">
        <v>680</v>
      </c>
      <c r="G24" t="s">
        <v>651</v>
      </c>
      <c r="H24" s="68">
        <v>1</v>
      </c>
      <c r="I24">
        <v>98000</v>
      </c>
      <c r="J24">
        <v>98000</v>
      </c>
      <c r="O24" s="41">
        <v>6</v>
      </c>
      <c r="P24" s="159">
        <v>2014</v>
      </c>
    </row>
    <row r="25" spans="1:16">
      <c r="A25" s="43">
        <v>4</v>
      </c>
      <c r="B25" s="43" t="s">
        <v>684</v>
      </c>
      <c r="C25" s="52" t="s">
        <v>687</v>
      </c>
      <c r="D25" s="94" t="s">
        <v>644</v>
      </c>
      <c r="E25" s="89">
        <v>1</v>
      </c>
      <c r="F25" s="81" t="s">
        <v>688</v>
      </c>
      <c r="G25" t="s">
        <v>649</v>
      </c>
      <c r="H25" s="68">
        <v>1</v>
      </c>
      <c r="I25">
        <v>85000</v>
      </c>
      <c r="J25">
        <v>85000</v>
      </c>
      <c r="O25" s="41">
        <v>6</v>
      </c>
      <c r="P25" s="159">
        <v>2014</v>
      </c>
    </row>
    <row r="26" spans="1:16">
      <c r="A26" s="43">
        <v>4</v>
      </c>
      <c r="B26" s="43" t="s">
        <v>684</v>
      </c>
      <c r="C26" s="52" t="s">
        <v>687</v>
      </c>
      <c r="D26" s="94" t="s">
        <v>644</v>
      </c>
      <c r="E26" s="89">
        <v>1</v>
      </c>
      <c r="F26" s="81" t="s">
        <v>689</v>
      </c>
      <c r="G26" t="s">
        <v>690</v>
      </c>
      <c r="H26" s="68">
        <v>1</v>
      </c>
      <c r="I26">
        <v>85000</v>
      </c>
      <c r="J26">
        <v>85000</v>
      </c>
      <c r="O26" s="41">
        <v>6</v>
      </c>
      <c r="P26" s="159">
        <v>2014</v>
      </c>
    </row>
    <row r="27" spans="1:16">
      <c r="A27" s="43">
        <v>4</v>
      </c>
      <c r="B27" s="43" t="s">
        <v>684</v>
      </c>
      <c r="C27" s="52" t="s">
        <v>687</v>
      </c>
      <c r="D27" s="94" t="s">
        <v>644</v>
      </c>
      <c r="E27" s="89">
        <v>1</v>
      </c>
      <c r="K27" s="41">
        <v>268000</v>
      </c>
      <c r="M27" s="41">
        <v>268000</v>
      </c>
      <c r="O27" s="41">
        <v>6</v>
      </c>
      <c r="P27" s="159">
        <v>2014</v>
      </c>
    </row>
    <row r="28" spans="1:16">
      <c r="A28" s="145">
        <v>5</v>
      </c>
      <c r="B28" s="145" t="s">
        <v>681</v>
      </c>
      <c r="C28" s="146" t="s">
        <v>687</v>
      </c>
      <c r="D28" s="147" t="s">
        <v>644</v>
      </c>
      <c r="E28" s="148">
        <v>2</v>
      </c>
      <c r="F28" s="141"/>
      <c r="G28" s="149"/>
      <c r="H28" s="142"/>
      <c r="I28" s="149"/>
      <c r="J28" s="149"/>
      <c r="K28" s="150"/>
      <c r="L28" s="150"/>
      <c r="M28" s="150"/>
      <c r="N28" s="151"/>
      <c r="O28" s="41">
        <v>6</v>
      </c>
      <c r="P28" s="159">
        <v>2014</v>
      </c>
    </row>
    <row r="29" spans="1:16">
      <c r="A29" s="43">
        <v>5</v>
      </c>
      <c r="B29" s="43" t="s">
        <v>681</v>
      </c>
      <c r="C29" s="52" t="s">
        <v>687</v>
      </c>
      <c r="D29" s="94" t="s">
        <v>644</v>
      </c>
      <c r="E29" s="89">
        <v>2</v>
      </c>
      <c r="F29" s="81" t="s">
        <v>691</v>
      </c>
      <c r="G29" t="s">
        <v>657</v>
      </c>
      <c r="H29" s="68">
        <v>1</v>
      </c>
      <c r="I29">
        <v>98000</v>
      </c>
      <c r="J29">
        <v>98000</v>
      </c>
      <c r="O29" s="41">
        <v>6</v>
      </c>
      <c r="P29" s="159">
        <v>2014</v>
      </c>
    </row>
    <row r="30" spans="1:16">
      <c r="A30" s="43">
        <v>5</v>
      </c>
      <c r="B30" s="43" t="s">
        <v>681</v>
      </c>
      <c r="C30" s="52" t="s">
        <v>687</v>
      </c>
      <c r="D30" s="94" t="s">
        <v>644</v>
      </c>
      <c r="E30" s="89">
        <v>2</v>
      </c>
      <c r="F30" s="81" t="s">
        <v>680</v>
      </c>
      <c r="G30" t="s">
        <v>651</v>
      </c>
      <c r="H30" s="68">
        <v>2</v>
      </c>
      <c r="I30">
        <v>98000</v>
      </c>
      <c r="J30">
        <v>196000</v>
      </c>
      <c r="O30" s="41">
        <v>6</v>
      </c>
      <c r="P30" s="159">
        <v>2014</v>
      </c>
    </row>
    <row r="31" spans="1:16">
      <c r="A31" s="43">
        <v>5</v>
      </c>
      <c r="B31" s="43" t="s">
        <v>681</v>
      </c>
      <c r="C31" s="52" t="s">
        <v>687</v>
      </c>
      <c r="D31" s="94" t="s">
        <v>644</v>
      </c>
      <c r="E31" s="89">
        <v>2</v>
      </c>
      <c r="K31" s="41">
        <v>294000</v>
      </c>
      <c r="M31" s="41">
        <v>294000</v>
      </c>
      <c r="O31" s="41">
        <v>6</v>
      </c>
      <c r="P31" s="159">
        <v>2014</v>
      </c>
    </row>
    <row r="32" spans="1:16">
      <c r="A32" s="145">
        <v>7</v>
      </c>
      <c r="B32" s="145" t="s">
        <v>681</v>
      </c>
      <c r="C32" s="146" t="s">
        <v>687</v>
      </c>
      <c r="D32" s="147" t="s">
        <v>644</v>
      </c>
      <c r="E32" s="148">
        <v>1</v>
      </c>
      <c r="F32" s="141"/>
      <c r="G32" s="149"/>
      <c r="H32" s="142"/>
      <c r="I32" s="149"/>
      <c r="J32" s="149"/>
      <c r="K32" s="150"/>
      <c r="L32" s="150"/>
      <c r="M32" s="150"/>
      <c r="N32" s="151"/>
      <c r="O32" s="41">
        <v>6</v>
      </c>
      <c r="P32" s="159">
        <v>2014</v>
      </c>
    </row>
    <row r="33" spans="1:16">
      <c r="A33" s="43">
        <v>7</v>
      </c>
      <c r="B33" s="43" t="s">
        <v>681</v>
      </c>
      <c r="C33" s="52" t="s">
        <v>687</v>
      </c>
      <c r="D33" s="94" t="s">
        <v>644</v>
      </c>
      <c r="E33" s="89">
        <v>1</v>
      </c>
      <c r="F33" s="81" t="s">
        <v>680</v>
      </c>
      <c r="G33" t="s">
        <v>651</v>
      </c>
      <c r="H33" s="68">
        <v>1</v>
      </c>
      <c r="I33">
        <v>98000</v>
      </c>
      <c r="J33">
        <v>98000</v>
      </c>
      <c r="O33" s="41">
        <v>6</v>
      </c>
      <c r="P33" s="159">
        <v>2014</v>
      </c>
    </row>
    <row r="34" spans="1:16">
      <c r="A34" s="43">
        <v>7</v>
      </c>
      <c r="B34" s="43" t="s">
        <v>681</v>
      </c>
      <c r="C34" s="52" t="s">
        <v>687</v>
      </c>
      <c r="D34" s="94" t="s">
        <v>644</v>
      </c>
      <c r="E34" s="89">
        <v>1</v>
      </c>
      <c r="F34" s="81" t="s">
        <v>665</v>
      </c>
      <c r="G34" t="s">
        <v>650</v>
      </c>
      <c r="H34" s="68">
        <v>1</v>
      </c>
      <c r="I34">
        <v>85000</v>
      </c>
      <c r="J34">
        <v>85000</v>
      </c>
      <c r="O34" s="41">
        <v>6</v>
      </c>
      <c r="P34" s="159">
        <v>2014</v>
      </c>
    </row>
    <row r="35" spans="1:16">
      <c r="A35" s="43">
        <v>7</v>
      </c>
      <c r="B35" s="43" t="s">
        <v>681</v>
      </c>
      <c r="C35" s="52" t="s">
        <v>687</v>
      </c>
      <c r="D35" s="94" t="s">
        <v>644</v>
      </c>
      <c r="E35" s="89">
        <v>1</v>
      </c>
      <c r="F35" s="81" t="s">
        <v>692</v>
      </c>
      <c r="G35" t="s">
        <v>693</v>
      </c>
      <c r="H35" s="68">
        <v>1</v>
      </c>
      <c r="I35">
        <v>20000</v>
      </c>
      <c r="J35">
        <v>20000</v>
      </c>
      <c r="O35" s="41">
        <v>6</v>
      </c>
      <c r="P35" s="159">
        <v>2014</v>
      </c>
    </row>
    <row r="36" spans="1:16">
      <c r="A36" s="43">
        <v>7</v>
      </c>
      <c r="B36" s="43" t="s">
        <v>681</v>
      </c>
      <c r="C36" s="52" t="s">
        <v>687</v>
      </c>
      <c r="D36" s="94" t="s">
        <v>644</v>
      </c>
      <c r="E36" s="89">
        <v>1</v>
      </c>
      <c r="K36" s="41">
        <v>203000</v>
      </c>
      <c r="M36" s="41">
        <v>203000</v>
      </c>
      <c r="O36" s="41">
        <v>6</v>
      </c>
      <c r="P36" s="159">
        <v>2014</v>
      </c>
    </row>
    <row r="37" spans="1:16">
      <c r="A37" s="137">
        <v>9</v>
      </c>
      <c r="B37" s="137" t="s">
        <v>681</v>
      </c>
      <c r="C37" s="138" t="s">
        <v>679</v>
      </c>
      <c r="D37" s="139" t="s">
        <v>644</v>
      </c>
      <c r="E37" s="140">
        <v>1</v>
      </c>
      <c r="F37" s="141"/>
      <c r="G37" s="142"/>
      <c r="H37" s="142"/>
      <c r="I37" s="142"/>
      <c r="J37" s="142"/>
      <c r="K37" s="143"/>
      <c r="L37" s="143"/>
      <c r="M37" s="143"/>
      <c r="N37" s="144"/>
      <c r="O37" s="41">
        <v>6</v>
      </c>
      <c r="P37" s="159">
        <v>2014</v>
      </c>
    </row>
    <row r="38" spans="1:16">
      <c r="A38" s="131">
        <v>9</v>
      </c>
      <c r="B38" s="131" t="s">
        <v>681</v>
      </c>
      <c r="C38" s="132" t="s">
        <v>679</v>
      </c>
      <c r="D38" s="133" t="s">
        <v>644</v>
      </c>
      <c r="E38" s="134">
        <v>1</v>
      </c>
      <c r="F38" s="81" t="s">
        <v>686</v>
      </c>
      <c r="G38" s="68" t="s">
        <v>682</v>
      </c>
      <c r="H38" s="68">
        <v>1</v>
      </c>
      <c r="I38" s="68">
        <v>115000</v>
      </c>
      <c r="J38" s="68">
        <v>115000</v>
      </c>
      <c r="K38" s="135"/>
      <c r="L38" s="135"/>
      <c r="M38" s="135"/>
      <c r="N38" s="136"/>
      <c r="O38" s="41">
        <v>6</v>
      </c>
      <c r="P38" s="159">
        <v>2014</v>
      </c>
    </row>
    <row r="39" spans="1:16">
      <c r="A39" s="131">
        <v>9</v>
      </c>
      <c r="B39" s="131" t="s">
        <v>681</v>
      </c>
      <c r="C39" s="132" t="s">
        <v>679</v>
      </c>
      <c r="D39" s="133" t="s">
        <v>644</v>
      </c>
      <c r="E39" s="134">
        <v>1</v>
      </c>
      <c r="F39" s="81" t="s">
        <v>694</v>
      </c>
      <c r="G39" s="68" t="s">
        <v>652</v>
      </c>
      <c r="H39" s="68">
        <v>1</v>
      </c>
      <c r="I39" s="68">
        <v>98000</v>
      </c>
      <c r="J39" s="68">
        <v>98000</v>
      </c>
      <c r="K39" s="135"/>
      <c r="L39" s="135"/>
      <c r="M39" s="135"/>
      <c r="N39" s="136"/>
      <c r="O39" s="41">
        <v>6</v>
      </c>
      <c r="P39" s="159">
        <v>2014</v>
      </c>
    </row>
    <row r="40" spans="1:16">
      <c r="A40" s="131">
        <v>9</v>
      </c>
      <c r="B40" s="131" t="s">
        <v>681</v>
      </c>
      <c r="C40" s="132" t="s">
        <v>679</v>
      </c>
      <c r="D40" s="133" t="s">
        <v>644</v>
      </c>
      <c r="E40" s="134">
        <v>1</v>
      </c>
      <c r="G40" s="68"/>
      <c r="I40" s="68"/>
      <c r="J40" s="68"/>
      <c r="K40" s="135">
        <v>213000</v>
      </c>
      <c r="L40" s="135">
        <v>113000</v>
      </c>
      <c r="M40" s="135">
        <v>100000</v>
      </c>
      <c r="N40" s="136" t="s">
        <v>700</v>
      </c>
      <c r="O40" s="41">
        <v>6</v>
      </c>
      <c r="P40" s="159">
        <v>2014</v>
      </c>
    </row>
    <row r="41" spans="1:16">
      <c r="A41" s="137">
        <v>9</v>
      </c>
      <c r="B41" s="137" t="s">
        <v>681</v>
      </c>
      <c r="C41" s="138" t="s">
        <v>679</v>
      </c>
      <c r="D41" s="139" t="s">
        <v>644</v>
      </c>
      <c r="E41" s="140">
        <v>2</v>
      </c>
      <c r="F41" s="141"/>
      <c r="G41" s="142"/>
      <c r="H41" s="142"/>
      <c r="I41" s="142"/>
      <c r="J41" s="142"/>
      <c r="K41" s="143"/>
      <c r="L41" s="143"/>
      <c r="M41" s="143"/>
      <c r="N41" s="144"/>
      <c r="O41" s="41">
        <v>6</v>
      </c>
      <c r="P41" s="159">
        <v>2014</v>
      </c>
    </row>
    <row r="42" spans="1:16">
      <c r="A42" s="131">
        <v>9</v>
      </c>
      <c r="B42" s="131" t="s">
        <v>681</v>
      </c>
      <c r="C42" s="132" t="s">
        <v>679</v>
      </c>
      <c r="D42" s="133" t="s">
        <v>644</v>
      </c>
      <c r="E42" s="134">
        <v>2</v>
      </c>
      <c r="F42" s="81" t="s">
        <v>686</v>
      </c>
      <c r="G42" s="68" t="s">
        <v>682</v>
      </c>
      <c r="H42" s="68">
        <v>1</v>
      </c>
      <c r="I42" s="68">
        <v>115000</v>
      </c>
      <c r="J42" s="68">
        <v>115000</v>
      </c>
      <c r="K42" s="135"/>
      <c r="L42" s="135"/>
      <c r="M42" s="135"/>
      <c r="N42" s="136"/>
      <c r="O42" s="41">
        <v>6</v>
      </c>
      <c r="P42" s="159">
        <v>2014</v>
      </c>
    </row>
    <row r="43" spans="1:16">
      <c r="A43" s="131">
        <v>9</v>
      </c>
      <c r="B43" s="131" t="s">
        <v>681</v>
      </c>
      <c r="C43" s="132" t="s">
        <v>679</v>
      </c>
      <c r="D43" s="133" t="s">
        <v>644</v>
      </c>
      <c r="E43" s="134">
        <v>2</v>
      </c>
      <c r="F43" s="81" t="s">
        <v>695</v>
      </c>
      <c r="G43" s="68" t="s">
        <v>696</v>
      </c>
      <c r="H43" s="68">
        <v>1</v>
      </c>
      <c r="I43" s="68">
        <v>115000</v>
      </c>
      <c r="J43" s="68">
        <v>115000</v>
      </c>
      <c r="K43" s="135"/>
      <c r="L43" s="135"/>
      <c r="M43" s="135"/>
      <c r="N43" s="136"/>
      <c r="O43" s="41">
        <v>6</v>
      </c>
      <c r="P43" s="159">
        <v>2014</v>
      </c>
    </row>
    <row r="44" spans="1:16">
      <c r="A44" s="131">
        <v>9</v>
      </c>
      <c r="B44" s="131" t="s">
        <v>681</v>
      </c>
      <c r="C44" s="132" t="s">
        <v>679</v>
      </c>
      <c r="D44" s="133" t="s">
        <v>644</v>
      </c>
      <c r="E44" s="134">
        <v>2</v>
      </c>
      <c r="G44" s="68"/>
      <c r="I44" s="68"/>
      <c r="J44" s="68"/>
      <c r="K44" s="135">
        <v>230000</v>
      </c>
      <c r="L44" s="135">
        <v>130000</v>
      </c>
      <c r="M44" s="135">
        <v>100000</v>
      </c>
      <c r="N44" s="136" t="s">
        <v>700</v>
      </c>
      <c r="O44" s="41">
        <v>6</v>
      </c>
      <c r="P44" s="159">
        <v>2014</v>
      </c>
    </row>
    <row r="45" spans="1:16">
      <c r="A45" s="137">
        <v>9</v>
      </c>
      <c r="B45" s="137" t="s">
        <v>681</v>
      </c>
      <c r="C45" s="138" t="s">
        <v>679</v>
      </c>
      <c r="D45" s="139" t="s">
        <v>644</v>
      </c>
      <c r="E45" s="140">
        <v>3</v>
      </c>
      <c r="F45" s="141"/>
      <c r="G45" s="142"/>
      <c r="H45" s="142"/>
      <c r="I45" s="142"/>
      <c r="J45" s="142"/>
      <c r="K45" s="143"/>
      <c r="L45" s="143"/>
      <c r="M45" s="143"/>
      <c r="N45" s="144"/>
      <c r="O45" s="41">
        <v>6</v>
      </c>
      <c r="P45" s="159">
        <v>2014</v>
      </c>
    </row>
    <row r="46" spans="1:16">
      <c r="A46" s="131">
        <v>9</v>
      </c>
      <c r="B46" s="131" t="s">
        <v>681</v>
      </c>
      <c r="C46" s="132" t="s">
        <v>679</v>
      </c>
      <c r="D46" s="133" t="s">
        <v>644</v>
      </c>
      <c r="E46" s="134">
        <v>3</v>
      </c>
      <c r="F46" s="81" t="s">
        <v>695</v>
      </c>
      <c r="G46" s="68" t="s">
        <v>696</v>
      </c>
      <c r="H46" s="68">
        <v>1</v>
      </c>
      <c r="I46" s="68">
        <v>115000</v>
      </c>
      <c r="J46" s="68">
        <v>115000</v>
      </c>
      <c r="K46" s="135"/>
      <c r="L46" s="135"/>
      <c r="M46" s="135"/>
      <c r="N46" s="136"/>
      <c r="O46" s="41">
        <v>6</v>
      </c>
      <c r="P46" s="159">
        <v>2014</v>
      </c>
    </row>
    <row r="47" spans="1:16">
      <c r="A47" s="131">
        <v>9</v>
      </c>
      <c r="B47" s="131" t="s">
        <v>681</v>
      </c>
      <c r="C47" s="132" t="s">
        <v>679</v>
      </c>
      <c r="D47" s="133" t="s">
        <v>644</v>
      </c>
      <c r="E47" s="134">
        <v>3</v>
      </c>
      <c r="F47" s="81" t="s">
        <v>694</v>
      </c>
      <c r="G47" s="68" t="s">
        <v>652</v>
      </c>
      <c r="H47" s="68">
        <v>1</v>
      </c>
      <c r="I47" s="68">
        <v>98000</v>
      </c>
      <c r="J47" s="68">
        <v>98000</v>
      </c>
      <c r="K47" s="135"/>
      <c r="L47" s="135"/>
      <c r="M47" s="135"/>
      <c r="N47" s="136"/>
      <c r="O47" s="41">
        <v>6</v>
      </c>
      <c r="P47" s="159">
        <v>2014</v>
      </c>
    </row>
    <row r="48" spans="1:16">
      <c r="A48" s="131">
        <v>9</v>
      </c>
      <c r="B48" s="131" t="s">
        <v>681</v>
      </c>
      <c r="C48" s="132" t="s">
        <v>679</v>
      </c>
      <c r="D48" s="133" t="s">
        <v>644</v>
      </c>
      <c r="E48" s="134">
        <v>3</v>
      </c>
      <c r="G48" s="68"/>
      <c r="I48" s="68"/>
      <c r="J48" s="68"/>
      <c r="K48" s="135">
        <v>213000</v>
      </c>
      <c r="L48" s="135">
        <v>113000</v>
      </c>
      <c r="M48" s="135">
        <v>100000</v>
      </c>
      <c r="N48" s="136" t="s">
        <v>706</v>
      </c>
      <c r="O48" s="41">
        <v>6</v>
      </c>
      <c r="P48" s="159">
        <v>2014</v>
      </c>
    </row>
    <row r="49" spans="1:16">
      <c r="A49" s="137">
        <v>9</v>
      </c>
      <c r="B49" s="137" t="s">
        <v>681</v>
      </c>
      <c r="C49" s="138" t="s">
        <v>679</v>
      </c>
      <c r="D49" s="139" t="s">
        <v>644</v>
      </c>
      <c r="E49" s="140">
        <v>4</v>
      </c>
      <c r="F49" s="141"/>
      <c r="G49" s="142"/>
      <c r="H49" s="142"/>
      <c r="I49" s="142"/>
      <c r="J49" s="142"/>
      <c r="K49" s="143"/>
      <c r="L49" s="143"/>
      <c r="M49" s="143"/>
      <c r="N49" s="144"/>
      <c r="O49" s="41">
        <v>6</v>
      </c>
      <c r="P49" s="159">
        <v>2014</v>
      </c>
    </row>
    <row r="50" spans="1:16">
      <c r="A50" s="131">
        <v>9</v>
      </c>
      <c r="B50" s="131" t="s">
        <v>681</v>
      </c>
      <c r="C50" s="132" t="s">
        <v>679</v>
      </c>
      <c r="D50" s="133" t="s">
        <v>644</v>
      </c>
      <c r="E50" s="134">
        <v>4</v>
      </c>
      <c r="F50" s="81" t="s">
        <v>694</v>
      </c>
      <c r="G50" s="68" t="s">
        <v>652</v>
      </c>
      <c r="H50" s="68">
        <v>1</v>
      </c>
      <c r="I50" s="68">
        <v>98000</v>
      </c>
      <c r="J50" s="68">
        <v>98000</v>
      </c>
      <c r="K50" s="135"/>
      <c r="L50" s="135"/>
      <c r="M50" s="135"/>
      <c r="N50" s="136"/>
      <c r="O50" s="41">
        <v>6</v>
      </c>
      <c r="P50" s="159">
        <v>2014</v>
      </c>
    </row>
    <row r="51" spans="1:16">
      <c r="A51" s="131">
        <v>9</v>
      </c>
      <c r="B51" s="131" t="s">
        <v>681</v>
      </c>
      <c r="C51" s="132" t="s">
        <v>679</v>
      </c>
      <c r="D51" s="133" t="s">
        <v>644</v>
      </c>
      <c r="E51" s="134">
        <v>4</v>
      </c>
      <c r="F51" s="81" t="s">
        <v>686</v>
      </c>
      <c r="G51" s="68" t="s">
        <v>682</v>
      </c>
      <c r="H51" s="68">
        <v>1</v>
      </c>
      <c r="I51" s="68">
        <v>115000</v>
      </c>
      <c r="J51" s="68">
        <v>115000</v>
      </c>
      <c r="K51" s="135"/>
      <c r="L51" s="135"/>
      <c r="M51" s="135"/>
      <c r="N51" s="136"/>
      <c r="O51" s="41">
        <v>6</v>
      </c>
      <c r="P51" s="159">
        <v>2014</v>
      </c>
    </row>
    <row r="52" spans="1:16">
      <c r="A52" s="131">
        <v>9</v>
      </c>
      <c r="B52" s="131" t="s">
        <v>681</v>
      </c>
      <c r="C52" s="132" t="s">
        <v>679</v>
      </c>
      <c r="D52" s="133" t="s">
        <v>644</v>
      </c>
      <c r="E52" s="134">
        <v>4</v>
      </c>
      <c r="G52" s="68"/>
      <c r="I52" s="68"/>
      <c r="J52" s="68"/>
      <c r="K52" s="135">
        <v>213000</v>
      </c>
      <c r="L52" s="135">
        <v>113000</v>
      </c>
      <c r="M52" s="135">
        <v>100000</v>
      </c>
      <c r="N52" s="136" t="s">
        <v>706</v>
      </c>
      <c r="O52" s="41">
        <v>6</v>
      </c>
      <c r="P52" s="159">
        <v>2014</v>
      </c>
    </row>
    <row r="53" spans="1:16">
      <c r="A53" s="137">
        <v>9</v>
      </c>
      <c r="B53" s="137" t="s">
        <v>681</v>
      </c>
      <c r="C53" s="138" t="s">
        <v>679</v>
      </c>
      <c r="D53" s="139" t="s">
        <v>644</v>
      </c>
      <c r="E53" s="140">
        <v>5</v>
      </c>
      <c r="F53" s="141"/>
      <c r="G53" s="142"/>
      <c r="H53" s="142"/>
      <c r="I53" s="142"/>
      <c r="J53" s="142"/>
      <c r="K53" s="143"/>
      <c r="L53" s="143"/>
      <c r="M53" s="143"/>
      <c r="N53" s="144"/>
      <c r="O53" s="41">
        <v>6</v>
      </c>
      <c r="P53" s="159">
        <v>2014</v>
      </c>
    </row>
    <row r="54" spans="1:16">
      <c r="A54" s="131">
        <v>9</v>
      </c>
      <c r="B54" s="131" t="s">
        <v>681</v>
      </c>
      <c r="C54" s="132" t="s">
        <v>679</v>
      </c>
      <c r="D54" s="133" t="s">
        <v>644</v>
      </c>
      <c r="E54" s="134">
        <v>5</v>
      </c>
      <c r="F54" s="81" t="s">
        <v>680</v>
      </c>
      <c r="G54" s="68" t="s">
        <v>651</v>
      </c>
      <c r="H54" s="68">
        <v>2</v>
      </c>
      <c r="I54" s="68">
        <v>98000</v>
      </c>
      <c r="J54" s="68">
        <v>196000</v>
      </c>
      <c r="K54" s="135"/>
      <c r="L54" s="135"/>
      <c r="M54" s="135"/>
      <c r="N54" s="136"/>
      <c r="O54" s="41">
        <v>6</v>
      </c>
      <c r="P54" s="159">
        <v>2014</v>
      </c>
    </row>
    <row r="55" spans="1:16">
      <c r="A55" s="131">
        <v>9</v>
      </c>
      <c r="B55" s="131" t="s">
        <v>681</v>
      </c>
      <c r="C55" s="132" t="s">
        <v>679</v>
      </c>
      <c r="D55" s="133" t="s">
        <v>644</v>
      </c>
      <c r="E55" s="134">
        <v>5</v>
      </c>
      <c r="G55" s="68"/>
      <c r="I55" s="68"/>
      <c r="J55" s="68"/>
      <c r="K55" s="135">
        <v>196000</v>
      </c>
      <c r="L55" s="135">
        <v>96000</v>
      </c>
      <c r="M55" s="135">
        <v>100000</v>
      </c>
      <c r="N55" s="136" t="s">
        <v>706</v>
      </c>
      <c r="O55" s="41">
        <v>6</v>
      </c>
      <c r="P55" s="159">
        <v>2014</v>
      </c>
    </row>
    <row r="56" spans="1:16">
      <c r="A56" s="137">
        <v>9</v>
      </c>
      <c r="B56" s="137" t="s">
        <v>681</v>
      </c>
      <c r="C56" s="138" t="s">
        <v>679</v>
      </c>
      <c r="D56" s="139" t="s">
        <v>644</v>
      </c>
      <c r="E56" s="140">
        <v>6</v>
      </c>
      <c r="F56" s="141"/>
      <c r="G56" s="142"/>
      <c r="H56" s="142"/>
      <c r="I56" s="142"/>
      <c r="J56" s="142"/>
      <c r="K56" s="143"/>
      <c r="L56" s="143"/>
      <c r="M56" s="143"/>
      <c r="N56" s="144"/>
      <c r="O56" s="41">
        <v>6</v>
      </c>
      <c r="P56" s="159">
        <v>2014</v>
      </c>
    </row>
    <row r="57" spans="1:16">
      <c r="A57" s="131">
        <v>9</v>
      </c>
      <c r="B57" s="131" t="s">
        <v>681</v>
      </c>
      <c r="C57" s="132" t="s">
        <v>679</v>
      </c>
      <c r="D57" s="133" t="s">
        <v>644</v>
      </c>
      <c r="E57" s="134">
        <v>6</v>
      </c>
      <c r="F57" s="81" t="s">
        <v>697</v>
      </c>
      <c r="G57" s="68" t="s">
        <v>698</v>
      </c>
      <c r="H57" s="68">
        <v>1</v>
      </c>
      <c r="I57" s="68">
        <v>195000</v>
      </c>
      <c r="J57" s="68">
        <v>195000</v>
      </c>
      <c r="K57" s="135"/>
      <c r="L57" s="135"/>
      <c r="M57" s="135"/>
      <c r="N57" s="136"/>
      <c r="O57" s="41">
        <v>6</v>
      </c>
      <c r="P57" s="159">
        <v>2014</v>
      </c>
    </row>
    <row r="58" spans="1:16">
      <c r="A58" s="131">
        <v>9</v>
      </c>
      <c r="B58" s="131" t="s">
        <v>681</v>
      </c>
      <c r="C58" s="132" t="s">
        <v>679</v>
      </c>
      <c r="D58" s="133" t="s">
        <v>644</v>
      </c>
      <c r="E58" s="134">
        <v>6</v>
      </c>
      <c r="G58" s="68"/>
      <c r="I58" s="68"/>
      <c r="J58" s="68"/>
      <c r="K58" s="135">
        <v>195000</v>
      </c>
      <c r="L58" s="135"/>
      <c r="M58" s="135">
        <v>195000</v>
      </c>
      <c r="N58" s="136"/>
      <c r="O58" s="41">
        <v>6</v>
      </c>
      <c r="P58" s="159">
        <v>2014</v>
      </c>
    </row>
    <row r="59" spans="1:16">
      <c r="A59" s="137">
        <v>9</v>
      </c>
      <c r="B59" s="137" t="s">
        <v>681</v>
      </c>
      <c r="C59" s="138" t="s">
        <v>679</v>
      </c>
      <c r="D59" s="139" t="s">
        <v>644</v>
      </c>
      <c r="E59" s="140">
        <v>7</v>
      </c>
      <c r="F59" s="141"/>
      <c r="G59" s="142"/>
      <c r="H59" s="142"/>
      <c r="I59" s="142"/>
      <c r="J59" s="142"/>
      <c r="K59" s="143"/>
      <c r="L59" s="143"/>
      <c r="M59" s="143"/>
      <c r="N59" s="144"/>
      <c r="O59" s="41">
        <v>6</v>
      </c>
      <c r="P59" s="159">
        <v>2014</v>
      </c>
    </row>
    <row r="60" spans="1:16">
      <c r="A60" s="131">
        <v>9</v>
      </c>
      <c r="B60" s="131" t="s">
        <v>681</v>
      </c>
      <c r="C60" s="132" t="s">
        <v>679</v>
      </c>
      <c r="D60" s="133" t="s">
        <v>644</v>
      </c>
      <c r="E60" s="134">
        <v>7</v>
      </c>
      <c r="F60" s="81" t="s">
        <v>697</v>
      </c>
      <c r="G60" s="68" t="s">
        <v>698</v>
      </c>
      <c r="H60" s="68">
        <v>1</v>
      </c>
      <c r="I60" s="68">
        <v>195000</v>
      </c>
      <c r="J60" s="68">
        <v>195000</v>
      </c>
      <c r="K60" s="135"/>
      <c r="L60" s="135"/>
      <c r="M60" s="135"/>
      <c r="N60" s="136"/>
      <c r="O60" s="41">
        <v>6</v>
      </c>
      <c r="P60" s="159">
        <v>2014</v>
      </c>
    </row>
    <row r="61" spans="1:16">
      <c r="A61" s="131">
        <v>9</v>
      </c>
      <c r="B61" s="131" t="s">
        <v>681</v>
      </c>
      <c r="C61" s="132" t="s">
        <v>679</v>
      </c>
      <c r="D61" s="133" t="s">
        <v>644</v>
      </c>
      <c r="E61" s="134">
        <v>7</v>
      </c>
      <c r="G61" s="68"/>
      <c r="I61" s="68"/>
      <c r="J61" s="68"/>
      <c r="K61" s="135">
        <v>195000</v>
      </c>
      <c r="L61" s="135"/>
      <c r="M61" s="135">
        <v>195000</v>
      </c>
      <c r="N61" s="136"/>
      <c r="O61" s="41">
        <v>6</v>
      </c>
      <c r="P61" s="159">
        <v>2014</v>
      </c>
    </row>
    <row r="62" spans="1:16">
      <c r="A62" s="145">
        <v>9</v>
      </c>
      <c r="B62" s="145" t="s">
        <v>684</v>
      </c>
      <c r="C62" s="146" t="s">
        <v>685</v>
      </c>
      <c r="D62" s="147" t="s">
        <v>644</v>
      </c>
      <c r="E62" s="148">
        <v>1</v>
      </c>
      <c r="F62" s="141"/>
      <c r="G62" s="149"/>
      <c r="H62" s="142"/>
      <c r="I62" s="149"/>
      <c r="J62" s="149"/>
      <c r="K62" s="150"/>
      <c r="L62" s="150"/>
      <c r="M62" s="150"/>
      <c r="N62" s="151"/>
      <c r="O62" s="41">
        <v>6</v>
      </c>
      <c r="P62" s="159">
        <v>2014</v>
      </c>
    </row>
    <row r="63" spans="1:16">
      <c r="A63" s="43">
        <v>9</v>
      </c>
      <c r="B63" s="43" t="s">
        <v>684</v>
      </c>
      <c r="C63" s="52" t="s">
        <v>685</v>
      </c>
      <c r="D63" s="94" t="s">
        <v>644</v>
      </c>
      <c r="E63" s="89">
        <v>1</v>
      </c>
      <c r="F63" s="81" t="s">
        <v>699</v>
      </c>
      <c r="G63" t="s">
        <v>650</v>
      </c>
      <c r="H63" s="68">
        <v>1</v>
      </c>
      <c r="I63">
        <v>85000</v>
      </c>
      <c r="J63">
        <v>85000</v>
      </c>
      <c r="O63" s="41">
        <v>6</v>
      </c>
      <c r="P63" s="159">
        <v>2014</v>
      </c>
    </row>
    <row r="64" spans="1:16">
      <c r="A64" s="43">
        <v>9</v>
      </c>
      <c r="B64" s="43" t="s">
        <v>684</v>
      </c>
      <c r="C64" s="52" t="s">
        <v>685</v>
      </c>
      <c r="D64" s="94" t="s">
        <v>644</v>
      </c>
      <c r="E64" s="89">
        <v>1</v>
      </c>
      <c r="K64" s="41">
        <v>85000</v>
      </c>
      <c r="L64" s="41">
        <v>35000</v>
      </c>
      <c r="M64" s="41">
        <v>50000</v>
      </c>
      <c r="N64" s="40" t="s">
        <v>700</v>
      </c>
      <c r="O64" s="41">
        <v>6</v>
      </c>
      <c r="P64" s="159">
        <v>2014</v>
      </c>
    </row>
    <row r="65" spans="1:16">
      <c r="A65" s="145">
        <v>9</v>
      </c>
      <c r="B65" s="145" t="s">
        <v>684</v>
      </c>
      <c r="C65" s="146" t="s">
        <v>685</v>
      </c>
      <c r="D65" s="147" t="s">
        <v>644</v>
      </c>
      <c r="E65" s="148">
        <v>2</v>
      </c>
      <c r="F65" s="141"/>
      <c r="G65" s="149"/>
      <c r="H65" s="142"/>
      <c r="I65" s="149"/>
      <c r="J65" s="149"/>
      <c r="K65" s="150"/>
      <c r="L65" s="150"/>
      <c r="M65" s="150"/>
      <c r="N65" s="151"/>
      <c r="O65" s="41">
        <v>6</v>
      </c>
      <c r="P65" s="159">
        <v>2014</v>
      </c>
    </row>
    <row r="66" spans="1:16">
      <c r="A66" s="43">
        <v>9</v>
      </c>
      <c r="B66" s="43" t="s">
        <v>684</v>
      </c>
      <c r="C66" s="52" t="s">
        <v>685</v>
      </c>
      <c r="D66" s="94" t="s">
        <v>644</v>
      </c>
      <c r="E66" s="89">
        <v>2</v>
      </c>
      <c r="F66" s="81" t="s">
        <v>694</v>
      </c>
      <c r="G66" t="s">
        <v>652</v>
      </c>
      <c r="H66" s="68">
        <v>1</v>
      </c>
      <c r="I66">
        <v>98000</v>
      </c>
      <c r="J66">
        <v>98000</v>
      </c>
      <c r="O66" s="41">
        <v>6</v>
      </c>
      <c r="P66" s="159">
        <v>2014</v>
      </c>
    </row>
    <row r="67" spans="1:16">
      <c r="A67" s="43">
        <v>9</v>
      </c>
      <c r="B67" s="43" t="s">
        <v>684</v>
      </c>
      <c r="C67" s="52" t="s">
        <v>685</v>
      </c>
      <c r="D67" s="94" t="s">
        <v>644</v>
      </c>
      <c r="E67" s="89">
        <v>2</v>
      </c>
      <c r="F67" s="81" t="s">
        <v>680</v>
      </c>
      <c r="G67" t="s">
        <v>651</v>
      </c>
      <c r="H67" s="68">
        <v>1</v>
      </c>
      <c r="I67">
        <v>98000</v>
      </c>
      <c r="J67">
        <v>98000</v>
      </c>
      <c r="O67" s="41">
        <v>6</v>
      </c>
      <c r="P67" s="159">
        <v>2014</v>
      </c>
    </row>
    <row r="68" spans="1:16">
      <c r="A68" s="43">
        <v>9</v>
      </c>
      <c r="B68" s="43" t="s">
        <v>684</v>
      </c>
      <c r="C68" s="52" t="s">
        <v>685</v>
      </c>
      <c r="D68" s="94" t="s">
        <v>644</v>
      </c>
      <c r="E68" s="89">
        <v>2</v>
      </c>
      <c r="F68" s="81" t="s">
        <v>686</v>
      </c>
      <c r="G68" t="s">
        <v>682</v>
      </c>
      <c r="H68" s="68">
        <v>1</v>
      </c>
      <c r="I68">
        <v>115000</v>
      </c>
      <c r="J68">
        <v>115000</v>
      </c>
      <c r="O68" s="41">
        <v>6</v>
      </c>
      <c r="P68" s="159">
        <v>2014</v>
      </c>
    </row>
    <row r="69" spans="1:16">
      <c r="A69" s="43">
        <v>9</v>
      </c>
      <c r="B69" s="43" t="s">
        <v>684</v>
      </c>
      <c r="C69" s="52" t="s">
        <v>685</v>
      </c>
      <c r="D69" s="94" t="s">
        <v>644</v>
      </c>
      <c r="E69" s="89">
        <v>2</v>
      </c>
      <c r="K69" s="41">
        <v>311000</v>
      </c>
      <c r="L69" s="41">
        <v>161000</v>
      </c>
      <c r="M69" s="41">
        <v>150000</v>
      </c>
      <c r="N69" s="40" t="s">
        <v>700</v>
      </c>
      <c r="O69" s="41">
        <v>6</v>
      </c>
      <c r="P69" s="159">
        <v>2014</v>
      </c>
    </row>
    <row r="70" spans="1:16">
      <c r="A70" s="145">
        <v>9</v>
      </c>
      <c r="B70" s="145" t="s">
        <v>684</v>
      </c>
      <c r="C70" s="146" t="s">
        <v>685</v>
      </c>
      <c r="D70" s="147" t="s">
        <v>644</v>
      </c>
      <c r="E70" s="148">
        <v>3</v>
      </c>
      <c r="F70" s="141"/>
      <c r="G70" s="149"/>
      <c r="H70" s="142"/>
      <c r="I70" s="149"/>
      <c r="J70" s="149"/>
      <c r="K70" s="150"/>
      <c r="L70" s="150"/>
      <c r="M70" s="150"/>
      <c r="N70" s="151"/>
      <c r="O70" s="41">
        <v>6</v>
      </c>
      <c r="P70" s="159">
        <v>2014</v>
      </c>
    </row>
    <row r="71" spans="1:16">
      <c r="A71" s="43">
        <v>9</v>
      </c>
      <c r="B71" s="43" t="s">
        <v>684</v>
      </c>
      <c r="C71" s="52" t="s">
        <v>685</v>
      </c>
      <c r="D71" s="94" t="s">
        <v>644</v>
      </c>
      <c r="E71" s="89">
        <v>3</v>
      </c>
      <c r="F71" s="81" t="s">
        <v>699</v>
      </c>
      <c r="G71" t="s">
        <v>650</v>
      </c>
      <c r="H71" s="68">
        <v>1</v>
      </c>
      <c r="I71">
        <v>85000</v>
      </c>
      <c r="J71">
        <v>85000</v>
      </c>
      <c r="O71" s="41">
        <v>6</v>
      </c>
      <c r="P71" s="159">
        <v>2014</v>
      </c>
    </row>
    <row r="72" spans="1:16">
      <c r="A72" s="43">
        <v>9</v>
      </c>
      <c r="B72" s="43" t="s">
        <v>684</v>
      </c>
      <c r="C72" s="52" t="s">
        <v>685</v>
      </c>
      <c r="D72" s="94" t="s">
        <v>644</v>
      </c>
      <c r="E72" s="89">
        <v>3</v>
      </c>
      <c r="F72" s="81" t="s">
        <v>680</v>
      </c>
      <c r="G72" t="s">
        <v>651</v>
      </c>
      <c r="H72" s="68">
        <v>1</v>
      </c>
      <c r="I72">
        <v>98000</v>
      </c>
      <c r="J72">
        <v>98000</v>
      </c>
      <c r="O72" s="41">
        <v>6</v>
      </c>
      <c r="P72" s="159">
        <v>2014</v>
      </c>
    </row>
    <row r="73" spans="1:16">
      <c r="A73" s="43">
        <v>9</v>
      </c>
      <c r="B73" s="43" t="s">
        <v>684</v>
      </c>
      <c r="C73" s="52" t="s">
        <v>685</v>
      </c>
      <c r="D73" s="94" t="s">
        <v>644</v>
      </c>
      <c r="E73" s="89">
        <v>3</v>
      </c>
      <c r="F73" s="81" t="s">
        <v>686</v>
      </c>
      <c r="G73" t="s">
        <v>682</v>
      </c>
      <c r="H73" s="68">
        <v>1</v>
      </c>
      <c r="I73">
        <v>115000</v>
      </c>
      <c r="J73">
        <v>115000</v>
      </c>
      <c r="O73" s="41">
        <v>6</v>
      </c>
      <c r="P73" s="159">
        <v>2014</v>
      </c>
    </row>
    <row r="74" spans="1:16">
      <c r="A74" s="43">
        <v>9</v>
      </c>
      <c r="B74" s="43" t="s">
        <v>684</v>
      </c>
      <c r="C74" s="52" t="s">
        <v>685</v>
      </c>
      <c r="D74" s="94" t="s">
        <v>644</v>
      </c>
      <c r="E74" s="89">
        <v>3</v>
      </c>
      <c r="K74" s="41">
        <v>298000</v>
      </c>
      <c r="L74" s="41">
        <v>148000</v>
      </c>
      <c r="M74" s="41">
        <v>150000</v>
      </c>
      <c r="N74" s="40" t="s">
        <v>700</v>
      </c>
      <c r="O74" s="41">
        <v>6</v>
      </c>
      <c r="P74" s="159">
        <v>2014</v>
      </c>
    </row>
    <row r="75" spans="1:16">
      <c r="A75" s="145">
        <v>9</v>
      </c>
      <c r="B75" s="145" t="s">
        <v>684</v>
      </c>
      <c r="C75" s="146" t="s">
        <v>685</v>
      </c>
      <c r="D75" s="147" t="s">
        <v>701</v>
      </c>
      <c r="E75" s="148">
        <v>4</v>
      </c>
      <c r="F75" s="141"/>
      <c r="G75" s="149"/>
      <c r="H75" s="142"/>
      <c r="I75" s="149"/>
      <c r="J75" s="149"/>
      <c r="K75" s="150"/>
      <c r="L75" s="150"/>
      <c r="M75" s="150"/>
      <c r="N75" s="151"/>
      <c r="O75" s="41">
        <v>6</v>
      </c>
      <c r="P75" s="159">
        <v>2014</v>
      </c>
    </row>
    <row r="76" spans="1:16">
      <c r="A76" s="43">
        <v>9</v>
      </c>
      <c r="B76" s="43" t="s">
        <v>684</v>
      </c>
      <c r="C76" s="52" t="s">
        <v>685</v>
      </c>
      <c r="D76" s="94" t="s">
        <v>701</v>
      </c>
      <c r="E76" s="89">
        <v>4</v>
      </c>
      <c r="F76" s="81" t="s">
        <v>686</v>
      </c>
      <c r="G76" t="s">
        <v>682</v>
      </c>
      <c r="H76" s="68">
        <v>1</v>
      </c>
      <c r="I76">
        <v>115000</v>
      </c>
      <c r="J76">
        <v>115000</v>
      </c>
      <c r="O76" s="41">
        <v>6</v>
      </c>
      <c r="P76" s="159">
        <v>2014</v>
      </c>
    </row>
    <row r="77" spans="1:16">
      <c r="A77" s="43">
        <v>9</v>
      </c>
      <c r="B77" s="43" t="s">
        <v>684</v>
      </c>
      <c r="C77" s="52" t="s">
        <v>685</v>
      </c>
      <c r="D77" s="94" t="s">
        <v>701</v>
      </c>
      <c r="E77" s="89">
        <v>4</v>
      </c>
      <c r="K77" s="41">
        <v>115000</v>
      </c>
      <c r="L77" s="41">
        <v>65000</v>
      </c>
      <c r="M77" s="41">
        <v>50000</v>
      </c>
      <c r="N77" s="40" t="s">
        <v>700</v>
      </c>
      <c r="O77" s="41">
        <v>6</v>
      </c>
      <c r="P77" s="159">
        <v>2014</v>
      </c>
    </row>
    <row r="78" spans="1:16">
      <c r="A78" s="145">
        <v>9</v>
      </c>
      <c r="B78" s="145" t="s">
        <v>684</v>
      </c>
      <c r="C78" s="146" t="s">
        <v>685</v>
      </c>
      <c r="D78" s="147" t="s">
        <v>701</v>
      </c>
      <c r="E78" s="148">
        <v>5</v>
      </c>
      <c r="F78" s="141"/>
      <c r="G78" s="149"/>
      <c r="H78" s="142"/>
      <c r="I78" s="149"/>
      <c r="J78" s="149"/>
      <c r="K78" s="150"/>
      <c r="L78" s="150"/>
      <c r="M78" s="150"/>
      <c r="N78" s="151"/>
      <c r="O78" s="41">
        <v>6</v>
      </c>
      <c r="P78" s="159">
        <v>2014</v>
      </c>
    </row>
    <row r="79" spans="1:16">
      <c r="A79" s="43">
        <v>9</v>
      </c>
      <c r="B79" s="43" t="s">
        <v>684</v>
      </c>
      <c r="C79" s="52" t="s">
        <v>685</v>
      </c>
      <c r="D79" s="94" t="s">
        <v>701</v>
      </c>
      <c r="E79" s="89">
        <v>5</v>
      </c>
      <c r="F79" s="81" t="s">
        <v>680</v>
      </c>
      <c r="G79" t="s">
        <v>651</v>
      </c>
      <c r="H79" s="68">
        <v>1</v>
      </c>
      <c r="I79">
        <v>98000</v>
      </c>
      <c r="J79">
        <v>98000</v>
      </c>
      <c r="O79" s="41">
        <v>6</v>
      </c>
      <c r="P79" s="159">
        <v>2014</v>
      </c>
    </row>
    <row r="80" spans="1:16">
      <c r="A80" s="43">
        <v>9</v>
      </c>
      <c r="B80" s="43" t="s">
        <v>684</v>
      </c>
      <c r="C80" s="52" t="s">
        <v>685</v>
      </c>
      <c r="D80" s="94" t="s">
        <v>701</v>
      </c>
      <c r="E80" s="89">
        <v>5</v>
      </c>
      <c r="F80" s="81" t="s">
        <v>694</v>
      </c>
      <c r="G80" t="s">
        <v>652</v>
      </c>
      <c r="H80" s="68">
        <v>1</v>
      </c>
      <c r="I80">
        <v>98000</v>
      </c>
      <c r="J80">
        <v>98000</v>
      </c>
      <c r="O80" s="41">
        <v>6</v>
      </c>
      <c r="P80" s="159">
        <v>2014</v>
      </c>
    </row>
    <row r="81" spans="1:16">
      <c r="A81" s="43">
        <v>9</v>
      </c>
      <c r="B81" s="43" t="s">
        <v>684</v>
      </c>
      <c r="C81" s="52" t="s">
        <v>685</v>
      </c>
      <c r="D81" s="94" t="s">
        <v>701</v>
      </c>
      <c r="E81" s="89">
        <v>5</v>
      </c>
      <c r="K81" s="41">
        <v>196000</v>
      </c>
      <c r="L81" s="41">
        <v>96000</v>
      </c>
      <c r="M81" s="41">
        <v>100000</v>
      </c>
      <c r="N81" s="40" t="s">
        <v>700</v>
      </c>
      <c r="O81" s="41">
        <v>6</v>
      </c>
      <c r="P81" s="159">
        <v>2014</v>
      </c>
    </row>
    <row r="82" spans="1:16">
      <c r="A82" s="145">
        <v>9</v>
      </c>
      <c r="B82" s="145" t="s">
        <v>684</v>
      </c>
      <c r="C82" s="146" t="s">
        <v>685</v>
      </c>
      <c r="D82" s="147" t="s">
        <v>701</v>
      </c>
      <c r="E82" s="148">
        <v>6</v>
      </c>
      <c r="F82" s="141"/>
      <c r="G82" s="149"/>
      <c r="H82" s="142"/>
      <c r="I82" s="149"/>
      <c r="J82" s="149"/>
      <c r="K82" s="150"/>
      <c r="L82" s="150"/>
      <c r="M82" s="150"/>
      <c r="N82" s="151"/>
      <c r="O82" s="41">
        <v>6</v>
      </c>
      <c r="P82" s="159">
        <v>2014</v>
      </c>
    </row>
    <row r="83" spans="1:16">
      <c r="A83" s="43">
        <v>9</v>
      </c>
      <c r="B83" s="43" t="s">
        <v>684</v>
      </c>
      <c r="C83" s="52" t="s">
        <v>685</v>
      </c>
      <c r="D83" s="94" t="s">
        <v>701</v>
      </c>
      <c r="E83" s="89">
        <v>6</v>
      </c>
      <c r="F83" s="81" t="s">
        <v>686</v>
      </c>
      <c r="G83" t="s">
        <v>682</v>
      </c>
      <c r="H83" s="68">
        <v>1</v>
      </c>
      <c r="I83">
        <v>115000</v>
      </c>
      <c r="J83">
        <v>115000</v>
      </c>
      <c r="O83" s="41">
        <v>6</v>
      </c>
      <c r="P83" s="159">
        <v>2014</v>
      </c>
    </row>
    <row r="84" spans="1:16">
      <c r="A84" s="43">
        <v>9</v>
      </c>
      <c r="B84" s="43" t="s">
        <v>684</v>
      </c>
      <c r="C84" s="52" t="s">
        <v>685</v>
      </c>
      <c r="D84" s="94" t="s">
        <v>701</v>
      </c>
      <c r="E84" s="89">
        <v>6</v>
      </c>
      <c r="K84" s="41">
        <v>115000</v>
      </c>
      <c r="L84" s="41">
        <v>65000</v>
      </c>
      <c r="M84" s="41">
        <v>50000</v>
      </c>
      <c r="N84" s="40" t="s">
        <v>700</v>
      </c>
      <c r="O84" s="41">
        <v>6</v>
      </c>
      <c r="P84" s="159">
        <v>2014</v>
      </c>
    </row>
    <row r="85" spans="1:16">
      <c r="A85" s="145">
        <v>9</v>
      </c>
      <c r="B85" s="145" t="s">
        <v>684</v>
      </c>
      <c r="C85" s="146" t="s">
        <v>685</v>
      </c>
      <c r="D85" s="147" t="s">
        <v>701</v>
      </c>
      <c r="E85" s="148">
        <v>7</v>
      </c>
      <c r="F85" s="141"/>
      <c r="G85" s="149"/>
      <c r="H85" s="142"/>
      <c r="I85" s="149"/>
      <c r="J85" s="149"/>
      <c r="K85" s="150"/>
      <c r="L85" s="150"/>
      <c r="M85" s="150"/>
      <c r="N85" s="151"/>
      <c r="O85" s="41">
        <v>6</v>
      </c>
      <c r="P85" s="159">
        <v>2014</v>
      </c>
    </row>
    <row r="86" spans="1:16">
      <c r="A86" s="43">
        <v>9</v>
      </c>
      <c r="B86" s="43" t="s">
        <v>684</v>
      </c>
      <c r="C86" s="52" t="s">
        <v>685</v>
      </c>
      <c r="D86" s="94" t="s">
        <v>701</v>
      </c>
      <c r="E86" s="89">
        <v>7</v>
      </c>
      <c r="F86" s="81" t="s">
        <v>680</v>
      </c>
      <c r="G86" t="s">
        <v>651</v>
      </c>
      <c r="H86" s="68">
        <v>1</v>
      </c>
      <c r="I86">
        <v>98000</v>
      </c>
      <c r="J86">
        <v>98000</v>
      </c>
      <c r="O86" s="41">
        <v>6</v>
      </c>
      <c r="P86" s="159">
        <v>2014</v>
      </c>
    </row>
    <row r="87" spans="1:16">
      <c r="A87" s="43">
        <v>9</v>
      </c>
      <c r="B87" s="43" t="s">
        <v>684</v>
      </c>
      <c r="C87" s="52" t="s">
        <v>685</v>
      </c>
      <c r="D87" s="94" t="s">
        <v>701</v>
      </c>
      <c r="E87" s="89">
        <v>7</v>
      </c>
      <c r="K87" s="41">
        <v>98000</v>
      </c>
      <c r="L87" s="41">
        <v>48000</v>
      </c>
      <c r="M87" s="41">
        <v>50000</v>
      </c>
      <c r="N87" s="40" t="s">
        <v>700</v>
      </c>
      <c r="O87" s="41">
        <v>6</v>
      </c>
      <c r="P87" s="159">
        <v>2014</v>
      </c>
    </row>
    <row r="88" spans="1:16">
      <c r="A88" s="145">
        <v>9</v>
      </c>
      <c r="B88" s="145" t="s">
        <v>684</v>
      </c>
      <c r="C88" s="146" t="s">
        <v>685</v>
      </c>
      <c r="D88" s="147" t="s">
        <v>701</v>
      </c>
      <c r="E88" s="148">
        <v>8</v>
      </c>
      <c r="F88" s="141"/>
      <c r="G88" s="149"/>
      <c r="H88" s="142"/>
      <c r="I88" s="149"/>
      <c r="J88" s="149"/>
      <c r="K88" s="150"/>
      <c r="L88" s="150"/>
      <c r="M88" s="150"/>
      <c r="N88" s="151"/>
      <c r="O88" s="41">
        <v>6</v>
      </c>
      <c r="P88" s="159">
        <v>2014</v>
      </c>
    </row>
    <row r="89" spans="1:16">
      <c r="A89" s="43">
        <v>9</v>
      </c>
      <c r="B89" s="43" t="s">
        <v>684</v>
      </c>
      <c r="C89" s="52" t="s">
        <v>685</v>
      </c>
      <c r="D89" s="94" t="s">
        <v>701</v>
      </c>
      <c r="E89" s="89">
        <v>8</v>
      </c>
      <c r="F89" s="81" t="s">
        <v>680</v>
      </c>
      <c r="G89" t="s">
        <v>651</v>
      </c>
      <c r="H89" s="68">
        <v>1</v>
      </c>
      <c r="I89">
        <v>98000</v>
      </c>
      <c r="J89">
        <v>98000</v>
      </c>
      <c r="O89" s="41">
        <v>6</v>
      </c>
      <c r="P89" s="159">
        <v>2014</v>
      </c>
    </row>
    <row r="90" spans="1:16">
      <c r="A90" s="43">
        <v>9</v>
      </c>
      <c r="B90" s="43" t="s">
        <v>684</v>
      </c>
      <c r="C90" s="52" t="s">
        <v>685</v>
      </c>
      <c r="D90" s="94" t="s">
        <v>701</v>
      </c>
      <c r="E90" s="89">
        <v>8</v>
      </c>
      <c r="K90" s="41">
        <v>98000</v>
      </c>
      <c r="L90" s="41">
        <v>48000</v>
      </c>
      <c r="M90" s="41">
        <v>50000</v>
      </c>
      <c r="N90" s="40" t="s">
        <v>700</v>
      </c>
      <c r="O90" s="41">
        <v>6</v>
      </c>
      <c r="P90" s="159">
        <v>2014</v>
      </c>
    </row>
    <row r="91" spans="1:16">
      <c r="A91" s="145">
        <v>9</v>
      </c>
      <c r="B91" s="145" t="s">
        <v>684</v>
      </c>
      <c r="C91" s="146" t="s">
        <v>685</v>
      </c>
      <c r="D91" s="147" t="s">
        <v>701</v>
      </c>
      <c r="E91" s="148">
        <v>9</v>
      </c>
      <c r="F91" s="141"/>
      <c r="G91" s="149"/>
      <c r="H91" s="142"/>
      <c r="I91" s="149"/>
      <c r="J91" s="149"/>
      <c r="K91" s="150"/>
      <c r="L91" s="150"/>
      <c r="M91" s="150"/>
      <c r="N91" s="151"/>
      <c r="O91" s="41">
        <v>6</v>
      </c>
      <c r="P91" s="159">
        <v>2014</v>
      </c>
    </row>
    <row r="92" spans="1:16">
      <c r="A92" s="43">
        <v>9</v>
      </c>
      <c r="B92" s="43" t="s">
        <v>684</v>
      </c>
      <c r="C92" s="52" t="s">
        <v>685</v>
      </c>
      <c r="D92" s="94" t="s">
        <v>701</v>
      </c>
      <c r="E92" s="89">
        <v>9</v>
      </c>
      <c r="F92" s="81" t="s">
        <v>699</v>
      </c>
      <c r="G92" t="s">
        <v>650</v>
      </c>
      <c r="H92" s="68">
        <v>1</v>
      </c>
      <c r="I92">
        <v>85000</v>
      </c>
      <c r="J92">
        <v>85000</v>
      </c>
      <c r="O92" s="41">
        <v>6</v>
      </c>
      <c r="P92" s="159">
        <v>2014</v>
      </c>
    </row>
    <row r="93" spans="1:16">
      <c r="A93" s="43">
        <v>9</v>
      </c>
      <c r="B93" s="43" t="s">
        <v>684</v>
      </c>
      <c r="C93" s="52" t="s">
        <v>685</v>
      </c>
      <c r="D93" s="94" t="s">
        <v>701</v>
      </c>
      <c r="E93" s="89">
        <v>9</v>
      </c>
      <c r="K93" s="41">
        <v>85000</v>
      </c>
      <c r="L93" s="41">
        <v>35000</v>
      </c>
      <c r="M93" s="41">
        <v>50000</v>
      </c>
      <c r="N93" s="40" t="s">
        <v>700</v>
      </c>
      <c r="O93" s="41">
        <v>6</v>
      </c>
      <c r="P93" s="159">
        <v>2014</v>
      </c>
    </row>
    <row r="94" spans="1:16">
      <c r="A94" s="145">
        <v>9</v>
      </c>
      <c r="B94" s="145" t="s">
        <v>684</v>
      </c>
      <c r="C94" s="146" t="s">
        <v>685</v>
      </c>
      <c r="D94" s="147" t="s">
        <v>701</v>
      </c>
      <c r="E94" s="148">
        <v>10</v>
      </c>
      <c r="F94" s="141"/>
      <c r="G94" s="149"/>
      <c r="H94" s="142"/>
      <c r="I94" s="149"/>
      <c r="J94" s="149"/>
      <c r="K94" s="150"/>
      <c r="L94" s="150"/>
      <c r="M94" s="150"/>
      <c r="N94" s="151"/>
      <c r="O94" s="41">
        <v>6</v>
      </c>
      <c r="P94" s="159">
        <v>2014</v>
      </c>
    </row>
    <row r="95" spans="1:16">
      <c r="A95" s="43">
        <v>9</v>
      </c>
      <c r="B95" s="43" t="s">
        <v>684</v>
      </c>
      <c r="C95" s="52" t="s">
        <v>685</v>
      </c>
      <c r="D95" s="94" t="s">
        <v>701</v>
      </c>
      <c r="E95" s="89">
        <v>10</v>
      </c>
      <c r="F95" s="81" t="s">
        <v>680</v>
      </c>
      <c r="G95" t="s">
        <v>651</v>
      </c>
      <c r="H95" s="68">
        <v>1</v>
      </c>
      <c r="I95">
        <v>98000</v>
      </c>
      <c r="J95">
        <v>98000</v>
      </c>
      <c r="O95" s="41">
        <v>6</v>
      </c>
      <c r="P95" s="159">
        <v>2014</v>
      </c>
    </row>
    <row r="96" spans="1:16">
      <c r="A96" s="43">
        <v>9</v>
      </c>
      <c r="B96" s="43" t="s">
        <v>684</v>
      </c>
      <c r="C96" s="52" t="s">
        <v>685</v>
      </c>
      <c r="D96" s="94" t="s">
        <v>701</v>
      </c>
      <c r="E96" s="89">
        <v>10</v>
      </c>
      <c r="F96" s="81" t="s">
        <v>697</v>
      </c>
      <c r="G96" t="s">
        <v>698</v>
      </c>
      <c r="H96" s="68">
        <v>1</v>
      </c>
      <c r="I96">
        <v>195000</v>
      </c>
      <c r="J96">
        <v>195000</v>
      </c>
      <c r="O96" s="41">
        <v>6</v>
      </c>
      <c r="P96" s="159">
        <v>2014</v>
      </c>
    </row>
    <row r="97" spans="1:16">
      <c r="A97" s="43">
        <v>9</v>
      </c>
      <c r="B97" s="43" t="s">
        <v>684</v>
      </c>
      <c r="C97" s="52" t="s">
        <v>685</v>
      </c>
      <c r="D97" s="94" t="s">
        <v>701</v>
      </c>
      <c r="E97" s="89">
        <v>10</v>
      </c>
      <c r="K97" s="41">
        <v>293000</v>
      </c>
      <c r="L97" s="41">
        <v>48000</v>
      </c>
      <c r="M97" s="41">
        <v>245000</v>
      </c>
      <c r="N97" s="40" t="s">
        <v>700</v>
      </c>
      <c r="O97" s="41">
        <v>6</v>
      </c>
      <c r="P97" s="159">
        <v>2014</v>
      </c>
    </row>
    <row r="98" spans="1:16">
      <c r="A98" s="145">
        <v>9</v>
      </c>
      <c r="B98" s="145" t="s">
        <v>684</v>
      </c>
      <c r="C98" s="146" t="s">
        <v>685</v>
      </c>
      <c r="D98" s="147" t="s">
        <v>701</v>
      </c>
      <c r="E98" s="148">
        <v>11</v>
      </c>
      <c r="F98" s="141"/>
      <c r="G98" s="149"/>
      <c r="H98" s="142"/>
      <c r="I98" s="149"/>
      <c r="J98" s="149"/>
      <c r="K98" s="150"/>
      <c r="L98" s="150"/>
      <c r="M98" s="150"/>
      <c r="N98" s="151"/>
      <c r="O98" s="41">
        <v>6</v>
      </c>
      <c r="P98" s="159">
        <v>2014</v>
      </c>
    </row>
    <row r="99" spans="1:16">
      <c r="A99" s="43">
        <v>9</v>
      </c>
      <c r="B99" s="43" t="s">
        <v>684</v>
      </c>
      <c r="C99" s="52" t="s">
        <v>685</v>
      </c>
      <c r="D99" s="94" t="s">
        <v>701</v>
      </c>
      <c r="E99" s="89">
        <v>11</v>
      </c>
      <c r="F99" s="81" t="s">
        <v>680</v>
      </c>
      <c r="G99" t="s">
        <v>651</v>
      </c>
      <c r="H99" s="68">
        <v>2</v>
      </c>
      <c r="I99">
        <v>98000</v>
      </c>
      <c r="J99">
        <v>196000</v>
      </c>
      <c r="O99" s="41">
        <v>6</v>
      </c>
      <c r="P99" s="159">
        <v>2014</v>
      </c>
    </row>
    <row r="100" spans="1:16">
      <c r="A100" s="43">
        <v>9</v>
      </c>
      <c r="B100" s="43" t="s">
        <v>684</v>
      </c>
      <c r="C100" s="52" t="s">
        <v>685</v>
      </c>
      <c r="D100" s="94" t="s">
        <v>701</v>
      </c>
      <c r="E100" s="89">
        <v>11</v>
      </c>
      <c r="K100" s="41">
        <v>196000</v>
      </c>
      <c r="L100" s="41">
        <v>96000</v>
      </c>
      <c r="M100" s="41">
        <v>100000</v>
      </c>
      <c r="N100" s="40" t="s">
        <v>700</v>
      </c>
      <c r="O100" s="41">
        <v>6</v>
      </c>
      <c r="P100" s="159">
        <v>2014</v>
      </c>
    </row>
    <row r="101" spans="1:16">
      <c r="A101" s="145">
        <v>9</v>
      </c>
      <c r="B101" s="145" t="s">
        <v>684</v>
      </c>
      <c r="C101" s="146" t="s">
        <v>685</v>
      </c>
      <c r="D101" s="147" t="s">
        <v>701</v>
      </c>
      <c r="E101" s="148">
        <v>12</v>
      </c>
      <c r="F101" s="141"/>
      <c r="G101" s="149"/>
      <c r="H101" s="142"/>
      <c r="I101" s="149"/>
      <c r="J101" s="149"/>
      <c r="K101" s="150"/>
      <c r="L101" s="150"/>
      <c r="M101" s="150"/>
      <c r="N101" s="151"/>
      <c r="O101" s="41">
        <v>6</v>
      </c>
      <c r="P101" s="159">
        <v>2014</v>
      </c>
    </row>
    <row r="102" spans="1:16">
      <c r="A102" s="43">
        <v>9</v>
      </c>
      <c r="B102" s="43" t="s">
        <v>684</v>
      </c>
      <c r="C102" s="52" t="s">
        <v>685</v>
      </c>
      <c r="D102" s="94" t="s">
        <v>701</v>
      </c>
      <c r="E102" s="89">
        <v>12</v>
      </c>
      <c r="F102" s="81" t="s">
        <v>680</v>
      </c>
      <c r="G102" t="s">
        <v>651</v>
      </c>
      <c r="H102" s="68">
        <v>1</v>
      </c>
      <c r="I102">
        <v>98000</v>
      </c>
      <c r="J102">
        <v>98000</v>
      </c>
      <c r="O102" s="41">
        <v>6</v>
      </c>
      <c r="P102" s="159">
        <v>2014</v>
      </c>
    </row>
    <row r="103" spans="1:16">
      <c r="A103" s="43">
        <v>9</v>
      </c>
      <c r="B103" s="43" t="s">
        <v>684</v>
      </c>
      <c r="C103" s="52" t="s">
        <v>685</v>
      </c>
      <c r="D103" s="94" t="s">
        <v>701</v>
      </c>
      <c r="E103" s="89">
        <v>12</v>
      </c>
      <c r="F103" s="81" t="s">
        <v>694</v>
      </c>
      <c r="G103" t="s">
        <v>652</v>
      </c>
      <c r="H103" s="68">
        <v>1</v>
      </c>
      <c r="I103">
        <v>98000</v>
      </c>
      <c r="J103">
        <v>98000</v>
      </c>
      <c r="O103" s="41">
        <v>6</v>
      </c>
      <c r="P103" s="159">
        <v>2014</v>
      </c>
    </row>
    <row r="104" spans="1:16">
      <c r="A104" s="43">
        <v>9</v>
      </c>
      <c r="B104" s="43" t="s">
        <v>684</v>
      </c>
      <c r="C104" s="52" t="s">
        <v>685</v>
      </c>
      <c r="D104" s="94" t="s">
        <v>701</v>
      </c>
      <c r="E104" s="89">
        <v>12</v>
      </c>
      <c r="K104" s="41">
        <v>196000</v>
      </c>
      <c r="L104" s="41">
        <v>96000</v>
      </c>
      <c r="M104" s="41">
        <v>100000</v>
      </c>
      <c r="N104" s="40" t="s">
        <v>700</v>
      </c>
      <c r="O104" s="41">
        <v>6</v>
      </c>
      <c r="P104" s="159">
        <v>2014</v>
      </c>
    </row>
    <row r="105" spans="1:16">
      <c r="A105" s="145">
        <v>8</v>
      </c>
      <c r="B105" s="145" t="s">
        <v>684</v>
      </c>
      <c r="C105" s="146" t="s">
        <v>683</v>
      </c>
      <c r="D105" s="147" t="s">
        <v>701</v>
      </c>
      <c r="E105" s="148">
        <v>1</v>
      </c>
      <c r="F105" s="141"/>
      <c r="G105" s="149"/>
      <c r="H105" s="142"/>
      <c r="I105" s="149"/>
      <c r="J105" s="149"/>
      <c r="K105" s="150"/>
      <c r="L105" s="150"/>
      <c r="M105" s="150"/>
      <c r="N105" s="151"/>
      <c r="O105" s="41">
        <v>6</v>
      </c>
      <c r="P105" s="159">
        <v>2014</v>
      </c>
    </row>
    <row r="106" spans="1:16">
      <c r="A106" s="43">
        <v>8</v>
      </c>
      <c r="B106" s="43" t="s">
        <v>684</v>
      </c>
      <c r="C106" s="52" t="s">
        <v>683</v>
      </c>
      <c r="D106" s="94" t="s">
        <v>701</v>
      </c>
      <c r="E106" s="89">
        <v>1</v>
      </c>
      <c r="F106" s="81" t="s">
        <v>678</v>
      </c>
      <c r="G106" t="s">
        <v>698</v>
      </c>
      <c r="H106" s="68">
        <v>1</v>
      </c>
      <c r="I106">
        <v>195000</v>
      </c>
      <c r="J106">
        <v>195000</v>
      </c>
      <c r="O106" s="41">
        <v>6</v>
      </c>
      <c r="P106" s="159">
        <v>2014</v>
      </c>
    </row>
    <row r="107" spans="1:16">
      <c r="A107" s="43">
        <v>8</v>
      </c>
      <c r="B107" s="43" t="s">
        <v>684</v>
      </c>
      <c r="C107" s="52" t="s">
        <v>683</v>
      </c>
      <c r="D107" s="94" t="s">
        <v>701</v>
      </c>
      <c r="E107" s="89">
        <v>1</v>
      </c>
      <c r="K107" s="41">
        <v>195000</v>
      </c>
      <c r="M107" s="41">
        <v>195000</v>
      </c>
      <c r="O107" s="41">
        <v>6</v>
      </c>
      <c r="P107" s="159">
        <v>2014</v>
      </c>
    </row>
    <row r="108" spans="1:16">
      <c r="A108" s="145">
        <v>10</v>
      </c>
      <c r="B108" s="145" t="s">
        <v>681</v>
      </c>
      <c r="C108" s="146" t="s">
        <v>687</v>
      </c>
      <c r="D108" s="147" t="s">
        <v>701</v>
      </c>
      <c r="E108" s="148">
        <v>1</v>
      </c>
      <c r="F108" s="141"/>
      <c r="G108" s="149"/>
      <c r="H108" s="142"/>
      <c r="I108" s="149"/>
      <c r="J108" s="149"/>
      <c r="K108" s="150"/>
      <c r="L108" s="150"/>
      <c r="M108" s="150"/>
      <c r="N108" s="151"/>
      <c r="O108" s="41">
        <v>6</v>
      </c>
      <c r="P108" s="159">
        <v>2014</v>
      </c>
    </row>
    <row r="109" spans="1:16">
      <c r="A109" s="43">
        <v>10</v>
      </c>
      <c r="B109" s="43" t="s">
        <v>681</v>
      </c>
      <c r="C109" s="52" t="s">
        <v>687</v>
      </c>
      <c r="D109" s="94" t="s">
        <v>701</v>
      </c>
      <c r="E109" s="89">
        <v>1</v>
      </c>
      <c r="F109" s="81" t="s">
        <v>686</v>
      </c>
      <c r="G109" t="s">
        <v>682</v>
      </c>
      <c r="H109" s="68">
        <v>3</v>
      </c>
      <c r="I109">
        <v>115000</v>
      </c>
      <c r="J109">
        <v>345000</v>
      </c>
      <c r="O109" s="41">
        <v>6</v>
      </c>
      <c r="P109" s="159">
        <v>2014</v>
      </c>
    </row>
    <row r="110" spans="1:16">
      <c r="A110" s="43">
        <v>10</v>
      </c>
      <c r="B110" s="43" t="s">
        <v>681</v>
      </c>
      <c r="C110" s="52" t="s">
        <v>687</v>
      </c>
      <c r="D110" s="94" t="s">
        <v>701</v>
      </c>
      <c r="E110" s="89">
        <v>1</v>
      </c>
      <c r="K110" s="41">
        <v>345000</v>
      </c>
      <c r="L110" s="41">
        <v>195000</v>
      </c>
      <c r="M110" s="41">
        <v>150000</v>
      </c>
      <c r="N110" s="40" t="s">
        <v>700</v>
      </c>
      <c r="O110" s="41">
        <v>6</v>
      </c>
      <c r="P110" s="159">
        <v>2014</v>
      </c>
    </row>
    <row r="111" spans="1:16">
      <c r="A111" s="145">
        <v>10</v>
      </c>
      <c r="B111" s="145" t="s">
        <v>681</v>
      </c>
      <c r="C111" s="146" t="s">
        <v>687</v>
      </c>
      <c r="D111" s="147" t="s">
        <v>701</v>
      </c>
      <c r="E111" s="148">
        <v>2</v>
      </c>
      <c r="F111" s="141"/>
      <c r="G111" s="149"/>
      <c r="H111" s="142"/>
      <c r="I111" s="149"/>
      <c r="J111" s="149"/>
      <c r="K111" s="150"/>
      <c r="L111" s="150"/>
      <c r="M111" s="150"/>
      <c r="N111" s="151"/>
      <c r="O111" s="41">
        <v>6</v>
      </c>
      <c r="P111" s="159">
        <v>2014</v>
      </c>
    </row>
    <row r="112" spans="1:16">
      <c r="A112" s="43">
        <v>10</v>
      </c>
      <c r="B112" s="43" t="s">
        <v>681</v>
      </c>
      <c r="C112" s="52" t="s">
        <v>687</v>
      </c>
      <c r="D112" s="94" t="s">
        <v>701</v>
      </c>
      <c r="E112" s="89">
        <v>2</v>
      </c>
      <c r="F112" s="81" t="s">
        <v>680</v>
      </c>
      <c r="G112" t="s">
        <v>651</v>
      </c>
      <c r="H112" s="68">
        <v>1</v>
      </c>
      <c r="I112">
        <v>98000</v>
      </c>
      <c r="J112">
        <v>98000</v>
      </c>
      <c r="O112" s="41">
        <v>6</v>
      </c>
      <c r="P112" s="159">
        <v>2014</v>
      </c>
    </row>
    <row r="113" spans="1:16">
      <c r="A113" s="43">
        <v>10</v>
      </c>
      <c r="B113" s="43" t="s">
        <v>681</v>
      </c>
      <c r="C113" s="52" t="s">
        <v>687</v>
      </c>
      <c r="D113" s="94" t="s">
        <v>701</v>
      </c>
      <c r="E113" s="89">
        <v>2</v>
      </c>
      <c r="F113" s="81" t="s">
        <v>686</v>
      </c>
      <c r="G113" t="s">
        <v>682</v>
      </c>
      <c r="H113" s="68">
        <v>1</v>
      </c>
      <c r="I113">
        <v>115000</v>
      </c>
      <c r="J113">
        <v>115000</v>
      </c>
      <c r="O113" s="41">
        <v>6</v>
      </c>
      <c r="P113" s="159">
        <v>2014</v>
      </c>
    </row>
    <row r="114" spans="1:16">
      <c r="A114" s="43">
        <v>10</v>
      </c>
      <c r="B114" s="43" t="s">
        <v>681</v>
      </c>
      <c r="C114" s="52" t="s">
        <v>687</v>
      </c>
      <c r="D114" s="94" t="s">
        <v>701</v>
      </c>
      <c r="E114" s="89">
        <v>2</v>
      </c>
      <c r="F114" s="81" t="s">
        <v>699</v>
      </c>
      <c r="G114" t="s">
        <v>650</v>
      </c>
      <c r="H114" s="68">
        <v>1</v>
      </c>
      <c r="I114">
        <v>85000</v>
      </c>
      <c r="J114">
        <v>85000</v>
      </c>
      <c r="O114" s="41">
        <v>6</v>
      </c>
      <c r="P114" s="159">
        <v>2014</v>
      </c>
    </row>
    <row r="115" spans="1:16">
      <c r="A115" s="43">
        <v>10</v>
      </c>
      <c r="B115" s="43" t="s">
        <v>681</v>
      </c>
      <c r="C115" s="52" t="s">
        <v>687</v>
      </c>
      <c r="D115" s="94" t="s">
        <v>701</v>
      </c>
      <c r="E115" s="89">
        <v>2</v>
      </c>
      <c r="F115" s="81" t="s">
        <v>686</v>
      </c>
      <c r="G115" t="s">
        <v>682</v>
      </c>
      <c r="H115" s="68">
        <v>3</v>
      </c>
      <c r="I115">
        <v>115000</v>
      </c>
      <c r="J115">
        <v>345000</v>
      </c>
      <c r="O115" s="41">
        <v>6</v>
      </c>
      <c r="P115" s="159">
        <v>2014</v>
      </c>
    </row>
    <row r="116" spans="1:16">
      <c r="A116" s="43">
        <v>10</v>
      </c>
      <c r="B116" s="43" t="s">
        <v>681</v>
      </c>
      <c r="C116" s="52" t="s">
        <v>687</v>
      </c>
      <c r="D116" s="94" t="s">
        <v>701</v>
      </c>
      <c r="E116" s="89">
        <v>2</v>
      </c>
      <c r="K116" s="41">
        <v>643000</v>
      </c>
      <c r="L116" s="41">
        <v>343000</v>
      </c>
      <c r="M116" s="41">
        <v>300000</v>
      </c>
      <c r="N116" s="40" t="s">
        <v>700</v>
      </c>
      <c r="O116" s="41">
        <v>6</v>
      </c>
      <c r="P116" s="159">
        <v>2014</v>
      </c>
    </row>
    <row r="117" spans="1:16">
      <c r="A117" s="145">
        <v>10</v>
      </c>
      <c r="B117" s="145" t="s">
        <v>681</v>
      </c>
      <c r="C117" s="146" t="s">
        <v>687</v>
      </c>
      <c r="D117" s="147" t="s">
        <v>701</v>
      </c>
      <c r="E117" s="148">
        <v>3</v>
      </c>
      <c r="F117" s="141"/>
      <c r="G117" s="149"/>
      <c r="H117" s="142"/>
      <c r="I117" s="149"/>
      <c r="J117" s="149"/>
      <c r="K117" s="150"/>
      <c r="L117" s="150"/>
      <c r="M117" s="150"/>
      <c r="N117" s="151"/>
      <c r="O117" s="41">
        <v>6</v>
      </c>
      <c r="P117" s="159">
        <v>2014</v>
      </c>
    </row>
    <row r="118" spans="1:16">
      <c r="A118" s="43">
        <v>10</v>
      </c>
      <c r="B118" s="43" t="s">
        <v>681</v>
      </c>
      <c r="C118" s="52" t="s">
        <v>687</v>
      </c>
      <c r="D118" s="94" t="s">
        <v>701</v>
      </c>
      <c r="E118" s="89">
        <v>3</v>
      </c>
      <c r="F118" s="81" t="s">
        <v>686</v>
      </c>
      <c r="G118" t="s">
        <v>682</v>
      </c>
      <c r="H118" s="68">
        <v>1</v>
      </c>
      <c r="I118">
        <v>115000</v>
      </c>
      <c r="J118">
        <v>115000</v>
      </c>
      <c r="O118" s="41">
        <v>6</v>
      </c>
      <c r="P118" s="159">
        <v>2014</v>
      </c>
    </row>
    <row r="119" spans="1:16">
      <c r="A119" s="43">
        <v>10</v>
      </c>
      <c r="B119" s="43" t="s">
        <v>681</v>
      </c>
      <c r="C119" s="52" t="s">
        <v>687</v>
      </c>
      <c r="D119" s="94" t="s">
        <v>701</v>
      </c>
      <c r="E119" s="89">
        <v>3</v>
      </c>
      <c r="F119" s="81" t="s">
        <v>680</v>
      </c>
      <c r="G119" t="s">
        <v>651</v>
      </c>
      <c r="H119" s="68">
        <v>2</v>
      </c>
      <c r="I119">
        <v>98000</v>
      </c>
      <c r="J119">
        <v>196000</v>
      </c>
      <c r="O119" s="41">
        <v>6</v>
      </c>
      <c r="P119" s="159">
        <v>2014</v>
      </c>
    </row>
    <row r="120" spans="1:16">
      <c r="A120" s="43">
        <v>10</v>
      </c>
      <c r="B120" s="43" t="s">
        <v>681</v>
      </c>
      <c r="C120" s="52" t="s">
        <v>687</v>
      </c>
      <c r="D120" s="94" t="s">
        <v>701</v>
      </c>
      <c r="E120" s="89">
        <v>3</v>
      </c>
      <c r="K120" s="41">
        <v>311000</v>
      </c>
      <c r="L120" s="41">
        <v>161000</v>
      </c>
      <c r="M120" s="41">
        <v>150000</v>
      </c>
      <c r="N120" s="40" t="s">
        <v>700</v>
      </c>
      <c r="O120" s="41">
        <v>6</v>
      </c>
      <c r="P120" s="159">
        <v>2014</v>
      </c>
    </row>
    <row r="121" spans="1:16">
      <c r="A121" s="145">
        <v>10</v>
      </c>
      <c r="B121" s="145" t="s">
        <v>681</v>
      </c>
      <c r="C121" s="146" t="s">
        <v>687</v>
      </c>
      <c r="D121" s="147" t="s">
        <v>701</v>
      </c>
      <c r="E121" s="148">
        <v>4</v>
      </c>
      <c r="F121" s="141"/>
      <c r="G121" s="149"/>
      <c r="H121" s="142"/>
      <c r="I121" s="149"/>
      <c r="J121" s="149"/>
      <c r="K121" s="150"/>
      <c r="L121" s="150"/>
      <c r="M121" s="150"/>
      <c r="N121" s="151"/>
      <c r="O121" s="41">
        <v>6</v>
      </c>
      <c r="P121" s="159">
        <v>2014</v>
      </c>
    </row>
    <row r="122" spans="1:16">
      <c r="A122" s="43">
        <v>10</v>
      </c>
      <c r="B122" s="43" t="s">
        <v>681</v>
      </c>
      <c r="C122" s="52" t="s">
        <v>687</v>
      </c>
      <c r="D122" s="94" t="s">
        <v>701</v>
      </c>
      <c r="E122" s="89">
        <v>4</v>
      </c>
      <c r="F122" s="81" t="s">
        <v>680</v>
      </c>
      <c r="G122" t="s">
        <v>651</v>
      </c>
      <c r="H122" s="68">
        <v>1</v>
      </c>
      <c r="I122">
        <v>98000</v>
      </c>
      <c r="J122">
        <v>98000</v>
      </c>
      <c r="O122" s="41">
        <v>6</v>
      </c>
      <c r="P122" s="159">
        <v>2014</v>
      </c>
    </row>
    <row r="123" spans="1:16">
      <c r="A123" s="43">
        <v>10</v>
      </c>
      <c r="B123" s="43" t="s">
        <v>681</v>
      </c>
      <c r="C123" s="52" t="s">
        <v>687</v>
      </c>
      <c r="D123" s="94" t="s">
        <v>701</v>
      </c>
      <c r="E123" s="89">
        <v>4</v>
      </c>
      <c r="K123" s="41">
        <v>98000</v>
      </c>
      <c r="L123" s="41">
        <v>48000</v>
      </c>
      <c r="M123" s="41">
        <v>50000</v>
      </c>
      <c r="N123" s="40" t="s">
        <v>700</v>
      </c>
      <c r="O123" s="41">
        <v>6</v>
      </c>
      <c r="P123" s="159">
        <v>2014</v>
      </c>
    </row>
    <row r="124" spans="1:16">
      <c r="A124" s="145">
        <v>1</v>
      </c>
      <c r="B124" s="145" t="s">
        <v>684</v>
      </c>
      <c r="C124" s="146" t="s">
        <v>702</v>
      </c>
      <c r="D124" s="147" t="s">
        <v>701</v>
      </c>
      <c r="E124" s="148">
        <v>1</v>
      </c>
      <c r="F124" s="141"/>
      <c r="G124" s="149"/>
      <c r="H124" s="142"/>
      <c r="I124" s="149"/>
      <c r="J124" s="149"/>
      <c r="K124" s="150"/>
      <c r="L124" s="150"/>
      <c r="M124" s="150"/>
      <c r="N124" s="151"/>
      <c r="O124" s="41">
        <v>6</v>
      </c>
      <c r="P124" s="159">
        <v>2014</v>
      </c>
    </row>
    <row r="125" spans="1:16">
      <c r="A125" s="43">
        <v>1</v>
      </c>
      <c r="B125" s="43" t="s">
        <v>684</v>
      </c>
      <c r="C125" s="52" t="s">
        <v>702</v>
      </c>
      <c r="D125" s="94" t="s">
        <v>701</v>
      </c>
      <c r="E125" s="89">
        <v>1</v>
      </c>
      <c r="F125" s="81" t="s">
        <v>669</v>
      </c>
      <c r="G125" t="s">
        <v>696</v>
      </c>
      <c r="H125" s="68">
        <v>1</v>
      </c>
      <c r="I125">
        <v>115000</v>
      </c>
      <c r="J125">
        <v>115000</v>
      </c>
      <c r="O125" s="41">
        <v>6</v>
      </c>
      <c r="P125" s="159">
        <v>2014</v>
      </c>
    </row>
    <row r="126" spans="1:16">
      <c r="A126" s="43">
        <v>1</v>
      </c>
      <c r="B126" s="43" t="s">
        <v>684</v>
      </c>
      <c r="C126" s="52" t="s">
        <v>702</v>
      </c>
      <c r="D126" s="94" t="s">
        <v>701</v>
      </c>
      <c r="E126" s="89">
        <v>1</v>
      </c>
      <c r="K126" s="41">
        <v>115000</v>
      </c>
      <c r="M126" s="41">
        <v>115000</v>
      </c>
      <c r="O126" s="41">
        <v>6</v>
      </c>
      <c r="P126" s="159">
        <v>2014</v>
      </c>
    </row>
    <row r="127" spans="1:16">
      <c r="A127" s="137">
        <v>6</v>
      </c>
      <c r="B127" s="137" t="s">
        <v>684</v>
      </c>
      <c r="C127" s="138" t="s">
        <v>702</v>
      </c>
      <c r="D127" s="139" t="s">
        <v>701</v>
      </c>
      <c r="E127" s="140">
        <v>1</v>
      </c>
      <c r="F127" s="141"/>
      <c r="G127" s="142"/>
      <c r="H127" s="142"/>
      <c r="I127" s="142"/>
      <c r="J127" s="142"/>
      <c r="K127" s="143"/>
      <c r="L127" s="143"/>
      <c r="M127" s="143"/>
      <c r="N127" s="144"/>
      <c r="O127" s="41">
        <v>6</v>
      </c>
      <c r="P127" s="159">
        <v>2014</v>
      </c>
    </row>
    <row r="128" spans="1:16">
      <c r="A128" s="131">
        <v>6</v>
      </c>
      <c r="B128" s="131" t="s">
        <v>684</v>
      </c>
      <c r="C128" s="132" t="s">
        <v>702</v>
      </c>
      <c r="D128" s="133" t="s">
        <v>701</v>
      </c>
      <c r="E128" s="134">
        <v>1</v>
      </c>
      <c r="F128" s="81" t="s">
        <v>671</v>
      </c>
      <c r="G128" s="68" t="s">
        <v>656</v>
      </c>
      <c r="H128" s="68">
        <v>1</v>
      </c>
      <c r="I128" s="68">
        <v>98000</v>
      </c>
      <c r="J128" s="68">
        <v>98000</v>
      </c>
      <c r="K128" s="152"/>
      <c r="L128" s="152"/>
      <c r="M128" s="152"/>
      <c r="N128" s="136"/>
      <c r="O128" s="41">
        <v>6</v>
      </c>
      <c r="P128" s="159">
        <v>2014</v>
      </c>
    </row>
    <row r="129" spans="1:16">
      <c r="A129" s="131">
        <v>6</v>
      </c>
      <c r="B129" s="131" t="s">
        <v>684</v>
      </c>
      <c r="C129" s="132" t="s">
        <v>702</v>
      </c>
      <c r="D129" s="133" t="s">
        <v>701</v>
      </c>
      <c r="E129" s="134">
        <v>1</v>
      </c>
      <c r="G129" s="68"/>
      <c r="I129" s="68"/>
      <c r="J129" s="68"/>
      <c r="K129" s="152">
        <v>98000</v>
      </c>
      <c r="L129" s="152"/>
      <c r="M129" s="152">
        <v>98000</v>
      </c>
      <c r="N129" s="136"/>
      <c r="O129" s="41">
        <v>6</v>
      </c>
      <c r="P129" s="159">
        <v>2014</v>
      </c>
    </row>
    <row r="130" spans="1:16">
      <c r="A130" s="137">
        <v>6</v>
      </c>
      <c r="B130" s="137" t="s">
        <v>684</v>
      </c>
      <c r="C130" s="138" t="s">
        <v>702</v>
      </c>
      <c r="D130" s="139" t="s">
        <v>701</v>
      </c>
      <c r="E130" s="140">
        <v>2</v>
      </c>
      <c r="F130" s="141"/>
      <c r="G130" s="142"/>
      <c r="H130" s="142"/>
      <c r="I130" s="142"/>
      <c r="J130" s="142"/>
      <c r="K130" s="143"/>
      <c r="L130" s="143"/>
      <c r="M130" s="143"/>
      <c r="N130" s="144"/>
      <c r="O130" s="41">
        <v>6</v>
      </c>
      <c r="P130" s="159">
        <v>2014</v>
      </c>
    </row>
    <row r="131" spans="1:16">
      <c r="A131" s="131">
        <v>6</v>
      </c>
      <c r="B131" s="131" t="s">
        <v>684</v>
      </c>
      <c r="C131" s="132" t="s">
        <v>702</v>
      </c>
      <c r="D131" s="133" t="s">
        <v>701</v>
      </c>
      <c r="E131" s="134">
        <v>2</v>
      </c>
      <c r="F131" s="81" t="s">
        <v>678</v>
      </c>
      <c r="G131" s="68" t="s">
        <v>698</v>
      </c>
      <c r="H131" s="68">
        <v>1</v>
      </c>
      <c r="I131" s="68">
        <v>195000</v>
      </c>
      <c r="J131" s="68">
        <v>195000</v>
      </c>
      <c r="K131" s="152"/>
      <c r="L131" s="152"/>
      <c r="M131" s="152"/>
      <c r="N131" s="136"/>
      <c r="O131" s="41">
        <v>6</v>
      </c>
      <c r="P131" s="159">
        <v>2014</v>
      </c>
    </row>
    <row r="132" spans="1:16">
      <c r="A132" s="131">
        <v>6</v>
      </c>
      <c r="B132" s="131" t="s">
        <v>684</v>
      </c>
      <c r="C132" s="132" t="s">
        <v>702</v>
      </c>
      <c r="D132" s="133" t="s">
        <v>701</v>
      </c>
      <c r="E132" s="134">
        <v>2</v>
      </c>
      <c r="G132" s="68"/>
      <c r="I132" s="68"/>
      <c r="J132" s="68"/>
      <c r="K132" s="152">
        <v>195000</v>
      </c>
      <c r="L132" s="152"/>
      <c r="M132" s="152">
        <v>195000</v>
      </c>
      <c r="N132" s="136"/>
      <c r="O132" s="41">
        <v>6</v>
      </c>
      <c r="P132" s="159">
        <v>2014</v>
      </c>
    </row>
    <row r="133" spans="1:16">
      <c r="A133" s="137">
        <v>6</v>
      </c>
      <c r="B133" s="137" t="s">
        <v>684</v>
      </c>
      <c r="C133" s="138" t="s">
        <v>702</v>
      </c>
      <c r="D133" s="139" t="s">
        <v>701</v>
      </c>
      <c r="E133" s="140">
        <v>3</v>
      </c>
      <c r="F133" s="141"/>
      <c r="G133" s="142"/>
      <c r="H133" s="142"/>
      <c r="I133" s="142"/>
      <c r="J133" s="142"/>
      <c r="K133" s="143"/>
      <c r="L133" s="143"/>
      <c r="M133" s="143"/>
      <c r="N133" s="144"/>
      <c r="O133" s="41">
        <v>6</v>
      </c>
      <c r="P133" s="159">
        <v>2014</v>
      </c>
    </row>
    <row r="134" spans="1:16">
      <c r="A134" s="131">
        <v>6</v>
      </c>
      <c r="B134" s="131" t="s">
        <v>684</v>
      </c>
      <c r="C134" s="132" t="s">
        <v>702</v>
      </c>
      <c r="D134" s="133" t="s">
        <v>701</v>
      </c>
      <c r="E134" s="134">
        <v>3</v>
      </c>
      <c r="F134" s="81" t="s">
        <v>666</v>
      </c>
      <c r="G134" s="68" t="s">
        <v>651</v>
      </c>
      <c r="H134" s="68">
        <v>1</v>
      </c>
      <c r="I134" s="68">
        <v>98000</v>
      </c>
      <c r="J134" s="68">
        <v>98000</v>
      </c>
      <c r="K134" s="152"/>
      <c r="L134" s="152"/>
      <c r="M134" s="152"/>
      <c r="N134" s="136"/>
      <c r="O134" s="41">
        <v>6</v>
      </c>
      <c r="P134" s="159">
        <v>2014</v>
      </c>
    </row>
    <row r="135" spans="1:16">
      <c r="A135" s="131">
        <v>6</v>
      </c>
      <c r="B135" s="131" t="s">
        <v>684</v>
      </c>
      <c r="C135" s="132" t="s">
        <v>702</v>
      </c>
      <c r="D135" s="133" t="s">
        <v>701</v>
      </c>
      <c r="E135" s="134">
        <v>3</v>
      </c>
      <c r="F135" s="81" t="s">
        <v>703</v>
      </c>
      <c r="G135" s="68" t="s">
        <v>704</v>
      </c>
      <c r="H135" s="68">
        <v>1</v>
      </c>
      <c r="I135" s="68">
        <v>50000</v>
      </c>
      <c r="J135" s="68">
        <v>50000</v>
      </c>
      <c r="K135" s="152"/>
      <c r="L135" s="152"/>
      <c r="M135" s="152"/>
      <c r="N135" s="136"/>
      <c r="O135" s="41">
        <v>6</v>
      </c>
      <c r="P135" s="159">
        <v>2014</v>
      </c>
    </row>
    <row r="136" spans="1:16">
      <c r="A136" s="131">
        <v>6</v>
      </c>
      <c r="B136" s="131" t="s">
        <v>684</v>
      </c>
      <c r="C136" s="132" t="s">
        <v>702</v>
      </c>
      <c r="D136" s="133" t="s">
        <v>701</v>
      </c>
      <c r="E136" s="134">
        <v>3</v>
      </c>
      <c r="G136" s="68"/>
      <c r="I136" s="68"/>
      <c r="J136" s="68"/>
      <c r="K136" s="152">
        <v>148000</v>
      </c>
      <c r="L136" s="152"/>
      <c r="M136" s="152">
        <v>148000</v>
      </c>
      <c r="N136" s="136" t="s">
        <v>705</v>
      </c>
      <c r="O136" s="41">
        <v>6</v>
      </c>
      <c r="P136" s="159">
        <v>2014</v>
      </c>
    </row>
    <row r="137" spans="1:16">
      <c r="A137" s="145">
        <v>10</v>
      </c>
      <c r="B137" s="145" t="s">
        <v>684</v>
      </c>
      <c r="C137" s="146" t="s">
        <v>685</v>
      </c>
      <c r="D137" s="147" t="s">
        <v>701</v>
      </c>
      <c r="E137" s="148">
        <v>1</v>
      </c>
      <c r="F137" s="141"/>
      <c r="G137" s="149"/>
      <c r="H137" s="142"/>
      <c r="I137" s="149"/>
      <c r="J137" s="149"/>
      <c r="K137" s="150"/>
      <c r="L137" s="150"/>
      <c r="M137" s="150"/>
      <c r="N137" s="151"/>
      <c r="O137" s="41">
        <v>6</v>
      </c>
      <c r="P137" s="159">
        <v>2014</v>
      </c>
    </row>
    <row r="138" spans="1:16">
      <c r="A138" s="43">
        <v>10</v>
      </c>
      <c r="B138" s="43" t="s">
        <v>684</v>
      </c>
      <c r="C138" s="52" t="s">
        <v>685</v>
      </c>
      <c r="D138" s="94" t="s">
        <v>701</v>
      </c>
      <c r="E138" s="89">
        <v>1</v>
      </c>
      <c r="F138" s="81" t="s">
        <v>686</v>
      </c>
      <c r="G138" t="s">
        <v>682</v>
      </c>
      <c r="H138" s="68">
        <v>1</v>
      </c>
      <c r="I138">
        <v>115000</v>
      </c>
      <c r="J138">
        <v>115000</v>
      </c>
      <c r="O138" s="41">
        <v>6</v>
      </c>
      <c r="P138" s="159">
        <v>2014</v>
      </c>
    </row>
    <row r="139" spans="1:16">
      <c r="A139" s="43">
        <v>10</v>
      </c>
      <c r="B139" s="43" t="s">
        <v>684</v>
      </c>
      <c r="C139" s="52" t="s">
        <v>685</v>
      </c>
      <c r="D139" s="94" t="s">
        <v>701</v>
      </c>
      <c r="E139" s="89">
        <v>1</v>
      </c>
      <c r="K139" s="41">
        <v>115000</v>
      </c>
      <c r="L139" s="41">
        <v>65000</v>
      </c>
      <c r="M139" s="41">
        <v>50000</v>
      </c>
      <c r="N139" s="40" t="s">
        <v>700</v>
      </c>
      <c r="O139" s="41">
        <v>6</v>
      </c>
      <c r="P139" s="159">
        <v>2014</v>
      </c>
    </row>
    <row r="140" spans="1:16">
      <c r="A140" s="145">
        <v>10</v>
      </c>
      <c r="B140" s="145" t="s">
        <v>684</v>
      </c>
      <c r="C140" s="146" t="s">
        <v>685</v>
      </c>
      <c r="D140" s="147" t="s">
        <v>701</v>
      </c>
      <c r="E140" s="148">
        <v>2</v>
      </c>
      <c r="F140" s="141"/>
      <c r="G140" s="149"/>
      <c r="H140" s="142"/>
      <c r="I140" s="149"/>
      <c r="J140" s="149"/>
      <c r="K140" s="150"/>
      <c r="L140" s="150"/>
      <c r="M140" s="150"/>
      <c r="N140" s="151"/>
      <c r="O140" s="41">
        <v>6</v>
      </c>
      <c r="P140" s="159">
        <v>2014</v>
      </c>
    </row>
    <row r="141" spans="1:16">
      <c r="A141" s="43">
        <v>10</v>
      </c>
      <c r="B141" s="43" t="s">
        <v>684</v>
      </c>
      <c r="C141" s="52" t="s">
        <v>685</v>
      </c>
      <c r="D141" s="94" t="s">
        <v>701</v>
      </c>
      <c r="E141" s="89">
        <v>2</v>
      </c>
      <c r="F141" s="81" t="s">
        <v>686</v>
      </c>
      <c r="G141" t="s">
        <v>682</v>
      </c>
      <c r="H141" s="68">
        <v>1</v>
      </c>
      <c r="I141">
        <v>115000</v>
      </c>
      <c r="J141">
        <v>115000</v>
      </c>
      <c r="O141" s="41">
        <v>6</v>
      </c>
      <c r="P141" s="159">
        <v>2014</v>
      </c>
    </row>
    <row r="142" spans="1:16">
      <c r="A142" s="43">
        <v>10</v>
      </c>
      <c r="B142" s="43" t="s">
        <v>684</v>
      </c>
      <c r="C142" s="52" t="s">
        <v>685</v>
      </c>
      <c r="D142" s="94" t="s">
        <v>701</v>
      </c>
      <c r="E142" s="89">
        <v>2</v>
      </c>
      <c r="K142" s="41">
        <v>115000</v>
      </c>
      <c r="L142" s="41">
        <v>65000</v>
      </c>
      <c r="M142" s="41">
        <v>50000</v>
      </c>
      <c r="N142" s="40" t="s">
        <v>700</v>
      </c>
      <c r="O142" s="41">
        <v>6</v>
      </c>
      <c r="P142" s="159">
        <v>2014</v>
      </c>
    </row>
    <row r="143" spans="1:16">
      <c r="A143" s="145">
        <v>10</v>
      </c>
      <c r="B143" s="145" t="s">
        <v>684</v>
      </c>
      <c r="C143" s="146" t="s">
        <v>685</v>
      </c>
      <c r="D143" s="147" t="s">
        <v>701</v>
      </c>
      <c r="E143" s="148">
        <v>3</v>
      </c>
      <c r="F143" s="141"/>
      <c r="G143" s="149"/>
      <c r="H143" s="142"/>
      <c r="I143" s="149"/>
      <c r="J143" s="149"/>
      <c r="K143" s="150"/>
      <c r="L143" s="150"/>
      <c r="M143" s="150"/>
      <c r="N143" s="151"/>
      <c r="O143" s="41">
        <v>6</v>
      </c>
      <c r="P143" s="159">
        <v>2014</v>
      </c>
    </row>
    <row r="144" spans="1:16">
      <c r="A144" s="43">
        <v>10</v>
      </c>
      <c r="B144" s="43" t="s">
        <v>684</v>
      </c>
      <c r="C144" s="52" t="s">
        <v>685</v>
      </c>
      <c r="D144" s="94" t="s">
        <v>701</v>
      </c>
      <c r="E144" s="89">
        <v>3</v>
      </c>
      <c r="F144" s="81" t="s">
        <v>680</v>
      </c>
      <c r="G144" t="s">
        <v>651</v>
      </c>
      <c r="H144" s="68">
        <v>1</v>
      </c>
      <c r="I144">
        <v>98000</v>
      </c>
      <c r="J144">
        <v>98000</v>
      </c>
      <c r="O144" s="41">
        <v>6</v>
      </c>
      <c r="P144" s="159">
        <v>2014</v>
      </c>
    </row>
    <row r="145" spans="1:16">
      <c r="A145" s="43">
        <v>10</v>
      </c>
      <c r="B145" s="43" t="s">
        <v>684</v>
      </c>
      <c r="C145" s="52" t="s">
        <v>685</v>
      </c>
      <c r="D145" s="94" t="s">
        <v>701</v>
      </c>
      <c r="E145" s="89">
        <v>3</v>
      </c>
      <c r="F145" s="81" t="s">
        <v>699</v>
      </c>
      <c r="G145" t="s">
        <v>650</v>
      </c>
      <c r="H145" s="68">
        <v>1</v>
      </c>
      <c r="I145">
        <v>85000</v>
      </c>
      <c r="J145">
        <v>85000</v>
      </c>
      <c r="O145" s="41">
        <v>6</v>
      </c>
      <c r="P145" s="159">
        <v>2014</v>
      </c>
    </row>
    <row r="146" spans="1:16">
      <c r="A146" s="43">
        <v>10</v>
      </c>
      <c r="B146" s="43" t="s">
        <v>684</v>
      </c>
      <c r="C146" s="52" t="s">
        <v>685</v>
      </c>
      <c r="D146" s="94" t="s">
        <v>701</v>
      </c>
      <c r="E146" s="89">
        <v>3</v>
      </c>
      <c r="F146" s="81" t="s">
        <v>686</v>
      </c>
      <c r="G146" t="s">
        <v>682</v>
      </c>
      <c r="H146" s="68">
        <v>1</v>
      </c>
      <c r="I146">
        <v>115000</v>
      </c>
      <c r="J146">
        <v>115000</v>
      </c>
      <c r="O146" s="41">
        <v>6</v>
      </c>
      <c r="P146" s="159">
        <v>2014</v>
      </c>
    </row>
    <row r="147" spans="1:16">
      <c r="A147" s="43">
        <v>10</v>
      </c>
      <c r="B147" s="43" t="s">
        <v>684</v>
      </c>
      <c r="C147" s="52" t="s">
        <v>685</v>
      </c>
      <c r="D147" s="94" t="s">
        <v>701</v>
      </c>
      <c r="E147" s="89">
        <v>3</v>
      </c>
      <c r="K147" s="41">
        <v>298000</v>
      </c>
      <c r="L147" s="41">
        <v>148000</v>
      </c>
      <c r="M147" s="41">
        <v>150000</v>
      </c>
      <c r="N147" s="40" t="s">
        <v>700</v>
      </c>
      <c r="O147" s="41">
        <v>6</v>
      </c>
      <c r="P147" s="159">
        <v>2014</v>
      </c>
    </row>
    <row r="148" spans="1:16">
      <c r="A148" s="145">
        <v>10</v>
      </c>
      <c r="B148" s="145" t="s">
        <v>684</v>
      </c>
      <c r="C148" s="146" t="s">
        <v>685</v>
      </c>
      <c r="D148" s="147" t="s">
        <v>701</v>
      </c>
      <c r="E148" s="148">
        <v>4</v>
      </c>
      <c r="F148" s="141"/>
      <c r="G148" s="149"/>
      <c r="H148" s="142"/>
      <c r="I148" s="149"/>
      <c r="J148" s="149"/>
      <c r="K148" s="150"/>
      <c r="L148" s="150"/>
      <c r="M148" s="150"/>
      <c r="N148" s="151"/>
      <c r="O148" s="41">
        <v>6</v>
      </c>
      <c r="P148" s="159">
        <v>2014</v>
      </c>
    </row>
    <row r="149" spans="1:16">
      <c r="A149" s="43">
        <v>10</v>
      </c>
      <c r="B149" s="43" t="s">
        <v>684</v>
      </c>
      <c r="C149" s="52" t="s">
        <v>685</v>
      </c>
      <c r="D149" s="94" t="s">
        <v>701</v>
      </c>
      <c r="E149" s="89">
        <v>4</v>
      </c>
      <c r="F149" s="81" t="s">
        <v>680</v>
      </c>
      <c r="G149" t="s">
        <v>651</v>
      </c>
      <c r="H149" s="68">
        <v>1</v>
      </c>
      <c r="I149">
        <v>98000</v>
      </c>
      <c r="J149">
        <v>98000</v>
      </c>
      <c r="O149" s="41">
        <v>6</v>
      </c>
      <c r="P149" s="159">
        <v>2014</v>
      </c>
    </row>
    <row r="150" spans="1:16">
      <c r="A150" s="43">
        <v>10</v>
      </c>
      <c r="B150" s="43" t="s">
        <v>684</v>
      </c>
      <c r="C150" s="52" t="s">
        <v>685</v>
      </c>
      <c r="D150" s="94" t="s">
        <v>701</v>
      </c>
      <c r="E150" s="89">
        <v>4</v>
      </c>
      <c r="K150" s="41">
        <v>98000</v>
      </c>
      <c r="L150" s="41">
        <v>48000</v>
      </c>
      <c r="M150" s="41">
        <v>50000</v>
      </c>
      <c r="N150" s="40" t="s">
        <v>700</v>
      </c>
      <c r="O150" s="41">
        <v>6</v>
      </c>
      <c r="P150" s="159">
        <v>2014</v>
      </c>
    </row>
    <row r="151" spans="1:16">
      <c r="A151" s="145">
        <v>10</v>
      </c>
      <c r="B151" s="145" t="s">
        <v>684</v>
      </c>
      <c r="C151" s="146" t="s">
        <v>685</v>
      </c>
      <c r="D151" s="147" t="s">
        <v>701</v>
      </c>
      <c r="E151" s="148">
        <v>5</v>
      </c>
      <c r="F151" s="141"/>
      <c r="G151" s="149"/>
      <c r="H151" s="142"/>
      <c r="I151" s="149"/>
      <c r="J151" s="149"/>
      <c r="K151" s="150"/>
      <c r="L151" s="150"/>
      <c r="M151" s="150"/>
      <c r="N151" s="151"/>
      <c r="O151" s="41">
        <v>6</v>
      </c>
      <c r="P151" s="159">
        <v>2014</v>
      </c>
    </row>
    <row r="152" spans="1:16">
      <c r="A152" s="43">
        <v>10</v>
      </c>
      <c r="B152" s="43" t="s">
        <v>684</v>
      </c>
      <c r="C152" s="52" t="s">
        <v>685</v>
      </c>
      <c r="D152" s="94" t="s">
        <v>701</v>
      </c>
      <c r="E152" s="89">
        <v>5</v>
      </c>
      <c r="F152" s="81" t="s">
        <v>680</v>
      </c>
      <c r="G152" t="s">
        <v>651</v>
      </c>
      <c r="H152" s="68">
        <v>1</v>
      </c>
      <c r="I152">
        <v>98000</v>
      </c>
      <c r="J152">
        <v>98000</v>
      </c>
      <c r="O152" s="41">
        <v>6</v>
      </c>
      <c r="P152" s="159">
        <v>2014</v>
      </c>
    </row>
    <row r="153" spans="1:16">
      <c r="A153" s="43">
        <v>10</v>
      </c>
      <c r="B153" s="43" t="s">
        <v>684</v>
      </c>
      <c r="C153" s="52" t="s">
        <v>685</v>
      </c>
      <c r="D153" s="94" t="s">
        <v>701</v>
      </c>
      <c r="E153" s="89">
        <v>5</v>
      </c>
      <c r="F153" s="81" t="s">
        <v>686</v>
      </c>
      <c r="G153" t="s">
        <v>682</v>
      </c>
      <c r="H153" s="68">
        <v>1</v>
      </c>
      <c r="I153">
        <v>115000</v>
      </c>
      <c r="J153">
        <v>115000</v>
      </c>
      <c r="O153" s="41">
        <v>6</v>
      </c>
      <c r="P153" s="159">
        <v>2014</v>
      </c>
    </row>
    <row r="154" spans="1:16">
      <c r="A154" s="43">
        <v>10</v>
      </c>
      <c r="B154" s="43" t="s">
        <v>684</v>
      </c>
      <c r="C154" s="52" t="s">
        <v>685</v>
      </c>
      <c r="D154" s="94" t="s">
        <v>701</v>
      </c>
      <c r="E154" s="89">
        <v>5</v>
      </c>
      <c r="K154" s="41">
        <v>213000</v>
      </c>
      <c r="L154" s="41">
        <v>113000</v>
      </c>
      <c r="M154" s="41">
        <v>100000</v>
      </c>
      <c r="N154" s="40" t="s">
        <v>700</v>
      </c>
      <c r="O154" s="41">
        <v>6</v>
      </c>
      <c r="P154" s="159">
        <v>2014</v>
      </c>
    </row>
    <row r="155" spans="1:16">
      <c r="A155" s="145">
        <v>10</v>
      </c>
      <c r="B155" s="145" t="s">
        <v>684</v>
      </c>
      <c r="C155" s="146" t="s">
        <v>685</v>
      </c>
      <c r="D155" s="147" t="s">
        <v>701</v>
      </c>
      <c r="E155" s="148">
        <v>6</v>
      </c>
      <c r="F155" s="141"/>
      <c r="G155" s="149"/>
      <c r="H155" s="142"/>
      <c r="I155" s="149"/>
      <c r="J155" s="149"/>
      <c r="K155" s="150"/>
      <c r="L155" s="150"/>
      <c r="M155" s="150"/>
      <c r="N155" s="151"/>
      <c r="O155" s="41">
        <v>6</v>
      </c>
      <c r="P155" s="159">
        <v>2014</v>
      </c>
    </row>
    <row r="156" spans="1:16">
      <c r="A156" s="43">
        <v>10</v>
      </c>
      <c r="B156" s="43" t="s">
        <v>684</v>
      </c>
      <c r="C156" s="52" t="s">
        <v>685</v>
      </c>
      <c r="D156" s="94" t="s">
        <v>701</v>
      </c>
      <c r="E156" s="89">
        <v>6</v>
      </c>
      <c r="F156" s="81" t="s">
        <v>686</v>
      </c>
      <c r="G156" t="s">
        <v>682</v>
      </c>
      <c r="H156" s="68">
        <v>1</v>
      </c>
      <c r="I156">
        <v>115000</v>
      </c>
      <c r="J156">
        <v>115000</v>
      </c>
      <c r="O156" s="41">
        <v>6</v>
      </c>
      <c r="P156" s="159">
        <v>2014</v>
      </c>
    </row>
    <row r="157" spans="1:16">
      <c r="A157" s="43">
        <v>10</v>
      </c>
      <c r="B157" s="43" t="s">
        <v>684</v>
      </c>
      <c r="C157" s="52" t="s">
        <v>685</v>
      </c>
      <c r="D157" s="94" t="s">
        <v>701</v>
      </c>
      <c r="E157" s="89">
        <v>6</v>
      </c>
      <c r="F157" s="81" t="s">
        <v>680</v>
      </c>
      <c r="G157" t="s">
        <v>651</v>
      </c>
      <c r="H157" s="68">
        <v>1</v>
      </c>
      <c r="I157">
        <v>98000</v>
      </c>
      <c r="J157">
        <v>98000</v>
      </c>
      <c r="O157" s="41">
        <v>6</v>
      </c>
      <c r="P157" s="159">
        <v>2014</v>
      </c>
    </row>
    <row r="158" spans="1:16">
      <c r="A158" s="43">
        <v>10</v>
      </c>
      <c r="B158" s="43" t="s">
        <v>684</v>
      </c>
      <c r="C158" s="52" t="s">
        <v>685</v>
      </c>
      <c r="D158" s="94" t="s">
        <v>701</v>
      </c>
      <c r="E158" s="89">
        <v>6</v>
      </c>
      <c r="K158" s="41">
        <v>213000</v>
      </c>
      <c r="L158" s="41">
        <v>113000</v>
      </c>
      <c r="M158" s="41">
        <v>100000</v>
      </c>
      <c r="N158" s="40" t="s">
        <v>700</v>
      </c>
      <c r="O158" s="41">
        <v>6</v>
      </c>
      <c r="P158" s="159">
        <v>2014</v>
      </c>
    </row>
    <row r="159" spans="1:16">
      <c r="A159" s="145">
        <v>10</v>
      </c>
      <c r="B159" s="145" t="s">
        <v>684</v>
      </c>
      <c r="C159" s="146" t="s">
        <v>685</v>
      </c>
      <c r="D159" s="147" t="s">
        <v>701</v>
      </c>
      <c r="E159" s="148">
        <v>7</v>
      </c>
      <c r="F159" s="141"/>
      <c r="G159" s="149"/>
      <c r="H159" s="142"/>
      <c r="I159" s="149"/>
      <c r="J159" s="149"/>
      <c r="K159" s="150"/>
      <c r="L159" s="150"/>
      <c r="M159" s="150"/>
      <c r="N159" s="151"/>
      <c r="O159" s="41">
        <v>6</v>
      </c>
      <c r="P159" s="159">
        <v>2014</v>
      </c>
    </row>
    <row r="160" spans="1:16">
      <c r="A160" s="43">
        <v>10</v>
      </c>
      <c r="B160" s="43" t="s">
        <v>684</v>
      </c>
      <c r="C160" s="52" t="s">
        <v>685</v>
      </c>
      <c r="D160" s="94" t="s">
        <v>701</v>
      </c>
      <c r="E160" s="89">
        <v>7</v>
      </c>
      <c r="F160" s="81" t="s">
        <v>680</v>
      </c>
      <c r="G160" t="s">
        <v>651</v>
      </c>
      <c r="H160" s="68">
        <v>1</v>
      </c>
      <c r="I160">
        <v>98000</v>
      </c>
      <c r="J160">
        <v>98000</v>
      </c>
      <c r="O160" s="41">
        <v>6</v>
      </c>
      <c r="P160" s="159">
        <v>2014</v>
      </c>
    </row>
    <row r="161" spans="1:16">
      <c r="A161" s="43">
        <v>10</v>
      </c>
      <c r="B161" s="43" t="s">
        <v>684</v>
      </c>
      <c r="C161" s="52" t="s">
        <v>685</v>
      </c>
      <c r="D161" s="94" t="s">
        <v>701</v>
      </c>
      <c r="E161" s="89">
        <v>7</v>
      </c>
      <c r="K161" s="41">
        <v>98000</v>
      </c>
      <c r="L161" s="41">
        <v>48000</v>
      </c>
      <c r="M161" s="41">
        <v>50000</v>
      </c>
      <c r="N161" s="40" t="s">
        <v>700</v>
      </c>
      <c r="O161" s="41">
        <v>6</v>
      </c>
      <c r="P161" s="159">
        <v>2014</v>
      </c>
    </row>
    <row r="162" spans="1:16">
      <c r="A162" s="145">
        <v>10</v>
      </c>
      <c r="B162" s="145" t="s">
        <v>684</v>
      </c>
      <c r="C162" s="146" t="s">
        <v>685</v>
      </c>
      <c r="D162" s="147" t="s">
        <v>701</v>
      </c>
      <c r="E162" s="148">
        <v>8</v>
      </c>
      <c r="F162" s="141"/>
      <c r="G162" s="149"/>
      <c r="H162" s="142"/>
      <c r="I162" s="149"/>
      <c r="J162" s="149"/>
      <c r="K162" s="150"/>
      <c r="L162" s="150"/>
      <c r="M162" s="150"/>
      <c r="N162" s="151"/>
      <c r="O162" s="41">
        <v>6</v>
      </c>
      <c r="P162" s="159">
        <v>2014</v>
      </c>
    </row>
    <row r="163" spans="1:16">
      <c r="A163" s="43">
        <v>10</v>
      </c>
      <c r="B163" s="43" t="s">
        <v>684</v>
      </c>
      <c r="C163" s="52" t="s">
        <v>685</v>
      </c>
      <c r="D163" s="94" t="s">
        <v>701</v>
      </c>
      <c r="E163" s="89">
        <v>8</v>
      </c>
      <c r="F163" s="81" t="s">
        <v>686</v>
      </c>
      <c r="G163" t="s">
        <v>682</v>
      </c>
      <c r="H163" s="68">
        <v>1</v>
      </c>
      <c r="I163">
        <v>115000</v>
      </c>
      <c r="J163">
        <v>115000</v>
      </c>
      <c r="O163" s="41">
        <v>6</v>
      </c>
      <c r="P163" s="159">
        <v>2014</v>
      </c>
    </row>
    <row r="164" spans="1:16">
      <c r="A164" s="43">
        <v>10</v>
      </c>
      <c r="B164" s="43" t="s">
        <v>684</v>
      </c>
      <c r="C164" s="52" t="s">
        <v>685</v>
      </c>
      <c r="D164" s="94" t="s">
        <v>701</v>
      </c>
      <c r="E164" s="89">
        <v>8</v>
      </c>
      <c r="F164" s="81" t="s">
        <v>680</v>
      </c>
      <c r="G164" t="s">
        <v>651</v>
      </c>
      <c r="H164" s="68">
        <v>1</v>
      </c>
      <c r="I164">
        <v>98000</v>
      </c>
      <c r="J164">
        <v>98000</v>
      </c>
      <c r="O164" s="41">
        <v>6</v>
      </c>
      <c r="P164" s="159">
        <v>2014</v>
      </c>
    </row>
    <row r="165" spans="1:16">
      <c r="A165" s="43">
        <v>10</v>
      </c>
      <c r="B165" s="43" t="s">
        <v>684</v>
      </c>
      <c r="C165" s="52" t="s">
        <v>685</v>
      </c>
      <c r="D165" s="94" t="s">
        <v>701</v>
      </c>
      <c r="E165" s="89">
        <v>8</v>
      </c>
      <c r="K165" s="41">
        <v>213000</v>
      </c>
      <c r="L165" s="41">
        <v>113000</v>
      </c>
      <c r="M165" s="41">
        <v>100000</v>
      </c>
      <c r="N165" s="40" t="s">
        <v>700</v>
      </c>
      <c r="O165" s="41">
        <v>6</v>
      </c>
      <c r="P165" s="159">
        <v>2014</v>
      </c>
    </row>
    <row r="166" spans="1:16">
      <c r="A166" s="145">
        <v>10</v>
      </c>
      <c r="B166" s="145" t="s">
        <v>684</v>
      </c>
      <c r="C166" s="146" t="s">
        <v>685</v>
      </c>
      <c r="D166" s="147" t="s">
        <v>701</v>
      </c>
      <c r="E166" s="148">
        <v>9</v>
      </c>
      <c r="F166" s="141"/>
      <c r="G166" s="149"/>
      <c r="H166" s="142"/>
      <c r="I166" s="149"/>
      <c r="J166" s="149"/>
      <c r="K166" s="150"/>
      <c r="L166" s="150"/>
      <c r="M166" s="150"/>
      <c r="N166" s="151"/>
      <c r="O166" s="41">
        <v>6</v>
      </c>
      <c r="P166" s="159">
        <v>2014</v>
      </c>
    </row>
    <row r="167" spans="1:16">
      <c r="A167" s="43">
        <v>10</v>
      </c>
      <c r="B167" s="43" t="s">
        <v>684</v>
      </c>
      <c r="C167" s="52" t="s">
        <v>685</v>
      </c>
      <c r="D167" s="94" t="s">
        <v>701</v>
      </c>
      <c r="E167" s="89">
        <v>9</v>
      </c>
      <c r="F167" s="81" t="s">
        <v>697</v>
      </c>
      <c r="G167" t="s">
        <v>698</v>
      </c>
      <c r="H167" s="68">
        <v>1</v>
      </c>
      <c r="I167">
        <v>225000</v>
      </c>
      <c r="J167">
        <v>225000</v>
      </c>
      <c r="O167" s="41">
        <v>6</v>
      </c>
      <c r="P167" s="159">
        <v>2014</v>
      </c>
    </row>
    <row r="168" spans="1:16">
      <c r="A168" s="43">
        <v>10</v>
      </c>
      <c r="B168" s="43" t="s">
        <v>684</v>
      </c>
      <c r="C168" s="52" t="s">
        <v>685</v>
      </c>
      <c r="D168" s="94" t="s">
        <v>701</v>
      </c>
      <c r="E168" s="89">
        <v>9</v>
      </c>
      <c r="K168" s="41">
        <v>225000</v>
      </c>
      <c r="M168" s="41">
        <v>225000</v>
      </c>
      <c r="O168" s="41">
        <v>6</v>
      </c>
      <c r="P168" s="159">
        <v>2014</v>
      </c>
    </row>
    <row r="169" spans="1:16">
      <c r="A169" s="145">
        <v>10</v>
      </c>
      <c r="B169" s="145" t="s">
        <v>684</v>
      </c>
      <c r="C169" s="146" t="s">
        <v>685</v>
      </c>
      <c r="D169" s="147" t="s">
        <v>701</v>
      </c>
      <c r="E169" s="148">
        <v>10</v>
      </c>
      <c r="F169" s="141"/>
      <c r="G169" s="149"/>
      <c r="H169" s="142"/>
      <c r="I169" s="149"/>
      <c r="J169" s="149"/>
      <c r="K169" s="150"/>
      <c r="L169" s="150"/>
      <c r="M169" s="150"/>
      <c r="N169" s="151"/>
      <c r="O169" s="41">
        <v>6</v>
      </c>
      <c r="P169" s="159">
        <v>2014</v>
      </c>
    </row>
    <row r="170" spans="1:16">
      <c r="A170" s="43">
        <v>10</v>
      </c>
      <c r="B170" s="43" t="s">
        <v>684</v>
      </c>
      <c r="C170" s="52" t="s">
        <v>685</v>
      </c>
      <c r="D170" s="94" t="s">
        <v>701</v>
      </c>
      <c r="E170" s="89">
        <v>10</v>
      </c>
      <c r="F170" s="81" t="s">
        <v>680</v>
      </c>
      <c r="G170" t="s">
        <v>651</v>
      </c>
      <c r="H170" s="68">
        <v>1</v>
      </c>
      <c r="I170">
        <v>98000</v>
      </c>
      <c r="J170">
        <v>98000</v>
      </c>
      <c r="O170" s="41">
        <v>6</v>
      </c>
      <c r="P170" s="159">
        <v>2014</v>
      </c>
    </row>
    <row r="171" spans="1:16">
      <c r="A171" s="43">
        <v>10</v>
      </c>
      <c r="B171" s="43" t="s">
        <v>684</v>
      </c>
      <c r="C171" s="52" t="s">
        <v>685</v>
      </c>
      <c r="D171" s="94" t="s">
        <v>701</v>
      </c>
      <c r="E171" s="89">
        <v>10</v>
      </c>
      <c r="K171" s="41">
        <v>98000</v>
      </c>
      <c r="L171" s="41">
        <v>48000</v>
      </c>
      <c r="M171" s="41">
        <v>50000</v>
      </c>
      <c r="N171" s="40" t="s">
        <v>700</v>
      </c>
      <c r="O171" s="41">
        <v>6</v>
      </c>
      <c r="P171" s="159">
        <v>2014</v>
      </c>
    </row>
    <row r="172" spans="1:16">
      <c r="A172" s="145">
        <v>10</v>
      </c>
      <c r="B172" s="145" t="s">
        <v>684</v>
      </c>
      <c r="C172" s="146" t="s">
        <v>685</v>
      </c>
      <c r="D172" s="147" t="s">
        <v>701</v>
      </c>
      <c r="E172" s="148">
        <v>11</v>
      </c>
      <c r="F172" s="141"/>
      <c r="G172" s="149"/>
      <c r="H172" s="142"/>
      <c r="I172" s="149"/>
      <c r="J172" s="149"/>
      <c r="K172" s="150"/>
      <c r="L172" s="150"/>
      <c r="M172" s="150"/>
      <c r="N172" s="151"/>
      <c r="O172" s="41">
        <v>6</v>
      </c>
      <c r="P172" s="159">
        <v>2014</v>
      </c>
    </row>
    <row r="173" spans="1:16">
      <c r="A173" s="43">
        <v>10</v>
      </c>
      <c r="B173" s="43" t="s">
        <v>684</v>
      </c>
      <c r="C173" s="52" t="s">
        <v>685</v>
      </c>
      <c r="D173" s="94" t="s">
        <v>701</v>
      </c>
      <c r="E173" s="89">
        <v>11</v>
      </c>
      <c r="F173" s="81" t="s">
        <v>694</v>
      </c>
      <c r="G173" t="s">
        <v>652</v>
      </c>
      <c r="H173" s="68">
        <v>1</v>
      </c>
      <c r="I173">
        <v>98000</v>
      </c>
      <c r="J173">
        <v>98000</v>
      </c>
      <c r="O173" s="41">
        <v>6</v>
      </c>
      <c r="P173" s="159">
        <v>2014</v>
      </c>
    </row>
    <row r="174" spans="1:16">
      <c r="A174" s="43">
        <v>10</v>
      </c>
      <c r="B174" s="43" t="s">
        <v>684</v>
      </c>
      <c r="C174" s="52" t="s">
        <v>685</v>
      </c>
      <c r="D174" s="94" t="s">
        <v>701</v>
      </c>
      <c r="E174" s="89">
        <v>11</v>
      </c>
      <c r="K174" s="41">
        <v>98000</v>
      </c>
      <c r="L174" s="41">
        <v>48000</v>
      </c>
      <c r="M174" s="41">
        <v>50000</v>
      </c>
      <c r="N174" s="40" t="s">
        <v>700</v>
      </c>
      <c r="O174" s="41">
        <v>6</v>
      </c>
      <c r="P174" s="159">
        <v>2014</v>
      </c>
    </row>
    <row r="175" spans="1:16">
      <c r="A175" s="145">
        <v>10</v>
      </c>
      <c r="B175" s="145" t="s">
        <v>684</v>
      </c>
      <c r="C175" s="146" t="s">
        <v>685</v>
      </c>
      <c r="D175" s="147" t="s">
        <v>701</v>
      </c>
      <c r="E175" s="148">
        <v>12</v>
      </c>
      <c r="F175" s="141"/>
      <c r="G175" s="149"/>
      <c r="H175" s="142"/>
      <c r="I175" s="149"/>
      <c r="J175" s="149"/>
      <c r="K175" s="150"/>
      <c r="L175" s="150"/>
      <c r="M175" s="150"/>
      <c r="N175" s="151"/>
      <c r="O175" s="41">
        <v>6</v>
      </c>
      <c r="P175" s="159">
        <v>2014</v>
      </c>
    </row>
    <row r="176" spans="1:16">
      <c r="A176" s="43">
        <v>10</v>
      </c>
      <c r="B176" s="43" t="s">
        <v>684</v>
      </c>
      <c r="C176" s="52" t="s">
        <v>685</v>
      </c>
      <c r="D176" s="94" t="s">
        <v>701</v>
      </c>
      <c r="E176" s="89">
        <v>12</v>
      </c>
      <c r="F176" s="81" t="s">
        <v>689</v>
      </c>
      <c r="G176" t="s">
        <v>690</v>
      </c>
      <c r="H176" s="68">
        <v>1</v>
      </c>
      <c r="I176">
        <v>85000</v>
      </c>
      <c r="J176">
        <v>85000</v>
      </c>
      <c r="O176" s="41">
        <v>6</v>
      </c>
      <c r="P176" s="159">
        <v>2014</v>
      </c>
    </row>
    <row r="177" spans="1:16">
      <c r="A177" s="43">
        <v>10</v>
      </c>
      <c r="B177" s="43" t="s">
        <v>684</v>
      </c>
      <c r="C177" s="52" t="s">
        <v>685</v>
      </c>
      <c r="D177" s="94" t="s">
        <v>701</v>
      </c>
      <c r="E177" s="89">
        <v>12</v>
      </c>
      <c r="K177" s="41">
        <v>85000</v>
      </c>
      <c r="M177" s="41">
        <v>85000</v>
      </c>
      <c r="O177" s="41">
        <v>6</v>
      </c>
      <c r="P177" s="159">
        <v>2014</v>
      </c>
    </row>
    <row r="178" spans="1:16">
      <c r="A178" s="145">
        <v>10</v>
      </c>
      <c r="B178" s="145" t="s">
        <v>684</v>
      </c>
      <c r="C178" s="146" t="s">
        <v>685</v>
      </c>
      <c r="D178" s="147" t="s">
        <v>701</v>
      </c>
      <c r="E178" s="148">
        <v>13</v>
      </c>
      <c r="F178" s="141"/>
      <c r="G178" s="149"/>
      <c r="H178" s="142"/>
      <c r="I178" s="149"/>
      <c r="J178" s="149"/>
      <c r="K178" s="150"/>
      <c r="L178" s="150"/>
      <c r="M178" s="150"/>
      <c r="N178" s="151"/>
      <c r="O178" s="41">
        <v>6</v>
      </c>
      <c r="P178" s="159">
        <v>2014</v>
      </c>
    </row>
    <row r="179" spans="1:16">
      <c r="A179" s="43">
        <v>10</v>
      </c>
      <c r="B179" s="43" t="s">
        <v>684</v>
      </c>
      <c r="C179" s="52" t="s">
        <v>685</v>
      </c>
      <c r="D179" s="94" t="s">
        <v>701</v>
      </c>
      <c r="E179" s="89">
        <v>13</v>
      </c>
      <c r="F179" s="81" t="s">
        <v>699</v>
      </c>
      <c r="G179" t="s">
        <v>650</v>
      </c>
      <c r="H179" s="68">
        <v>1</v>
      </c>
      <c r="I179">
        <v>85000</v>
      </c>
      <c r="J179">
        <v>85000</v>
      </c>
      <c r="O179" s="41">
        <v>6</v>
      </c>
      <c r="P179" s="159">
        <v>2014</v>
      </c>
    </row>
    <row r="180" spans="1:16">
      <c r="A180" s="43">
        <v>10</v>
      </c>
      <c r="B180" s="43" t="s">
        <v>684</v>
      </c>
      <c r="C180" s="52" t="s">
        <v>685</v>
      </c>
      <c r="D180" s="94" t="s">
        <v>701</v>
      </c>
      <c r="E180" s="89">
        <v>13</v>
      </c>
      <c r="F180" s="81" t="s">
        <v>680</v>
      </c>
      <c r="G180" t="s">
        <v>651</v>
      </c>
      <c r="H180" s="68">
        <v>1</v>
      </c>
      <c r="I180">
        <v>98000</v>
      </c>
      <c r="J180">
        <v>98000</v>
      </c>
      <c r="O180" s="41">
        <v>6</v>
      </c>
      <c r="P180" s="159">
        <v>2014</v>
      </c>
    </row>
    <row r="181" spans="1:16">
      <c r="A181" s="43">
        <v>10</v>
      </c>
      <c r="B181" s="43" t="s">
        <v>684</v>
      </c>
      <c r="C181" s="52" t="s">
        <v>685</v>
      </c>
      <c r="D181" s="94" t="s">
        <v>701</v>
      </c>
      <c r="E181" s="89">
        <v>13</v>
      </c>
      <c r="K181" s="41">
        <v>183000</v>
      </c>
      <c r="L181" s="41">
        <v>83000</v>
      </c>
      <c r="M181" s="41">
        <v>100000</v>
      </c>
      <c r="N181" s="40" t="s">
        <v>700</v>
      </c>
      <c r="O181" s="41">
        <v>6</v>
      </c>
      <c r="P181" s="159">
        <v>2014</v>
      </c>
    </row>
    <row r="182" spans="1:16">
      <c r="A182" s="145">
        <v>10</v>
      </c>
      <c r="B182" s="145" t="s">
        <v>684</v>
      </c>
      <c r="C182" s="146" t="s">
        <v>685</v>
      </c>
      <c r="D182" s="147" t="s">
        <v>701</v>
      </c>
      <c r="E182" s="148">
        <v>14</v>
      </c>
      <c r="F182" s="141"/>
      <c r="G182" s="149"/>
      <c r="H182" s="142"/>
      <c r="I182" s="149"/>
      <c r="J182" s="149"/>
      <c r="K182" s="150"/>
      <c r="L182" s="150"/>
      <c r="M182" s="150"/>
      <c r="N182" s="151"/>
      <c r="O182" s="41">
        <v>6</v>
      </c>
      <c r="P182" s="159">
        <v>2014</v>
      </c>
    </row>
    <row r="183" spans="1:16">
      <c r="A183" s="43">
        <v>10</v>
      </c>
      <c r="B183" s="43" t="s">
        <v>684</v>
      </c>
      <c r="C183" s="52" t="s">
        <v>685</v>
      </c>
      <c r="D183" s="94" t="s">
        <v>701</v>
      </c>
      <c r="E183" s="89">
        <v>14</v>
      </c>
      <c r="F183" s="81" t="s">
        <v>699</v>
      </c>
      <c r="G183" t="s">
        <v>650</v>
      </c>
      <c r="H183" s="68">
        <v>1</v>
      </c>
      <c r="I183">
        <v>50000</v>
      </c>
      <c r="J183">
        <v>50000</v>
      </c>
      <c r="O183" s="41">
        <v>6</v>
      </c>
      <c r="P183" s="159">
        <v>2014</v>
      </c>
    </row>
    <row r="184" spans="1:16">
      <c r="A184" s="43">
        <v>10</v>
      </c>
      <c r="B184" s="43" t="s">
        <v>684</v>
      </c>
      <c r="C184" s="52" t="s">
        <v>685</v>
      </c>
      <c r="D184" s="94" t="s">
        <v>701</v>
      </c>
      <c r="E184" s="89">
        <v>14</v>
      </c>
      <c r="K184" s="41">
        <v>50000</v>
      </c>
      <c r="M184" s="41">
        <v>50000</v>
      </c>
      <c r="O184" s="41">
        <v>6</v>
      </c>
      <c r="P184" s="159">
        <v>2014</v>
      </c>
    </row>
    <row r="185" spans="1:16">
      <c r="A185" s="145">
        <v>10</v>
      </c>
      <c r="B185" s="145" t="s">
        <v>684</v>
      </c>
      <c r="C185" s="146" t="s">
        <v>685</v>
      </c>
      <c r="D185" s="147" t="s">
        <v>701</v>
      </c>
      <c r="E185" s="148">
        <v>15</v>
      </c>
      <c r="F185" s="141"/>
      <c r="G185" s="149"/>
      <c r="H185" s="142"/>
      <c r="I185" s="149"/>
      <c r="J185" s="149"/>
      <c r="K185" s="150"/>
      <c r="L185" s="150"/>
      <c r="M185" s="150"/>
      <c r="N185" s="151"/>
      <c r="O185" s="41">
        <v>6</v>
      </c>
      <c r="P185" s="159">
        <v>2014</v>
      </c>
    </row>
    <row r="186" spans="1:16">
      <c r="A186" s="43">
        <v>10</v>
      </c>
      <c r="B186" s="43" t="s">
        <v>684</v>
      </c>
      <c r="C186" s="52" t="s">
        <v>685</v>
      </c>
      <c r="D186" s="94" t="s">
        <v>701</v>
      </c>
      <c r="E186" s="89">
        <v>15</v>
      </c>
      <c r="F186" s="81" t="s">
        <v>680</v>
      </c>
      <c r="G186" t="s">
        <v>651</v>
      </c>
      <c r="H186" s="68">
        <v>1</v>
      </c>
      <c r="I186">
        <v>98000</v>
      </c>
      <c r="J186">
        <v>98000</v>
      </c>
      <c r="O186" s="41">
        <v>6</v>
      </c>
      <c r="P186" s="159">
        <v>2014</v>
      </c>
    </row>
    <row r="187" spans="1:16">
      <c r="A187" s="43">
        <v>10</v>
      </c>
      <c r="B187" s="43" t="s">
        <v>684</v>
      </c>
      <c r="C187" s="52" t="s">
        <v>685</v>
      </c>
      <c r="D187" s="94" t="s">
        <v>701</v>
      </c>
      <c r="E187" s="89">
        <v>15</v>
      </c>
      <c r="F187" s="81" t="s">
        <v>694</v>
      </c>
      <c r="G187" t="s">
        <v>652</v>
      </c>
      <c r="H187" s="68">
        <v>1</v>
      </c>
      <c r="I187">
        <v>98000</v>
      </c>
      <c r="J187">
        <v>98000</v>
      </c>
      <c r="O187" s="41">
        <v>6</v>
      </c>
      <c r="P187" s="159">
        <v>2014</v>
      </c>
    </row>
    <row r="188" spans="1:16">
      <c r="A188" s="43">
        <v>10</v>
      </c>
      <c r="B188" s="43" t="s">
        <v>684</v>
      </c>
      <c r="C188" s="52" t="s">
        <v>685</v>
      </c>
      <c r="D188" s="94" t="s">
        <v>701</v>
      </c>
      <c r="E188" s="89">
        <v>15</v>
      </c>
      <c r="K188" s="41">
        <v>196000</v>
      </c>
      <c r="L188" s="41">
        <v>96000</v>
      </c>
      <c r="M188" s="41">
        <v>100000</v>
      </c>
      <c r="N188" s="40" t="s">
        <v>700</v>
      </c>
      <c r="O188" s="41">
        <v>6</v>
      </c>
      <c r="P188" s="159">
        <v>2014</v>
      </c>
    </row>
    <row r="189" spans="1:16">
      <c r="A189" s="145">
        <v>10</v>
      </c>
      <c r="B189" s="145" t="s">
        <v>684</v>
      </c>
      <c r="C189" s="146" t="s">
        <v>685</v>
      </c>
      <c r="D189" s="147" t="s">
        <v>701</v>
      </c>
      <c r="E189" s="148">
        <v>16</v>
      </c>
      <c r="F189" s="141"/>
      <c r="G189" s="149"/>
      <c r="H189" s="142"/>
      <c r="I189" s="149"/>
      <c r="J189" s="149"/>
      <c r="K189" s="150"/>
      <c r="L189" s="150"/>
      <c r="M189" s="150"/>
      <c r="N189" s="151"/>
      <c r="O189" s="41">
        <v>6</v>
      </c>
      <c r="P189" s="159">
        <v>2014</v>
      </c>
    </row>
    <row r="190" spans="1:16">
      <c r="A190" s="43">
        <v>10</v>
      </c>
      <c r="B190" s="43" t="s">
        <v>684</v>
      </c>
      <c r="C190" s="52" t="s">
        <v>685</v>
      </c>
      <c r="D190" s="94" t="s">
        <v>701</v>
      </c>
      <c r="E190" s="89">
        <v>16</v>
      </c>
      <c r="F190" s="81" t="s">
        <v>695</v>
      </c>
      <c r="G190" t="s">
        <v>696</v>
      </c>
      <c r="H190" s="68">
        <v>2</v>
      </c>
      <c r="I190">
        <v>115000</v>
      </c>
      <c r="J190">
        <v>230000</v>
      </c>
      <c r="O190" s="41">
        <v>6</v>
      </c>
      <c r="P190" s="159">
        <v>2014</v>
      </c>
    </row>
    <row r="191" spans="1:16">
      <c r="A191" s="43">
        <v>10</v>
      </c>
      <c r="B191" s="43" t="s">
        <v>684</v>
      </c>
      <c r="C191" s="52" t="s">
        <v>685</v>
      </c>
      <c r="D191" s="94" t="s">
        <v>701</v>
      </c>
      <c r="E191" s="89">
        <v>16</v>
      </c>
      <c r="K191" s="41">
        <v>230000</v>
      </c>
      <c r="M191" s="41">
        <v>230000</v>
      </c>
      <c r="O191" s="41">
        <v>6</v>
      </c>
      <c r="P191" s="159">
        <v>2014</v>
      </c>
    </row>
    <row r="192" spans="1:16">
      <c r="A192" s="145">
        <v>10</v>
      </c>
      <c r="B192" s="145" t="s">
        <v>684</v>
      </c>
      <c r="C192" s="146" t="s">
        <v>685</v>
      </c>
      <c r="D192" s="147" t="s">
        <v>701</v>
      </c>
      <c r="E192" s="148">
        <v>17</v>
      </c>
      <c r="F192" s="141"/>
      <c r="G192" s="149"/>
      <c r="H192" s="142"/>
      <c r="I192" s="149"/>
      <c r="J192" s="149"/>
      <c r="K192" s="150"/>
      <c r="L192" s="150"/>
      <c r="M192" s="150"/>
      <c r="N192" s="151"/>
      <c r="O192" s="41">
        <v>6</v>
      </c>
      <c r="P192" s="159">
        <v>2014</v>
      </c>
    </row>
    <row r="193" spans="1:16">
      <c r="A193" s="43">
        <v>10</v>
      </c>
      <c r="B193" s="43" t="s">
        <v>684</v>
      </c>
      <c r="C193" s="52" t="s">
        <v>685</v>
      </c>
      <c r="D193" s="94" t="s">
        <v>701</v>
      </c>
      <c r="E193" s="89">
        <v>17</v>
      </c>
      <c r="F193" s="81" t="s">
        <v>680</v>
      </c>
      <c r="G193" t="s">
        <v>651</v>
      </c>
      <c r="H193" s="68">
        <v>1</v>
      </c>
      <c r="I193">
        <v>98000</v>
      </c>
      <c r="J193">
        <v>98000</v>
      </c>
      <c r="O193" s="41">
        <v>6</v>
      </c>
      <c r="P193" s="159">
        <v>2014</v>
      </c>
    </row>
    <row r="194" spans="1:16">
      <c r="A194" s="43">
        <v>10</v>
      </c>
      <c r="B194" s="43" t="s">
        <v>684</v>
      </c>
      <c r="C194" s="52" t="s">
        <v>685</v>
      </c>
      <c r="D194" s="94" t="s">
        <v>701</v>
      </c>
      <c r="E194" s="89">
        <v>17</v>
      </c>
      <c r="F194" s="81" t="s">
        <v>686</v>
      </c>
      <c r="G194" t="s">
        <v>682</v>
      </c>
      <c r="H194" s="68">
        <v>1</v>
      </c>
      <c r="I194">
        <v>115000</v>
      </c>
      <c r="J194">
        <v>115000</v>
      </c>
      <c r="O194" s="41">
        <v>6</v>
      </c>
      <c r="P194" s="159">
        <v>2014</v>
      </c>
    </row>
    <row r="195" spans="1:16">
      <c r="A195" s="43">
        <v>10</v>
      </c>
      <c r="B195" s="43" t="s">
        <v>684</v>
      </c>
      <c r="C195" s="52" t="s">
        <v>685</v>
      </c>
      <c r="D195" s="94" t="s">
        <v>701</v>
      </c>
      <c r="E195" s="89">
        <v>17</v>
      </c>
      <c r="K195" s="41">
        <v>213000</v>
      </c>
      <c r="L195" s="41">
        <v>113000</v>
      </c>
      <c r="M195" s="41">
        <v>100000</v>
      </c>
      <c r="N195" s="40" t="s">
        <v>700</v>
      </c>
      <c r="O195" s="41">
        <v>6</v>
      </c>
      <c r="P195" s="159">
        <v>2014</v>
      </c>
    </row>
    <row r="196" spans="1:16">
      <c r="A196" s="145">
        <v>10</v>
      </c>
      <c r="B196" s="145" t="s">
        <v>684</v>
      </c>
      <c r="C196" s="146" t="s">
        <v>685</v>
      </c>
      <c r="D196" s="147" t="s">
        <v>701</v>
      </c>
      <c r="E196" s="148">
        <v>18</v>
      </c>
      <c r="F196" s="141"/>
      <c r="G196" s="149"/>
      <c r="H196" s="142"/>
      <c r="I196" s="149"/>
      <c r="J196" s="149"/>
      <c r="K196" s="150"/>
      <c r="L196" s="150"/>
      <c r="M196" s="150"/>
      <c r="N196" s="151"/>
      <c r="O196" s="41">
        <v>6</v>
      </c>
      <c r="P196" s="159">
        <v>2014</v>
      </c>
    </row>
    <row r="197" spans="1:16">
      <c r="A197" s="43">
        <v>10</v>
      </c>
      <c r="B197" s="43" t="s">
        <v>684</v>
      </c>
      <c r="C197" s="52" t="s">
        <v>685</v>
      </c>
      <c r="D197" s="94" t="s">
        <v>701</v>
      </c>
      <c r="E197" s="89">
        <v>18</v>
      </c>
      <c r="F197" s="81" t="s">
        <v>680</v>
      </c>
      <c r="G197" t="s">
        <v>651</v>
      </c>
      <c r="H197" s="68">
        <v>2</v>
      </c>
      <c r="I197">
        <v>98000</v>
      </c>
      <c r="J197">
        <v>196000</v>
      </c>
      <c r="O197" s="41">
        <v>6</v>
      </c>
      <c r="P197" s="159">
        <v>2014</v>
      </c>
    </row>
    <row r="198" spans="1:16">
      <c r="A198" s="43">
        <v>10</v>
      </c>
      <c r="B198" s="43" t="s">
        <v>684</v>
      </c>
      <c r="C198" s="52" t="s">
        <v>685</v>
      </c>
      <c r="D198" s="94" t="s">
        <v>701</v>
      </c>
      <c r="E198" s="89">
        <v>18</v>
      </c>
      <c r="K198" s="41">
        <v>196000</v>
      </c>
      <c r="L198" s="41">
        <v>96000</v>
      </c>
      <c r="M198" s="41">
        <v>100000</v>
      </c>
      <c r="N198" s="40" t="s">
        <v>700</v>
      </c>
      <c r="O198" s="41">
        <v>6</v>
      </c>
      <c r="P198" s="159">
        <v>2014</v>
      </c>
    </row>
    <row r="199" spans="1:16">
      <c r="A199" s="145">
        <v>11</v>
      </c>
      <c r="B199" s="145" t="s">
        <v>684</v>
      </c>
      <c r="C199" s="146" t="s">
        <v>685</v>
      </c>
      <c r="D199" s="147" t="s">
        <v>701</v>
      </c>
      <c r="E199" s="148">
        <v>1</v>
      </c>
      <c r="F199" s="141"/>
      <c r="G199" s="149"/>
      <c r="H199" s="142"/>
      <c r="I199" s="149"/>
      <c r="J199" s="149"/>
      <c r="K199" s="150"/>
      <c r="L199" s="150"/>
      <c r="M199" s="150"/>
      <c r="N199" s="151"/>
      <c r="O199" s="41">
        <v>6</v>
      </c>
      <c r="P199" s="159">
        <v>2014</v>
      </c>
    </row>
    <row r="200" spans="1:16">
      <c r="A200" s="43">
        <v>11</v>
      </c>
      <c r="B200" s="43" t="s">
        <v>684</v>
      </c>
      <c r="C200" s="52" t="s">
        <v>685</v>
      </c>
      <c r="D200" s="94" t="s">
        <v>701</v>
      </c>
      <c r="E200" s="89">
        <v>1</v>
      </c>
      <c r="F200" s="81" t="s">
        <v>699</v>
      </c>
      <c r="G200" t="s">
        <v>650</v>
      </c>
      <c r="H200" s="68">
        <v>1</v>
      </c>
      <c r="I200">
        <v>85000</v>
      </c>
      <c r="J200">
        <v>85000</v>
      </c>
      <c r="O200" s="41">
        <v>6</v>
      </c>
      <c r="P200" s="159">
        <v>2014</v>
      </c>
    </row>
    <row r="201" spans="1:16">
      <c r="A201" s="43">
        <v>11</v>
      </c>
      <c r="B201" s="43" t="s">
        <v>684</v>
      </c>
      <c r="C201" s="52" t="s">
        <v>685</v>
      </c>
      <c r="D201" s="94" t="s">
        <v>701</v>
      </c>
      <c r="E201" s="89">
        <v>1</v>
      </c>
      <c r="F201" s="81" t="s">
        <v>680</v>
      </c>
      <c r="G201" t="s">
        <v>651</v>
      </c>
      <c r="H201" s="68">
        <v>1</v>
      </c>
      <c r="I201">
        <v>98000</v>
      </c>
      <c r="J201">
        <v>98000</v>
      </c>
      <c r="O201" s="41">
        <v>6</v>
      </c>
      <c r="P201" s="159">
        <v>2014</v>
      </c>
    </row>
    <row r="202" spans="1:16">
      <c r="A202" s="43">
        <v>11</v>
      </c>
      <c r="B202" s="43" t="s">
        <v>684</v>
      </c>
      <c r="C202" s="52" t="s">
        <v>685</v>
      </c>
      <c r="D202" s="94" t="s">
        <v>701</v>
      </c>
      <c r="E202" s="89">
        <v>1</v>
      </c>
      <c r="K202" s="41">
        <v>183000</v>
      </c>
      <c r="L202" s="41">
        <v>83000</v>
      </c>
      <c r="M202" s="41">
        <v>100000</v>
      </c>
      <c r="N202" s="40" t="s">
        <v>700</v>
      </c>
      <c r="O202" s="41">
        <v>6</v>
      </c>
      <c r="P202" s="159">
        <v>2014</v>
      </c>
    </row>
    <row r="203" spans="1:16">
      <c r="A203" s="145">
        <v>11</v>
      </c>
      <c r="B203" s="145" t="s">
        <v>684</v>
      </c>
      <c r="C203" s="146" t="s">
        <v>685</v>
      </c>
      <c r="D203" s="147" t="s">
        <v>701</v>
      </c>
      <c r="E203" s="148">
        <v>2</v>
      </c>
      <c r="F203" s="141"/>
      <c r="G203" s="149"/>
      <c r="H203" s="142"/>
      <c r="I203" s="149"/>
      <c r="J203" s="149"/>
      <c r="K203" s="150"/>
      <c r="L203" s="150"/>
      <c r="M203" s="150"/>
      <c r="N203" s="151"/>
      <c r="O203" s="41">
        <v>6</v>
      </c>
      <c r="P203" s="159">
        <v>2014</v>
      </c>
    </row>
    <row r="204" spans="1:16">
      <c r="A204" s="43">
        <v>11</v>
      </c>
      <c r="B204" s="43" t="s">
        <v>684</v>
      </c>
      <c r="C204" s="52" t="s">
        <v>685</v>
      </c>
      <c r="D204" s="94" t="s">
        <v>701</v>
      </c>
      <c r="E204" s="89">
        <v>2</v>
      </c>
      <c r="F204" s="81" t="s">
        <v>680</v>
      </c>
      <c r="G204" t="s">
        <v>651</v>
      </c>
      <c r="H204" s="68">
        <v>1</v>
      </c>
      <c r="I204">
        <v>98000</v>
      </c>
      <c r="J204">
        <v>98000</v>
      </c>
      <c r="O204" s="41">
        <v>6</v>
      </c>
      <c r="P204" s="159">
        <v>2014</v>
      </c>
    </row>
    <row r="205" spans="1:16">
      <c r="A205" s="43">
        <v>11</v>
      </c>
      <c r="B205" s="43" t="s">
        <v>684</v>
      </c>
      <c r="C205" s="52" t="s">
        <v>685</v>
      </c>
      <c r="D205" s="94" t="s">
        <v>701</v>
      </c>
      <c r="E205" s="89">
        <v>2</v>
      </c>
      <c r="F205" s="81" t="s">
        <v>686</v>
      </c>
      <c r="G205" t="s">
        <v>682</v>
      </c>
      <c r="H205" s="68">
        <v>1</v>
      </c>
      <c r="I205">
        <v>115000</v>
      </c>
      <c r="J205">
        <v>115000</v>
      </c>
      <c r="O205" s="41">
        <v>6</v>
      </c>
      <c r="P205" s="159">
        <v>2014</v>
      </c>
    </row>
    <row r="206" spans="1:16">
      <c r="A206" s="43">
        <v>11</v>
      </c>
      <c r="B206" s="43" t="s">
        <v>684</v>
      </c>
      <c r="C206" s="52" t="s">
        <v>685</v>
      </c>
      <c r="D206" s="94" t="s">
        <v>701</v>
      </c>
      <c r="E206" s="89">
        <v>2</v>
      </c>
      <c r="K206" s="41">
        <v>213000</v>
      </c>
      <c r="L206" s="41">
        <v>113000</v>
      </c>
      <c r="M206" s="41">
        <v>100000</v>
      </c>
      <c r="N206" s="40" t="s">
        <v>700</v>
      </c>
      <c r="O206" s="41">
        <v>6</v>
      </c>
      <c r="P206" s="159">
        <v>2014</v>
      </c>
    </row>
    <row r="207" spans="1:16">
      <c r="A207" s="145">
        <v>11</v>
      </c>
      <c r="B207" s="145" t="s">
        <v>684</v>
      </c>
      <c r="C207" s="146" t="s">
        <v>685</v>
      </c>
      <c r="D207" s="147" t="s">
        <v>701</v>
      </c>
      <c r="E207" s="148">
        <v>3</v>
      </c>
      <c r="F207" s="141"/>
      <c r="G207" s="149"/>
      <c r="H207" s="142"/>
      <c r="I207" s="149"/>
      <c r="J207" s="149"/>
      <c r="K207" s="150"/>
      <c r="L207" s="150"/>
      <c r="M207" s="150"/>
      <c r="N207" s="151"/>
      <c r="O207" s="41">
        <v>6</v>
      </c>
      <c r="P207" s="159">
        <v>2014</v>
      </c>
    </row>
    <row r="208" spans="1:16">
      <c r="A208" s="43">
        <v>11</v>
      </c>
      <c r="B208" s="43" t="s">
        <v>684</v>
      </c>
      <c r="C208" s="52" t="s">
        <v>685</v>
      </c>
      <c r="D208" s="94" t="s">
        <v>701</v>
      </c>
      <c r="E208" s="89">
        <v>3</v>
      </c>
      <c r="F208" s="81" t="s">
        <v>680</v>
      </c>
      <c r="G208" t="s">
        <v>651</v>
      </c>
      <c r="H208" s="68">
        <v>2</v>
      </c>
      <c r="I208">
        <v>98000</v>
      </c>
      <c r="J208">
        <v>196000</v>
      </c>
      <c r="O208" s="41">
        <v>6</v>
      </c>
      <c r="P208" s="159">
        <v>2014</v>
      </c>
    </row>
    <row r="209" spans="1:16">
      <c r="A209" s="43">
        <v>11</v>
      </c>
      <c r="B209" s="43" t="s">
        <v>684</v>
      </c>
      <c r="C209" s="52" t="s">
        <v>685</v>
      </c>
      <c r="D209" s="94" t="s">
        <v>701</v>
      </c>
      <c r="E209" s="89">
        <v>3</v>
      </c>
      <c r="K209" s="41">
        <v>196000</v>
      </c>
      <c r="L209" s="41">
        <v>96000</v>
      </c>
      <c r="M209" s="41">
        <v>100000</v>
      </c>
      <c r="N209" s="40" t="s">
        <v>700</v>
      </c>
      <c r="O209" s="41">
        <v>6</v>
      </c>
      <c r="P209" s="159">
        <v>2014</v>
      </c>
    </row>
    <row r="210" spans="1:16">
      <c r="A210" s="145">
        <v>11</v>
      </c>
      <c r="B210" s="145" t="s">
        <v>684</v>
      </c>
      <c r="C210" s="146" t="s">
        <v>685</v>
      </c>
      <c r="D210" s="147" t="s">
        <v>701</v>
      </c>
      <c r="E210" s="148">
        <v>4</v>
      </c>
      <c r="F210" s="141"/>
      <c r="G210" s="149"/>
      <c r="H210" s="142"/>
      <c r="I210" s="149"/>
      <c r="J210" s="149"/>
      <c r="K210" s="150"/>
      <c r="L210" s="150"/>
      <c r="M210" s="150"/>
      <c r="N210" s="151"/>
      <c r="O210" s="41">
        <v>6</v>
      </c>
      <c r="P210" s="159">
        <v>2014</v>
      </c>
    </row>
    <row r="211" spans="1:16">
      <c r="A211" s="43">
        <v>11</v>
      </c>
      <c r="B211" s="43" t="s">
        <v>684</v>
      </c>
      <c r="C211" s="52" t="s">
        <v>685</v>
      </c>
      <c r="D211" s="94" t="s">
        <v>701</v>
      </c>
      <c r="E211" s="89">
        <v>4</v>
      </c>
      <c r="F211" s="81" t="s">
        <v>699</v>
      </c>
      <c r="G211" t="s">
        <v>650</v>
      </c>
      <c r="H211" s="68">
        <v>1</v>
      </c>
      <c r="I211">
        <v>85000</v>
      </c>
      <c r="J211">
        <v>85000</v>
      </c>
      <c r="O211" s="41">
        <v>6</v>
      </c>
      <c r="P211" s="159">
        <v>2014</v>
      </c>
    </row>
    <row r="212" spans="1:16">
      <c r="A212" s="43">
        <v>11</v>
      </c>
      <c r="B212" s="43" t="s">
        <v>684</v>
      </c>
      <c r="C212" s="52" t="s">
        <v>685</v>
      </c>
      <c r="D212" s="94" t="s">
        <v>701</v>
      </c>
      <c r="E212" s="89">
        <v>4</v>
      </c>
      <c r="F212" s="81" t="s">
        <v>680</v>
      </c>
      <c r="G212" t="s">
        <v>651</v>
      </c>
      <c r="H212" s="68">
        <v>1</v>
      </c>
      <c r="I212">
        <v>98000</v>
      </c>
      <c r="J212">
        <v>98000</v>
      </c>
      <c r="O212" s="41">
        <v>6</v>
      </c>
      <c r="P212" s="159">
        <v>2014</v>
      </c>
    </row>
    <row r="213" spans="1:16">
      <c r="A213" s="43">
        <v>11</v>
      </c>
      <c r="B213" s="43" t="s">
        <v>684</v>
      </c>
      <c r="C213" s="52" t="s">
        <v>685</v>
      </c>
      <c r="D213" s="94" t="s">
        <v>701</v>
      </c>
      <c r="E213" s="89">
        <v>4</v>
      </c>
      <c r="K213" s="41">
        <v>183000</v>
      </c>
      <c r="L213" s="41">
        <v>83000</v>
      </c>
      <c r="M213" s="41">
        <v>100000</v>
      </c>
      <c r="N213" s="40" t="s">
        <v>700</v>
      </c>
      <c r="O213" s="41">
        <v>6</v>
      </c>
      <c r="P213" s="159">
        <v>2014</v>
      </c>
    </row>
    <row r="214" spans="1:16">
      <c r="A214" s="145">
        <v>11</v>
      </c>
      <c r="B214" s="145" t="s">
        <v>684</v>
      </c>
      <c r="C214" s="146" t="s">
        <v>685</v>
      </c>
      <c r="D214" s="147" t="s">
        <v>701</v>
      </c>
      <c r="E214" s="148">
        <v>5</v>
      </c>
      <c r="F214" s="141"/>
      <c r="G214" s="149"/>
      <c r="H214" s="142"/>
      <c r="I214" s="149"/>
      <c r="J214" s="149"/>
      <c r="K214" s="150"/>
      <c r="L214" s="150"/>
      <c r="M214" s="150"/>
      <c r="N214" s="151"/>
      <c r="O214" s="41">
        <v>6</v>
      </c>
      <c r="P214" s="159">
        <v>2014</v>
      </c>
    </row>
    <row r="215" spans="1:16">
      <c r="A215" s="43">
        <v>11</v>
      </c>
      <c r="B215" s="43" t="s">
        <v>684</v>
      </c>
      <c r="C215" s="52" t="s">
        <v>685</v>
      </c>
      <c r="D215" s="94" t="s">
        <v>701</v>
      </c>
      <c r="E215" s="89">
        <v>5</v>
      </c>
      <c r="F215" s="81" t="s">
        <v>686</v>
      </c>
      <c r="G215" t="s">
        <v>682</v>
      </c>
      <c r="H215" s="68">
        <v>1</v>
      </c>
      <c r="I215">
        <v>115000</v>
      </c>
      <c r="J215">
        <v>115000</v>
      </c>
      <c r="O215" s="41">
        <v>6</v>
      </c>
      <c r="P215" s="159">
        <v>2014</v>
      </c>
    </row>
    <row r="216" spans="1:16">
      <c r="A216" s="43">
        <v>11</v>
      </c>
      <c r="B216" s="43" t="s">
        <v>684</v>
      </c>
      <c r="C216" s="52" t="s">
        <v>685</v>
      </c>
      <c r="D216" s="94" t="s">
        <v>701</v>
      </c>
      <c r="E216" s="89">
        <v>5</v>
      </c>
      <c r="F216" s="81" t="s">
        <v>680</v>
      </c>
      <c r="G216" t="s">
        <v>651</v>
      </c>
      <c r="H216" s="68">
        <v>1</v>
      </c>
      <c r="I216">
        <v>98000</v>
      </c>
      <c r="J216">
        <v>98000</v>
      </c>
      <c r="O216" s="41">
        <v>6</v>
      </c>
      <c r="P216" s="159">
        <v>2014</v>
      </c>
    </row>
    <row r="217" spans="1:16">
      <c r="A217" s="43">
        <v>11</v>
      </c>
      <c r="B217" s="43" t="s">
        <v>684</v>
      </c>
      <c r="C217" s="52" t="s">
        <v>685</v>
      </c>
      <c r="D217" s="94" t="s">
        <v>701</v>
      </c>
      <c r="E217" s="89">
        <v>5</v>
      </c>
      <c r="K217" s="41">
        <v>213000</v>
      </c>
      <c r="L217" s="41">
        <v>113000</v>
      </c>
      <c r="M217" s="41">
        <v>100000</v>
      </c>
      <c r="N217" s="40" t="s">
        <v>700</v>
      </c>
      <c r="O217" s="41">
        <v>6</v>
      </c>
      <c r="P217" s="159">
        <v>2014</v>
      </c>
    </row>
    <row r="218" spans="1:16">
      <c r="A218" s="145">
        <v>11</v>
      </c>
      <c r="B218" s="145" t="s">
        <v>684</v>
      </c>
      <c r="C218" s="146" t="s">
        <v>685</v>
      </c>
      <c r="D218" s="147" t="s">
        <v>701</v>
      </c>
      <c r="E218" s="148">
        <v>6</v>
      </c>
      <c r="F218" s="141"/>
      <c r="G218" s="149"/>
      <c r="H218" s="142"/>
      <c r="I218" s="149"/>
      <c r="J218" s="149"/>
      <c r="K218" s="150"/>
      <c r="L218" s="150"/>
      <c r="M218" s="150"/>
      <c r="N218" s="151"/>
      <c r="O218" s="41">
        <v>6</v>
      </c>
      <c r="P218" s="159">
        <v>2014</v>
      </c>
    </row>
    <row r="219" spans="1:16">
      <c r="A219" s="43">
        <v>11</v>
      </c>
      <c r="B219" s="43" t="s">
        <v>684</v>
      </c>
      <c r="C219" s="52" t="s">
        <v>685</v>
      </c>
      <c r="D219" s="94" t="s">
        <v>701</v>
      </c>
      <c r="E219" s="89">
        <v>6</v>
      </c>
      <c r="F219" s="81" t="s">
        <v>699</v>
      </c>
      <c r="G219" t="s">
        <v>650</v>
      </c>
      <c r="H219" s="68">
        <v>1</v>
      </c>
      <c r="I219">
        <v>85000</v>
      </c>
      <c r="J219">
        <v>85000</v>
      </c>
      <c r="O219" s="41">
        <v>6</v>
      </c>
      <c r="P219" s="159">
        <v>2014</v>
      </c>
    </row>
    <row r="220" spans="1:16">
      <c r="A220" s="43">
        <v>11</v>
      </c>
      <c r="B220" s="43" t="s">
        <v>684</v>
      </c>
      <c r="C220" s="52" t="s">
        <v>685</v>
      </c>
      <c r="D220" s="94" t="s">
        <v>701</v>
      </c>
      <c r="E220" s="89">
        <v>6</v>
      </c>
      <c r="F220" s="81" t="s">
        <v>680</v>
      </c>
      <c r="G220" t="s">
        <v>651</v>
      </c>
      <c r="H220" s="68">
        <v>1</v>
      </c>
      <c r="I220">
        <v>98000</v>
      </c>
      <c r="J220">
        <v>98000</v>
      </c>
      <c r="O220" s="41">
        <v>6</v>
      </c>
      <c r="P220" s="159">
        <v>2014</v>
      </c>
    </row>
    <row r="221" spans="1:16">
      <c r="A221" s="43">
        <v>11</v>
      </c>
      <c r="B221" s="43" t="s">
        <v>684</v>
      </c>
      <c r="C221" s="52" t="s">
        <v>685</v>
      </c>
      <c r="D221" s="94" t="s">
        <v>701</v>
      </c>
      <c r="E221" s="89">
        <v>6</v>
      </c>
      <c r="F221" s="81" t="s">
        <v>686</v>
      </c>
      <c r="G221" t="s">
        <v>682</v>
      </c>
      <c r="H221" s="68">
        <v>1</v>
      </c>
      <c r="I221">
        <v>115000</v>
      </c>
      <c r="J221">
        <v>115000</v>
      </c>
      <c r="O221" s="41">
        <v>6</v>
      </c>
      <c r="P221" s="159">
        <v>2014</v>
      </c>
    </row>
    <row r="222" spans="1:16">
      <c r="A222" s="43">
        <v>11</v>
      </c>
      <c r="B222" s="43" t="s">
        <v>684</v>
      </c>
      <c r="C222" s="52" t="s">
        <v>685</v>
      </c>
      <c r="D222" s="94" t="s">
        <v>701</v>
      </c>
      <c r="E222" s="89">
        <v>6</v>
      </c>
      <c r="K222" s="41">
        <v>298000</v>
      </c>
      <c r="L222" s="41">
        <v>148000</v>
      </c>
      <c r="M222" s="41">
        <v>150000</v>
      </c>
      <c r="N222" s="40" t="s">
        <v>700</v>
      </c>
      <c r="O222" s="41">
        <v>6</v>
      </c>
      <c r="P222" s="159">
        <v>2014</v>
      </c>
    </row>
    <row r="223" spans="1:16">
      <c r="A223" s="145">
        <v>11</v>
      </c>
      <c r="B223" s="145" t="s">
        <v>684</v>
      </c>
      <c r="C223" s="146" t="s">
        <v>685</v>
      </c>
      <c r="D223" s="147" t="s">
        <v>701</v>
      </c>
      <c r="E223" s="148">
        <v>7</v>
      </c>
      <c r="F223" s="141"/>
      <c r="G223" s="149"/>
      <c r="H223" s="142"/>
      <c r="I223" s="149"/>
      <c r="J223" s="149"/>
      <c r="K223" s="150"/>
      <c r="L223" s="150"/>
      <c r="M223" s="150"/>
      <c r="N223" s="151"/>
      <c r="O223" s="41">
        <v>6</v>
      </c>
      <c r="P223" s="159">
        <v>2014</v>
      </c>
    </row>
    <row r="224" spans="1:16">
      <c r="A224" s="43">
        <v>11</v>
      </c>
      <c r="B224" s="43" t="s">
        <v>684</v>
      </c>
      <c r="C224" s="52" t="s">
        <v>685</v>
      </c>
      <c r="D224" s="94" t="s">
        <v>701</v>
      </c>
      <c r="E224" s="89">
        <v>7</v>
      </c>
      <c r="F224" s="81" t="s">
        <v>697</v>
      </c>
      <c r="G224" t="s">
        <v>698</v>
      </c>
      <c r="H224" s="68">
        <v>1</v>
      </c>
      <c r="I224">
        <v>195000</v>
      </c>
      <c r="J224">
        <v>195000</v>
      </c>
      <c r="O224" s="41">
        <v>6</v>
      </c>
      <c r="P224" s="159">
        <v>2014</v>
      </c>
    </row>
    <row r="225" spans="1:16">
      <c r="A225" s="43">
        <v>11</v>
      </c>
      <c r="B225" s="43" t="s">
        <v>684</v>
      </c>
      <c r="C225" s="52" t="s">
        <v>685</v>
      </c>
      <c r="D225" s="94" t="s">
        <v>701</v>
      </c>
      <c r="E225" s="89">
        <v>7</v>
      </c>
      <c r="K225" s="41">
        <v>195000</v>
      </c>
      <c r="M225" s="41">
        <v>195000</v>
      </c>
      <c r="O225" s="41">
        <v>6</v>
      </c>
      <c r="P225" s="159">
        <v>2014</v>
      </c>
    </row>
    <row r="226" spans="1:16">
      <c r="A226" s="145">
        <v>11</v>
      </c>
      <c r="B226" s="145" t="s">
        <v>684</v>
      </c>
      <c r="C226" s="146" t="s">
        <v>685</v>
      </c>
      <c r="D226" s="147" t="s">
        <v>701</v>
      </c>
      <c r="E226" s="148">
        <v>8</v>
      </c>
      <c r="F226" s="141"/>
      <c r="G226" s="149"/>
      <c r="H226" s="142"/>
      <c r="I226" s="149"/>
      <c r="J226" s="149"/>
      <c r="K226" s="150"/>
      <c r="L226" s="150"/>
      <c r="M226" s="150"/>
      <c r="N226" s="151"/>
      <c r="O226" s="41">
        <v>6</v>
      </c>
      <c r="P226" s="159">
        <v>2014</v>
      </c>
    </row>
    <row r="227" spans="1:16">
      <c r="A227" s="43">
        <v>11</v>
      </c>
      <c r="B227" s="43" t="s">
        <v>684</v>
      </c>
      <c r="C227" s="52" t="s">
        <v>685</v>
      </c>
      <c r="D227" s="94" t="s">
        <v>701</v>
      </c>
      <c r="E227" s="89">
        <v>8</v>
      </c>
      <c r="F227" s="81" t="s">
        <v>680</v>
      </c>
      <c r="G227" t="s">
        <v>651</v>
      </c>
      <c r="H227" s="68">
        <v>1</v>
      </c>
      <c r="I227">
        <v>98000</v>
      </c>
      <c r="J227">
        <v>98000</v>
      </c>
      <c r="O227" s="41">
        <v>6</v>
      </c>
      <c r="P227" s="159">
        <v>2014</v>
      </c>
    </row>
    <row r="228" spans="1:16">
      <c r="A228" s="43">
        <v>11</v>
      </c>
      <c r="B228" s="43" t="s">
        <v>684</v>
      </c>
      <c r="C228" s="52" t="s">
        <v>685</v>
      </c>
      <c r="D228" s="94" t="s">
        <v>701</v>
      </c>
      <c r="E228" s="89">
        <v>8</v>
      </c>
      <c r="K228" s="41">
        <v>98000</v>
      </c>
      <c r="L228" s="41">
        <v>48000</v>
      </c>
      <c r="M228" s="41">
        <v>50000</v>
      </c>
      <c r="N228" s="40" t="s">
        <v>700</v>
      </c>
      <c r="O228" s="41">
        <v>6</v>
      </c>
      <c r="P228" s="159">
        <v>2014</v>
      </c>
    </row>
    <row r="229" spans="1:16">
      <c r="A229" s="145">
        <v>11</v>
      </c>
      <c r="B229" s="145" t="s">
        <v>684</v>
      </c>
      <c r="C229" s="146" t="s">
        <v>685</v>
      </c>
      <c r="D229" s="147" t="s">
        <v>701</v>
      </c>
      <c r="E229" s="148">
        <v>9</v>
      </c>
      <c r="F229" s="141"/>
      <c r="G229" s="149"/>
      <c r="H229" s="142"/>
      <c r="I229" s="149"/>
      <c r="J229" s="149"/>
      <c r="K229" s="150"/>
      <c r="L229" s="150"/>
      <c r="M229" s="150"/>
      <c r="N229" s="151"/>
      <c r="O229" s="41">
        <v>6</v>
      </c>
      <c r="P229" s="159">
        <v>2014</v>
      </c>
    </row>
    <row r="230" spans="1:16">
      <c r="A230" s="43">
        <v>11</v>
      </c>
      <c r="B230" s="43" t="s">
        <v>684</v>
      </c>
      <c r="C230" s="52" t="s">
        <v>685</v>
      </c>
      <c r="D230" s="94" t="s">
        <v>701</v>
      </c>
      <c r="E230" s="89">
        <v>9</v>
      </c>
      <c r="F230" s="81" t="s">
        <v>686</v>
      </c>
      <c r="G230" t="s">
        <v>682</v>
      </c>
      <c r="H230" s="68">
        <v>1</v>
      </c>
      <c r="I230">
        <v>115000</v>
      </c>
      <c r="J230">
        <v>115000</v>
      </c>
      <c r="O230" s="41">
        <v>6</v>
      </c>
      <c r="P230" s="159">
        <v>2014</v>
      </c>
    </row>
    <row r="231" spans="1:16">
      <c r="A231" s="43">
        <v>11</v>
      </c>
      <c r="B231" s="43" t="s">
        <v>684</v>
      </c>
      <c r="C231" s="52" t="s">
        <v>685</v>
      </c>
      <c r="D231" s="94" t="s">
        <v>701</v>
      </c>
      <c r="E231" s="89">
        <v>9</v>
      </c>
      <c r="F231" s="81" t="s">
        <v>680</v>
      </c>
      <c r="G231" t="s">
        <v>651</v>
      </c>
      <c r="H231" s="68">
        <v>1</v>
      </c>
      <c r="I231">
        <v>98000</v>
      </c>
      <c r="J231">
        <v>98000</v>
      </c>
      <c r="O231" s="41">
        <v>6</v>
      </c>
      <c r="P231" s="159">
        <v>2014</v>
      </c>
    </row>
    <row r="232" spans="1:16">
      <c r="A232" s="43">
        <v>11</v>
      </c>
      <c r="B232" s="43" t="s">
        <v>684</v>
      </c>
      <c r="C232" s="52" t="s">
        <v>685</v>
      </c>
      <c r="D232" s="94" t="s">
        <v>701</v>
      </c>
      <c r="E232" s="89">
        <v>9</v>
      </c>
      <c r="K232" s="41">
        <v>213000</v>
      </c>
      <c r="L232" s="41">
        <v>113000</v>
      </c>
      <c r="M232" s="41">
        <v>100000</v>
      </c>
      <c r="N232" s="40" t="s">
        <v>700</v>
      </c>
      <c r="O232" s="41">
        <v>6</v>
      </c>
      <c r="P232" s="159">
        <v>2014</v>
      </c>
    </row>
    <row r="233" spans="1:16">
      <c r="A233" s="145">
        <v>11</v>
      </c>
      <c r="B233" s="145" t="s">
        <v>684</v>
      </c>
      <c r="C233" s="146" t="s">
        <v>685</v>
      </c>
      <c r="D233" s="147" t="s">
        <v>701</v>
      </c>
      <c r="E233" s="148">
        <v>10</v>
      </c>
      <c r="F233" s="141"/>
      <c r="G233" s="149"/>
      <c r="H233" s="142"/>
      <c r="I233" s="149"/>
      <c r="J233" s="149"/>
      <c r="K233" s="150"/>
      <c r="L233" s="150"/>
      <c r="M233" s="150"/>
      <c r="N233" s="151"/>
      <c r="O233" s="41">
        <v>6</v>
      </c>
      <c r="P233" s="159">
        <v>2014</v>
      </c>
    </row>
    <row r="234" spans="1:16">
      <c r="A234" s="43">
        <v>11</v>
      </c>
      <c r="B234" s="43" t="s">
        <v>684</v>
      </c>
      <c r="C234" s="52" t="s">
        <v>685</v>
      </c>
      <c r="D234" s="94" t="s">
        <v>701</v>
      </c>
      <c r="E234" s="89">
        <v>10</v>
      </c>
      <c r="F234" s="81" t="s">
        <v>686</v>
      </c>
      <c r="G234" t="s">
        <v>682</v>
      </c>
      <c r="H234" s="68">
        <v>2</v>
      </c>
      <c r="I234">
        <v>115000</v>
      </c>
      <c r="J234">
        <v>230000</v>
      </c>
      <c r="O234" s="41">
        <v>6</v>
      </c>
      <c r="P234" s="159">
        <v>2014</v>
      </c>
    </row>
    <row r="235" spans="1:16">
      <c r="A235" s="43">
        <v>11</v>
      </c>
      <c r="B235" s="43" t="s">
        <v>684</v>
      </c>
      <c r="C235" s="52" t="s">
        <v>685</v>
      </c>
      <c r="D235" s="94" t="s">
        <v>701</v>
      </c>
      <c r="E235" s="89">
        <v>10</v>
      </c>
      <c r="F235" s="81" t="s">
        <v>699</v>
      </c>
      <c r="G235" t="s">
        <v>650</v>
      </c>
      <c r="H235" s="68">
        <v>1</v>
      </c>
      <c r="I235">
        <v>85000</v>
      </c>
      <c r="J235">
        <v>85000</v>
      </c>
      <c r="O235" s="41">
        <v>6</v>
      </c>
      <c r="P235" s="159">
        <v>2014</v>
      </c>
    </row>
    <row r="236" spans="1:16">
      <c r="A236" s="43">
        <v>11</v>
      </c>
      <c r="B236" s="43" t="s">
        <v>684</v>
      </c>
      <c r="C236" s="52" t="s">
        <v>685</v>
      </c>
      <c r="D236" s="94" t="s">
        <v>701</v>
      </c>
      <c r="E236" s="89">
        <v>10</v>
      </c>
      <c r="K236" s="41">
        <v>315000</v>
      </c>
      <c r="L236" s="41">
        <v>165000</v>
      </c>
      <c r="M236" s="41">
        <v>150000</v>
      </c>
      <c r="N236" s="40" t="s">
        <v>700</v>
      </c>
      <c r="O236" s="41">
        <v>6</v>
      </c>
      <c r="P236" s="159">
        <v>2014</v>
      </c>
    </row>
    <row r="237" spans="1:16">
      <c r="A237" s="145">
        <v>11</v>
      </c>
      <c r="B237" s="145" t="s">
        <v>684</v>
      </c>
      <c r="C237" s="146" t="s">
        <v>685</v>
      </c>
      <c r="D237" s="147" t="s">
        <v>701</v>
      </c>
      <c r="E237" s="148">
        <v>11</v>
      </c>
      <c r="F237" s="141"/>
      <c r="G237" s="149"/>
      <c r="H237" s="142"/>
      <c r="I237" s="149"/>
      <c r="J237" s="149"/>
      <c r="K237" s="150"/>
      <c r="L237" s="150"/>
      <c r="M237" s="150"/>
      <c r="N237" s="151"/>
      <c r="O237" s="41">
        <v>6</v>
      </c>
      <c r="P237" s="159">
        <v>2014</v>
      </c>
    </row>
    <row r="238" spans="1:16">
      <c r="A238" s="43">
        <v>11</v>
      </c>
      <c r="B238" s="43" t="s">
        <v>684</v>
      </c>
      <c r="C238" s="52" t="s">
        <v>685</v>
      </c>
      <c r="D238" s="94" t="s">
        <v>701</v>
      </c>
      <c r="E238" s="89">
        <v>11</v>
      </c>
      <c r="F238" s="81" t="s">
        <v>686</v>
      </c>
      <c r="G238" t="s">
        <v>682</v>
      </c>
      <c r="H238" s="68">
        <v>2</v>
      </c>
      <c r="I238">
        <v>115000</v>
      </c>
      <c r="J238">
        <v>230000</v>
      </c>
      <c r="O238" s="41">
        <v>6</v>
      </c>
      <c r="P238" s="159">
        <v>2014</v>
      </c>
    </row>
    <row r="239" spans="1:16">
      <c r="A239" s="43">
        <v>11</v>
      </c>
      <c r="B239" s="43" t="s">
        <v>684</v>
      </c>
      <c r="C239" s="52" t="s">
        <v>685</v>
      </c>
      <c r="D239" s="94" t="s">
        <v>701</v>
      </c>
      <c r="E239" s="89">
        <v>11</v>
      </c>
      <c r="K239" s="41">
        <v>230000</v>
      </c>
      <c r="L239" s="41">
        <v>130000</v>
      </c>
      <c r="M239" s="41">
        <v>100000</v>
      </c>
      <c r="N239" s="40" t="s">
        <v>700</v>
      </c>
      <c r="O239" s="41">
        <v>6</v>
      </c>
      <c r="P239" s="159">
        <v>2014</v>
      </c>
    </row>
    <row r="240" spans="1:16">
      <c r="A240" s="145">
        <v>11</v>
      </c>
      <c r="B240" s="145" t="s">
        <v>684</v>
      </c>
      <c r="C240" s="146" t="s">
        <v>685</v>
      </c>
      <c r="D240" s="147" t="s">
        <v>701</v>
      </c>
      <c r="E240" s="148">
        <v>12</v>
      </c>
      <c r="F240" s="141"/>
      <c r="G240" s="149"/>
      <c r="H240" s="142"/>
      <c r="I240" s="149"/>
      <c r="J240" s="149"/>
      <c r="K240" s="150"/>
      <c r="L240" s="150"/>
      <c r="M240" s="150"/>
      <c r="N240" s="151"/>
      <c r="O240" s="41">
        <v>6</v>
      </c>
      <c r="P240" s="159">
        <v>2014</v>
      </c>
    </row>
    <row r="241" spans="1:16">
      <c r="A241" s="43">
        <v>11</v>
      </c>
      <c r="B241" s="43" t="s">
        <v>684</v>
      </c>
      <c r="C241" s="52" t="s">
        <v>685</v>
      </c>
      <c r="D241" s="94" t="s">
        <v>701</v>
      </c>
      <c r="E241" s="89">
        <v>12</v>
      </c>
      <c r="F241" s="81" t="s">
        <v>688</v>
      </c>
      <c r="G241" t="s">
        <v>649</v>
      </c>
      <c r="H241" s="68">
        <v>1</v>
      </c>
      <c r="I241">
        <v>85000</v>
      </c>
      <c r="J241">
        <v>85000</v>
      </c>
      <c r="O241" s="41">
        <v>6</v>
      </c>
      <c r="P241" s="159">
        <v>2014</v>
      </c>
    </row>
    <row r="242" spans="1:16">
      <c r="A242" s="43">
        <v>11</v>
      </c>
      <c r="B242" s="43" t="s">
        <v>684</v>
      </c>
      <c r="C242" s="52" t="s">
        <v>685</v>
      </c>
      <c r="D242" s="94" t="s">
        <v>701</v>
      </c>
      <c r="E242" s="89">
        <v>12</v>
      </c>
      <c r="K242" s="41">
        <v>85000</v>
      </c>
      <c r="M242" s="41">
        <v>85000</v>
      </c>
      <c r="O242" s="41">
        <v>6</v>
      </c>
      <c r="P242" s="159">
        <v>2014</v>
      </c>
    </row>
    <row r="243" spans="1:16">
      <c r="A243" s="137">
        <v>11</v>
      </c>
      <c r="B243" s="137" t="s">
        <v>681</v>
      </c>
      <c r="C243" s="138" t="s">
        <v>679</v>
      </c>
      <c r="D243" s="139" t="s">
        <v>701</v>
      </c>
      <c r="E243" s="140">
        <v>1</v>
      </c>
      <c r="F243" s="141"/>
      <c r="G243" s="142"/>
      <c r="H243" s="142"/>
      <c r="I243" s="142"/>
      <c r="J243" s="142"/>
      <c r="K243" s="143"/>
      <c r="L243" s="143"/>
      <c r="M243" s="143"/>
      <c r="N243" s="144"/>
      <c r="O243" s="41">
        <v>6</v>
      </c>
      <c r="P243" s="159">
        <v>2014</v>
      </c>
    </row>
    <row r="244" spans="1:16">
      <c r="A244" s="131">
        <v>11</v>
      </c>
      <c r="B244" s="131" t="s">
        <v>681</v>
      </c>
      <c r="C244" s="132" t="s">
        <v>679</v>
      </c>
      <c r="D244" s="133" t="s">
        <v>701</v>
      </c>
      <c r="E244" s="134">
        <v>1</v>
      </c>
      <c r="F244" s="81" t="s">
        <v>680</v>
      </c>
      <c r="G244" s="68" t="s">
        <v>651</v>
      </c>
      <c r="H244" s="68">
        <v>1</v>
      </c>
      <c r="I244" s="68">
        <v>98000</v>
      </c>
      <c r="J244" s="68">
        <v>98000</v>
      </c>
      <c r="K244" s="135"/>
      <c r="L244" s="135"/>
      <c r="M244" s="135"/>
      <c r="N244" s="136"/>
      <c r="O244" s="41">
        <v>6</v>
      </c>
      <c r="P244" s="159">
        <v>2014</v>
      </c>
    </row>
    <row r="245" spans="1:16">
      <c r="A245" s="131">
        <v>11</v>
      </c>
      <c r="B245" s="131" t="s">
        <v>681</v>
      </c>
      <c r="C245" s="132" t="s">
        <v>679</v>
      </c>
      <c r="D245" s="133" t="s">
        <v>701</v>
      </c>
      <c r="E245" s="134">
        <v>1</v>
      </c>
      <c r="F245" s="81" t="s">
        <v>686</v>
      </c>
      <c r="G245" s="68" t="s">
        <v>682</v>
      </c>
      <c r="H245" s="68">
        <v>1</v>
      </c>
      <c r="I245" s="68">
        <v>115000</v>
      </c>
      <c r="J245" s="68">
        <v>115000</v>
      </c>
      <c r="K245" s="135"/>
      <c r="L245" s="135"/>
      <c r="M245" s="135"/>
      <c r="N245" s="136"/>
      <c r="O245" s="41">
        <v>6</v>
      </c>
      <c r="P245" s="159">
        <v>2014</v>
      </c>
    </row>
    <row r="246" spans="1:16">
      <c r="A246" s="131">
        <v>11</v>
      </c>
      <c r="B246" s="131" t="s">
        <v>681</v>
      </c>
      <c r="C246" s="132" t="s">
        <v>679</v>
      </c>
      <c r="D246" s="133" t="s">
        <v>701</v>
      </c>
      <c r="E246" s="134">
        <v>1</v>
      </c>
      <c r="G246" s="68"/>
      <c r="I246" s="68"/>
      <c r="J246" s="68"/>
      <c r="K246" s="135">
        <v>213000</v>
      </c>
      <c r="L246" s="135">
        <v>113000</v>
      </c>
      <c r="M246" s="135">
        <v>100000</v>
      </c>
      <c r="N246" s="136" t="s">
        <v>706</v>
      </c>
      <c r="O246" s="41">
        <v>6</v>
      </c>
      <c r="P246" s="159">
        <v>2014</v>
      </c>
    </row>
    <row r="247" spans="1:16">
      <c r="A247" s="137">
        <v>11</v>
      </c>
      <c r="B247" s="137" t="s">
        <v>681</v>
      </c>
      <c r="C247" s="138" t="s">
        <v>679</v>
      </c>
      <c r="D247" s="139" t="s">
        <v>701</v>
      </c>
      <c r="E247" s="140">
        <v>2</v>
      </c>
      <c r="F247" s="141"/>
      <c r="G247" s="142"/>
      <c r="H247" s="142"/>
      <c r="I247" s="142"/>
      <c r="J247" s="142"/>
      <c r="K247" s="143"/>
      <c r="L247" s="143"/>
      <c r="M247" s="143"/>
      <c r="N247" s="144"/>
      <c r="O247" s="41">
        <v>6</v>
      </c>
      <c r="P247" s="159">
        <v>2014</v>
      </c>
    </row>
    <row r="248" spans="1:16">
      <c r="A248" s="131">
        <v>11</v>
      </c>
      <c r="B248" s="131" t="s">
        <v>681</v>
      </c>
      <c r="C248" s="132" t="s">
        <v>679</v>
      </c>
      <c r="D248" s="133" t="s">
        <v>701</v>
      </c>
      <c r="E248" s="134">
        <v>2</v>
      </c>
      <c r="F248" s="81" t="s">
        <v>686</v>
      </c>
      <c r="G248" s="68" t="s">
        <v>682</v>
      </c>
      <c r="H248" s="68">
        <v>1</v>
      </c>
      <c r="I248" s="68">
        <v>115000</v>
      </c>
      <c r="J248" s="68">
        <v>115000</v>
      </c>
      <c r="K248" s="135"/>
      <c r="L248" s="135"/>
      <c r="M248" s="135"/>
      <c r="N248" s="136"/>
      <c r="O248" s="41">
        <v>6</v>
      </c>
      <c r="P248" s="159">
        <v>2014</v>
      </c>
    </row>
    <row r="249" spans="1:16">
      <c r="A249" s="131">
        <v>11</v>
      </c>
      <c r="B249" s="131" t="s">
        <v>681</v>
      </c>
      <c r="C249" s="132" t="s">
        <v>679</v>
      </c>
      <c r="D249" s="133" t="s">
        <v>701</v>
      </c>
      <c r="E249" s="134">
        <v>2</v>
      </c>
      <c r="G249" s="68"/>
      <c r="I249" s="68"/>
      <c r="J249" s="68"/>
      <c r="K249" s="135">
        <v>115000</v>
      </c>
      <c r="L249" s="135">
        <v>65000</v>
      </c>
      <c r="M249" s="135">
        <v>50000</v>
      </c>
      <c r="N249" s="136" t="s">
        <v>706</v>
      </c>
      <c r="O249" s="41">
        <v>6</v>
      </c>
      <c r="P249" s="159">
        <v>2014</v>
      </c>
    </row>
    <row r="250" spans="1:16">
      <c r="A250" s="137">
        <v>11</v>
      </c>
      <c r="B250" s="137" t="s">
        <v>681</v>
      </c>
      <c r="C250" s="138" t="s">
        <v>679</v>
      </c>
      <c r="D250" s="139" t="s">
        <v>701</v>
      </c>
      <c r="E250" s="140">
        <v>3</v>
      </c>
      <c r="F250" s="141"/>
      <c r="G250" s="142"/>
      <c r="H250" s="142"/>
      <c r="I250" s="142"/>
      <c r="J250" s="142"/>
      <c r="K250" s="143"/>
      <c r="L250" s="143"/>
      <c r="M250" s="143"/>
      <c r="N250" s="144"/>
      <c r="O250" s="41">
        <v>6</v>
      </c>
      <c r="P250" s="159">
        <v>2014</v>
      </c>
    </row>
    <row r="251" spans="1:16">
      <c r="A251" s="131">
        <v>11</v>
      </c>
      <c r="B251" s="131" t="s">
        <v>681</v>
      </c>
      <c r="C251" s="132" t="s">
        <v>679</v>
      </c>
      <c r="D251" s="133" t="s">
        <v>701</v>
      </c>
      <c r="E251" s="134">
        <v>3</v>
      </c>
      <c r="F251" s="81" t="s">
        <v>686</v>
      </c>
      <c r="G251" s="68" t="s">
        <v>682</v>
      </c>
      <c r="H251" s="68">
        <v>1</v>
      </c>
      <c r="I251" s="68">
        <v>115000</v>
      </c>
      <c r="J251" s="68">
        <v>115000</v>
      </c>
      <c r="K251" s="135"/>
      <c r="L251" s="135"/>
      <c r="M251" s="135"/>
      <c r="N251" s="136"/>
      <c r="O251" s="41">
        <v>6</v>
      </c>
      <c r="P251" s="159">
        <v>2014</v>
      </c>
    </row>
    <row r="252" spans="1:16">
      <c r="A252" s="131">
        <v>11</v>
      </c>
      <c r="B252" s="131" t="s">
        <v>681</v>
      </c>
      <c r="C252" s="132" t="s">
        <v>679</v>
      </c>
      <c r="D252" s="133" t="s">
        <v>701</v>
      </c>
      <c r="E252" s="134">
        <v>3</v>
      </c>
      <c r="G252" s="68"/>
      <c r="I252" s="68"/>
      <c r="J252" s="68"/>
      <c r="K252" s="135">
        <v>115000</v>
      </c>
      <c r="L252" s="135">
        <v>65000</v>
      </c>
      <c r="M252" s="135">
        <v>50000</v>
      </c>
      <c r="N252" s="136" t="s">
        <v>706</v>
      </c>
      <c r="O252" s="41">
        <v>6</v>
      </c>
      <c r="P252" s="159">
        <v>2014</v>
      </c>
    </row>
    <row r="253" spans="1:16">
      <c r="A253" s="137">
        <v>11</v>
      </c>
      <c r="B253" s="137" t="s">
        <v>681</v>
      </c>
      <c r="C253" s="138" t="s">
        <v>679</v>
      </c>
      <c r="D253" s="139" t="s">
        <v>701</v>
      </c>
      <c r="E253" s="140">
        <v>4</v>
      </c>
      <c r="F253" s="141"/>
      <c r="G253" s="142"/>
      <c r="H253" s="142"/>
      <c r="I253" s="142"/>
      <c r="J253" s="142"/>
      <c r="K253" s="143"/>
      <c r="L253" s="143"/>
      <c r="M253" s="143"/>
      <c r="N253" s="144"/>
      <c r="O253" s="41">
        <v>6</v>
      </c>
      <c r="P253" s="159">
        <v>2014</v>
      </c>
    </row>
    <row r="254" spans="1:16">
      <c r="A254" s="131">
        <v>11</v>
      </c>
      <c r="B254" s="131" t="s">
        <v>681</v>
      </c>
      <c r="C254" s="132" t="s">
        <v>679</v>
      </c>
      <c r="D254" s="133" t="s">
        <v>701</v>
      </c>
      <c r="E254" s="134">
        <v>4</v>
      </c>
      <c r="F254" s="81" t="s">
        <v>686</v>
      </c>
      <c r="G254" s="68" t="s">
        <v>682</v>
      </c>
      <c r="H254" s="68">
        <v>1</v>
      </c>
      <c r="I254" s="68">
        <v>115000</v>
      </c>
      <c r="J254" s="68">
        <v>115000</v>
      </c>
      <c r="K254" s="135"/>
      <c r="L254" s="135"/>
      <c r="M254" s="135"/>
      <c r="N254" s="136"/>
      <c r="O254" s="41">
        <v>6</v>
      </c>
      <c r="P254" s="159">
        <v>2014</v>
      </c>
    </row>
    <row r="255" spans="1:16">
      <c r="A255" s="131">
        <v>11</v>
      </c>
      <c r="B255" s="131" t="s">
        <v>681</v>
      </c>
      <c r="C255" s="132" t="s">
        <v>679</v>
      </c>
      <c r="D255" s="133" t="s">
        <v>701</v>
      </c>
      <c r="E255" s="134">
        <v>4</v>
      </c>
      <c r="F255" s="81" t="s">
        <v>699</v>
      </c>
      <c r="G255" s="68" t="s">
        <v>650</v>
      </c>
      <c r="H255" s="68">
        <v>1</v>
      </c>
      <c r="I255" s="68">
        <v>85000</v>
      </c>
      <c r="J255" s="68">
        <v>85000</v>
      </c>
      <c r="K255" s="135"/>
      <c r="L255" s="135"/>
      <c r="M255" s="135"/>
      <c r="N255" s="136"/>
      <c r="O255" s="41">
        <v>6</v>
      </c>
      <c r="P255" s="159">
        <v>2014</v>
      </c>
    </row>
    <row r="256" spans="1:16">
      <c r="A256" s="131">
        <v>11</v>
      </c>
      <c r="B256" s="131" t="s">
        <v>681</v>
      </c>
      <c r="C256" s="132" t="s">
        <v>679</v>
      </c>
      <c r="D256" s="133" t="s">
        <v>701</v>
      </c>
      <c r="E256" s="134">
        <v>4</v>
      </c>
      <c r="G256" s="68"/>
      <c r="I256" s="68"/>
      <c r="J256" s="68"/>
      <c r="K256" s="135">
        <v>200000</v>
      </c>
      <c r="L256" s="135">
        <v>100000</v>
      </c>
      <c r="M256" s="135">
        <v>100000</v>
      </c>
      <c r="N256" s="136" t="s">
        <v>706</v>
      </c>
      <c r="O256" s="41">
        <v>6</v>
      </c>
      <c r="P256" s="159">
        <v>2014</v>
      </c>
    </row>
    <row r="257" spans="1:16">
      <c r="A257" s="137">
        <v>11</v>
      </c>
      <c r="B257" s="137" t="s">
        <v>681</v>
      </c>
      <c r="C257" s="138" t="s">
        <v>679</v>
      </c>
      <c r="D257" s="139" t="s">
        <v>701</v>
      </c>
      <c r="E257" s="140">
        <v>5</v>
      </c>
      <c r="F257" s="141"/>
      <c r="G257" s="142"/>
      <c r="H257" s="142"/>
      <c r="I257" s="142"/>
      <c r="J257" s="142"/>
      <c r="K257" s="143"/>
      <c r="L257" s="143"/>
      <c r="M257" s="143"/>
      <c r="N257" s="144"/>
      <c r="O257" s="41">
        <v>6</v>
      </c>
      <c r="P257" s="159">
        <v>2014</v>
      </c>
    </row>
    <row r="258" spans="1:16">
      <c r="A258" s="131">
        <v>11</v>
      </c>
      <c r="B258" s="131" t="s">
        <v>681</v>
      </c>
      <c r="C258" s="132" t="s">
        <v>679</v>
      </c>
      <c r="D258" s="133" t="s">
        <v>701</v>
      </c>
      <c r="E258" s="134">
        <v>5</v>
      </c>
      <c r="F258" s="81" t="s">
        <v>680</v>
      </c>
      <c r="G258" s="68" t="s">
        <v>651</v>
      </c>
      <c r="H258" s="68">
        <v>1</v>
      </c>
      <c r="I258" s="68">
        <v>98000</v>
      </c>
      <c r="J258" s="68">
        <v>98000</v>
      </c>
      <c r="K258" s="135"/>
      <c r="L258" s="135"/>
      <c r="M258" s="135"/>
      <c r="N258" s="136"/>
      <c r="O258" s="41">
        <v>6</v>
      </c>
      <c r="P258" s="159">
        <v>2014</v>
      </c>
    </row>
    <row r="259" spans="1:16">
      <c r="A259" s="131">
        <v>11</v>
      </c>
      <c r="B259" s="131" t="s">
        <v>681</v>
      </c>
      <c r="C259" s="132" t="s">
        <v>679</v>
      </c>
      <c r="D259" s="133" t="s">
        <v>701</v>
      </c>
      <c r="E259" s="134">
        <v>5</v>
      </c>
      <c r="G259" s="68"/>
      <c r="I259" s="68"/>
      <c r="J259" s="68"/>
      <c r="K259" s="135">
        <v>98000</v>
      </c>
      <c r="L259" s="135">
        <v>48000</v>
      </c>
      <c r="M259" s="135">
        <v>50000</v>
      </c>
      <c r="N259" s="136" t="s">
        <v>706</v>
      </c>
      <c r="O259" s="41">
        <v>6</v>
      </c>
      <c r="P259" s="159">
        <v>2014</v>
      </c>
    </row>
    <row r="260" spans="1:16">
      <c r="A260" s="137">
        <v>11</v>
      </c>
      <c r="B260" s="137" t="s">
        <v>681</v>
      </c>
      <c r="C260" s="138" t="s">
        <v>679</v>
      </c>
      <c r="D260" s="139" t="s">
        <v>701</v>
      </c>
      <c r="E260" s="140">
        <v>6</v>
      </c>
      <c r="F260" s="141"/>
      <c r="G260" s="142"/>
      <c r="H260" s="142"/>
      <c r="I260" s="142"/>
      <c r="J260" s="142"/>
      <c r="K260" s="143"/>
      <c r="L260" s="143"/>
      <c r="M260" s="143"/>
      <c r="N260" s="144"/>
      <c r="O260" s="41">
        <v>6</v>
      </c>
      <c r="P260" s="159">
        <v>2014</v>
      </c>
    </row>
    <row r="261" spans="1:16">
      <c r="A261" s="131">
        <v>11</v>
      </c>
      <c r="B261" s="131" t="s">
        <v>681</v>
      </c>
      <c r="C261" s="132" t="s">
        <v>679</v>
      </c>
      <c r="D261" s="133" t="s">
        <v>701</v>
      </c>
      <c r="E261" s="134">
        <v>6</v>
      </c>
      <c r="F261" s="81" t="s">
        <v>686</v>
      </c>
      <c r="G261" s="68" t="s">
        <v>682</v>
      </c>
      <c r="H261" s="68">
        <v>1</v>
      </c>
      <c r="I261" s="68">
        <v>115000</v>
      </c>
      <c r="J261" s="68">
        <v>115000</v>
      </c>
      <c r="K261" s="135"/>
      <c r="L261" s="135"/>
      <c r="M261" s="135"/>
      <c r="N261" s="136"/>
      <c r="O261" s="41">
        <v>6</v>
      </c>
      <c r="P261" s="159">
        <v>2014</v>
      </c>
    </row>
    <row r="262" spans="1:16">
      <c r="A262" s="131">
        <v>11</v>
      </c>
      <c r="B262" s="131" t="s">
        <v>681</v>
      </c>
      <c r="C262" s="132" t="s">
        <v>679</v>
      </c>
      <c r="D262" s="133" t="s">
        <v>701</v>
      </c>
      <c r="E262" s="134">
        <v>6</v>
      </c>
      <c r="G262" s="68"/>
      <c r="I262" s="68"/>
      <c r="J262" s="68"/>
      <c r="K262" s="135">
        <v>115000</v>
      </c>
      <c r="L262" s="135">
        <v>65000</v>
      </c>
      <c r="M262" s="135">
        <v>50000</v>
      </c>
      <c r="N262" s="136" t="s">
        <v>706</v>
      </c>
      <c r="O262" s="41">
        <v>6</v>
      </c>
      <c r="P262" s="159">
        <v>2014</v>
      </c>
    </row>
    <row r="263" spans="1:16">
      <c r="A263" s="137">
        <v>11</v>
      </c>
      <c r="B263" s="137" t="s">
        <v>681</v>
      </c>
      <c r="C263" s="138" t="s">
        <v>679</v>
      </c>
      <c r="D263" s="139" t="s">
        <v>701</v>
      </c>
      <c r="E263" s="140">
        <v>7</v>
      </c>
      <c r="F263" s="141"/>
      <c r="G263" s="142"/>
      <c r="H263" s="142"/>
      <c r="I263" s="142"/>
      <c r="J263" s="142"/>
      <c r="K263" s="143"/>
      <c r="L263" s="143"/>
      <c r="M263" s="143"/>
      <c r="N263" s="144"/>
      <c r="O263" s="41">
        <v>6</v>
      </c>
      <c r="P263" s="159">
        <v>2014</v>
      </c>
    </row>
    <row r="264" spans="1:16">
      <c r="A264" s="131">
        <v>11</v>
      </c>
      <c r="B264" s="131" t="s">
        <v>681</v>
      </c>
      <c r="C264" s="132" t="s">
        <v>679</v>
      </c>
      <c r="D264" s="133" t="s">
        <v>701</v>
      </c>
      <c r="E264" s="134">
        <v>7</v>
      </c>
      <c r="F264" s="81" t="s">
        <v>699</v>
      </c>
      <c r="G264" s="68" t="s">
        <v>650</v>
      </c>
      <c r="H264" s="68">
        <v>1</v>
      </c>
      <c r="I264" s="68">
        <v>85000</v>
      </c>
      <c r="J264" s="68">
        <v>85000</v>
      </c>
      <c r="K264" s="135"/>
      <c r="L264" s="135"/>
      <c r="M264" s="135"/>
      <c r="N264" s="136"/>
      <c r="O264" s="41">
        <v>6</v>
      </c>
      <c r="P264" s="159">
        <v>2014</v>
      </c>
    </row>
    <row r="265" spans="1:16">
      <c r="A265" s="131">
        <v>11</v>
      </c>
      <c r="B265" s="131" t="s">
        <v>681</v>
      </c>
      <c r="C265" s="132" t="s">
        <v>679</v>
      </c>
      <c r="D265" s="133" t="s">
        <v>701</v>
      </c>
      <c r="E265" s="134">
        <v>7</v>
      </c>
      <c r="F265" s="81" t="s">
        <v>680</v>
      </c>
      <c r="G265" s="68" t="s">
        <v>651</v>
      </c>
      <c r="H265" s="68">
        <v>1</v>
      </c>
      <c r="I265" s="68">
        <v>98000</v>
      </c>
      <c r="J265" s="68">
        <v>98000</v>
      </c>
      <c r="K265" s="135"/>
      <c r="L265" s="135"/>
      <c r="M265" s="135"/>
      <c r="N265" s="136"/>
      <c r="O265" s="41">
        <v>6</v>
      </c>
      <c r="P265" s="159">
        <v>2014</v>
      </c>
    </row>
    <row r="266" spans="1:16">
      <c r="A266" s="131">
        <v>11</v>
      </c>
      <c r="B266" s="131" t="s">
        <v>681</v>
      </c>
      <c r="C266" s="132" t="s">
        <v>679</v>
      </c>
      <c r="D266" s="133" t="s">
        <v>701</v>
      </c>
      <c r="E266" s="134">
        <v>7</v>
      </c>
      <c r="G266" s="68"/>
      <c r="I266" s="68"/>
      <c r="J266" s="68"/>
      <c r="K266" s="135">
        <v>183000</v>
      </c>
      <c r="L266" s="135">
        <v>83000</v>
      </c>
      <c r="M266" s="135">
        <v>100000</v>
      </c>
      <c r="N266" s="136" t="s">
        <v>700</v>
      </c>
      <c r="O266" s="41">
        <v>6</v>
      </c>
      <c r="P266" s="159">
        <v>2014</v>
      </c>
    </row>
    <row r="267" spans="1:16">
      <c r="A267" s="137">
        <v>11</v>
      </c>
      <c r="B267" s="137" t="s">
        <v>681</v>
      </c>
      <c r="C267" s="138" t="s">
        <v>679</v>
      </c>
      <c r="D267" s="139" t="s">
        <v>701</v>
      </c>
      <c r="E267" s="140">
        <v>8</v>
      </c>
      <c r="F267" s="141"/>
      <c r="G267" s="142"/>
      <c r="H267" s="142"/>
      <c r="I267" s="142"/>
      <c r="J267" s="142"/>
      <c r="K267" s="143"/>
      <c r="L267" s="143"/>
      <c r="M267" s="143"/>
      <c r="N267" s="144"/>
      <c r="O267" s="41">
        <v>6</v>
      </c>
      <c r="P267" s="159">
        <v>2014</v>
      </c>
    </row>
    <row r="268" spans="1:16">
      <c r="A268" s="131">
        <v>11</v>
      </c>
      <c r="B268" s="131" t="s">
        <v>681</v>
      </c>
      <c r="C268" s="132" t="s">
        <v>679</v>
      </c>
      <c r="D268" s="133" t="s">
        <v>701</v>
      </c>
      <c r="E268" s="134">
        <v>8</v>
      </c>
      <c r="F268" s="81" t="s">
        <v>686</v>
      </c>
      <c r="G268" s="68" t="s">
        <v>682</v>
      </c>
      <c r="H268" s="68">
        <v>1</v>
      </c>
      <c r="I268" s="68">
        <v>115000</v>
      </c>
      <c r="J268" s="68">
        <v>115000</v>
      </c>
      <c r="K268" s="135"/>
      <c r="L268" s="135"/>
      <c r="M268" s="135"/>
      <c r="N268" s="136"/>
      <c r="O268" s="41">
        <v>6</v>
      </c>
      <c r="P268" s="159">
        <v>2014</v>
      </c>
    </row>
    <row r="269" spans="1:16">
      <c r="A269" s="131">
        <v>11</v>
      </c>
      <c r="B269" s="131" t="s">
        <v>681</v>
      </c>
      <c r="C269" s="132" t="s">
        <v>679</v>
      </c>
      <c r="D269" s="133" t="s">
        <v>701</v>
      </c>
      <c r="E269" s="134">
        <v>8</v>
      </c>
      <c r="F269" s="81" t="s">
        <v>680</v>
      </c>
      <c r="G269" s="68" t="s">
        <v>651</v>
      </c>
      <c r="H269" s="68">
        <v>1</v>
      </c>
      <c r="I269" s="68">
        <v>98000</v>
      </c>
      <c r="J269" s="68">
        <v>98000</v>
      </c>
      <c r="K269" s="135"/>
      <c r="L269" s="135"/>
      <c r="M269" s="135"/>
      <c r="N269" s="136"/>
      <c r="O269" s="41">
        <v>6</v>
      </c>
      <c r="P269" s="159">
        <v>2014</v>
      </c>
    </row>
    <row r="270" spans="1:16">
      <c r="A270" s="131">
        <v>11</v>
      </c>
      <c r="B270" s="131" t="s">
        <v>681</v>
      </c>
      <c r="C270" s="132" t="s">
        <v>679</v>
      </c>
      <c r="D270" s="133" t="s">
        <v>701</v>
      </c>
      <c r="E270" s="134">
        <v>8</v>
      </c>
      <c r="G270" s="68"/>
      <c r="I270" s="68"/>
      <c r="J270" s="68"/>
      <c r="K270" s="135">
        <v>213000</v>
      </c>
      <c r="L270" s="135">
        <v>113000</v>
      </c>
      <c r="M270" s="135">
        <v>100000</v>
      </c>
      <c r="N270" s="136" t="s">
        <v>700</v>
      </c>
      <c r="O270" s="41">
        <v>6</v>
      </c>
      <c r="P270" s="159">
        <v>2014</v>
      </c>
    </row>
    <row r="271" spans="1:16">
      <c r="A271" s="137">
        <v>11</v>
      </c>
      <c r="B271" s="137" t="s">
        <v>681</v>
      </c>
      <c r="C271" s="138" t="s">
        <v>679</v>
      </c>
      <c r="D271" s="139" t="s">
        <v>701</v>
      </c>
      <c r="E271" s="140">
        <v>9</v>
      </c>
      <c r="F271" s="141"/>
      <c r="G271" s="142"/>
      <c r="H271" s="142"/>
      <c r="I271" s="142"/>
      <c r="J271" s="142"/>
      <c r="K271" s="143"/>
      <c r="L271" s="143"/>
      <c r="M271" s="143"/>
      <c r="N271" s="144"/>
      <c r="O271" s="41">
        <v>6</v>
      </c>
      <c r="P271" s="159">
        <v>2014</v>
      </c>
    </row>
    <row r="272" spans="1:16">
      <c r="A272" s="131">
        <v>11</v>
      </c>
      <c r="B272" s="131" t="s">
        <v>681</v>
      </c>
      <c r="C272" s="132" t="s">
        <v>679</v>
      </c>
      <c r="D272" s="133" t="s">
        <v>701</v>
      </c>
      <c r="E272" s="134">
        <v>9</v>
      </c>
      <c r="F272" s="81" t="s">
        <v>686</v>
      </c>
      <c r="G272" s="68" t="s">
        <v>682</v>
      </c>
      <c r="H272" s="68">
        <v>1</v>
      </c>
      <c r="I272" s="68">
        <v>115000</v>
      </c>
      <c r="J272" s="68">
        <v>115000</v>
      </c>
      <c r="K272" s="135"/>
      <c r="L272" s="135"/>
      <c r="M272" s="135"/>
      <c r="N272" s="136"/>
      <c r="O272" s="41">
        <v>6</v>
      </c>
      <c r="P272" s="159">
        <v>2014</v>
      </c>
    </row>
    <row r="273" spans="1:16">
      <c r="A273" s="131">
        <v>11</v>
      </c>
      <c r="B273" s="131" t="s">
        <v>681</v>
      </c>
      <c r="C273" s="132" t="s">
        <v>679</v>
      </c>
      <c r="D273" s="133" t="s">
        <v>701</v>
      </c>
      <c r="E273" s="134">
        <v>9</v>
      </c>
      <c r="F273" s="81" t="s">
        <v>680</v>
      </c>
      <c r="G273" s="68" t="s">
        <v>651</v>
      </c>
      <c r="H273" s="68">
        <v>1</v>
      </c>
      <c r="I273" s="68">
        <v>98000</v>
      </c>
      <c r="J273" s="68">
        <v>98000</v>
      </c>
      <c r="K273" s="135"/>
      <c r="L273" s="135"/>
      <c r="M273" s="135"/>
      <c r="N273" s="136"/>
      <c r="O273" s="41">
        <v>6</v>
      </c>
      <c r="P273" s="159">
        <v>2014</v>
      </c>
    </row>
    <row r="274" spans="1:16">
      <c r="A274" s="131">
        <v>11</v>
      </c>
      <c r="B274" s="131" t="s">
        <v>681</v>
      </c>
      <c r="C274" s="132" t="s">
        <v>679</v>
      </c>
      <c r="D274" s="133" t="s">
        <v>701</v>
      </c>
      <c r="E274" s="134">
        <v>9</v>
      </c>
      <c r="G274" s="68"/>
      <c r="I274" s="68"/>
      <c r="J274" s="68"/>
      <c r="K274" s="135">
        <v>213000</v>
      </c>
      <c r="L274" s="135">
        <v>113000</v>
      </c>
      <c r="M274" s="135">
        <v>100000</v>
      </c>
      <c r="N274" s="136" t="s">
        <v>706</v>
      </c>
      <c r="O274" s="41">
        <v>6</v>
      </c>
      <c r="P274" s="159">
        <v>2014</v>
      </c>
    </row>
    <row r="275" spans="1:16">
      <c r="A275" s="137">
        <v>11</v>
      </c>
      <c r="B275" s="137" t="s">
        <v>681</v>
      </c>
      <c r="C275" s="138" t="s">
        <v>679</v>
      </c>
      <c r="D275" s="139" t="s">
        <v>701</v>
      </c>
      <c r="E275" s="140">
        <v>10</v>
      </c>
      <c r="F275" s="141"/>
      <c r="G275" s="142"/>
      <c r="H275" s="142"/>
      <c r="I275" s="142"/>
      <c r="J275" s="142"/>
      <c r="K275" s="143"/>
      <c r="L275" s="143"/>
      <c r="M275" s="143"/>
      <c r="N275" s="144"/>
      <c r="O275" s="41">
        <v>6</v>
      </c>
      <c r="P275" s="159">
        <v>2014</v>
      </c>
    </row>
    <row r="276" spans="1:16">
      <c r="A276" s="131">
        <v>11</v>
      </c>
      <c r="B276" s="131" t="s">
        <v>681</v>
      </c>
      <c r="C276" s="132" t="s">
        <v>679</v>
      </c>
      <c r="D276" s="133" t="s">
        <v>701</v>
      </c>
      <c r="E276" s="134">
        <v>10</v>
      </c>
      <c r="F276" s="81" t="s">
        <v>686</v>
      </c>
      <c r="G276" s="68" t="s">
        <v>682</v>
      </c>
      <c r="H276" s="68">
        <v>1</v>
      </c>
      <c r="I276" s="68">
        <v>115000</v>
      </c>
      <c r="J276" s="68">
        <v>115000</v>
      </c>
      <c r="K276" s="135"/>
      <c r="L276" s="135"/>
      <c r="M276" s="135"/>
      <c r="N276" s="136"/>
      <c r="O276" s="41">
        <v>6</v>
      </c>
      <c r="P276" s="159">
        <v>2014</v>
      </c>
    </row>
    <row r="277" spans="1:16">
      <c r="A277" s="131">
        <v>11</v>
      </c>
      <c r="B277" s="131" t="s">
        <v>681</v>
      </c>
      <c r="C277" s="132" t="s">
        <v>679</v>
      </c>
      <c r="D277" s="133" t="s">
        <v>701</v>
      </c>
      <c r="E277" s="134">
        <v>10</v>
      </c>
      <c r="G277" s="68"/>
      <c r="I277" s="68"/>
      <c r="J277" s="68"/>
      <c r="K277" s="135">
        <v>115000</v>
      </c>
      <c r="L277" s="135">
        <v>65000</v>
      </c>
      <c r="M277" s="135">
        <v>50000</v>
      </c>
      <c r="N277" s="136" t="s">
        <v>700</v>
      </c>
      <c r="O277" s="41">
        <v>6</v>
      </c>
      <c r="P277" s="159">
        <v>2014</v>
      </c>
    </row>
    <row r="278" spans="1:16">
      <c r="A278" s="137">
        <v>11</v>
      </c>
      <c r="B278" s="137" t="s">
        <v>681</v>
      </c>
      <c r="C278" s="138" t="s">
        <v>679</v>
      </c>
      <c r="D278" s="139" t="s">
        <v>701</v>
      </c>
      <c r="E278" s="140">
        <v>11</v>
      </c>
      <c r="F278" s="141"/>
      <c r="G278" s="142"/>
      <c r="H278" s="142"/>
      <c r="I278" s="142"/>
      <c r="J278" s="142"/>
      <c r="K278" s="143"/>
      <c r="L278" s="143"/>
      <c r="M278" s="143"/>
      <c r="N278" s="144"/>
      <c r="O278" s="41">
        <v>6</v>
      </c>
      <c r="P278" s="159">
        <v>2014</v>
      </c>
    </row>
    <row r="279" spans="1:16">
      <c r="A279" s="131">
        <v>11</v>
      </c>
      <c r="B279" s="131" t="s">
        <v>681</v>
      </c>
      <c r="C279" s="132" t="s">
        <v>679</v>
      </c>
      <c r="D279" s="133" t="s">
        <v>701</v>
      </c>
      <c r="E279" s="134">
        <v>11</v>
      </c>
      <c r="F279" s="81" t="s">
        <v>680</v>
      </c>
      <c r="G279" s="68" t="s">
        <v>651</v>
      </c>
      <c r="H279" s="68">
        <v>1</v>
      </c>
      <c r="I279" s="68">
        <v>98000</v>
      </c>
      <c r="J279" s="68">
        <v>98000</v>
      </c>
      <c r="K279" s="135"/>
      <c r="L279" s="135"/>
      <c r="M279" s="135"/>
      <c r="N279" s="136"/>
      <c r="O279" s="41">
        <v>6</v>
      </c>
      <c r="P279" s="159">
        <v>2014</v>
      </c>
    </row>
    <row r="280" spans="1:16">
      <c r="A280" s="131">
        <v>11</v>
      </c>
      <c r="B280" s="131" t="s">
        <v>681</v>
      </c>
      <c r="C280" s="132" t="s">
        <v>679</v>
      </c>
      <c r="D280" s="133" t="s">
        <v>701</v>
      </c>
      <c r="E280" s="134">
        <v>11</v>
      </c>
      <c r="G280" s="68"/>
      <c r="I280" s="68"/>
      <c r="J280" s="68"/>
      <c r="K280" s="135">
        <v>98000</v>
      </c>
      <c r="L280" s="135">
        <v>48000</v>
      </c>
      <c r="M280" s="135">
        <v>50000</v>
      </c>
      <c r="N280" s="136" t="s">
        <v>700</v>
      </c>
      <c r="O280" s="41">
        <v>6</v>
      </c>
      <c r="P280" s="159">
        <v>2014</v>
      </c>
    </row>
    <row r="281" spans="1:16">
      <c r="A281" s="137">
        <v>11</v>
      </c>
      <c r="B281" s="137" t="s">
        <v>681</v>
      </c>
      <c r="C281" s="138" t="s">
        <v>679</v>
      </c>
      <c r="D281" s="139" t="s">
        <v>701</v>
      </c>
      <c r="E281" s="140">
        <v>12</v>
      </c>
      <c r="F281" s="141"/>
      <c r="G281" s="142"/>
      <c r="H281" s="142"/>
      <c r="I281" s="142"/>
      <c r="J281" s="142"/>
      <c r="K281" s="143"/>
      <c r="L281" s="143"/>
      <c r="M281" s="143"/>
      <c r="N281" s="144"/>
      <c r="O281" s="41">
        <v>6</v>
      </c>
      <c r="P281" s="159">
        <v>2014</v>
      </c>
    </row>
    <row r="282" spans="1:16">
      <c r="A282" s="131">
        <v>11</v>
      </c>
      <c r="B282" s="131" t="s">
        <v>681</v>
      </c>
      <c r="C282" s="132" t="s">
        <v>679</v>
      </c>
      <c r="D282" s="133" t="s">
        <v>701</v>
      </c>
      <c r="E282" s="134">
        <v>12</v>
      </c>
      <c r="F282" s="81" t="s">
        <v>686</v>
      </c>
      <c r="G282" s="68" t="s">
        <v>682</v>
      </c>
      <c r="H282" s="68">
        <v>1</v>
      </c>
      <c r="I282" s="68">
        <v>115000</v>
      </c>
      <c r="J282" s="68">
        <v>115000</v>
      </c>
      <c r="K282" s="135"/>
      <c r="L282" s="135"/>
      <c r="M282" s="135"/>
      <c r="N282" s="136"/>
      <c r="O282" s="41">
        <v>6</v>
      </c>
      <c r="P282" s="159">
        <v>2014</v>
      </c>
    </row>
    <row r="283" spans="1:16">
      <c r="A283" s="131">
        <v>11</v>
      </c>
      <c r="B283" s="131" t="s">
        <v>681</v>
      </c>
      <c r="C283" s="132" t="s">
        <v>679</v>
      </c>
      <c r="D283" s="133" t="s">
        <v>701</v>
      </c>
      <c r="E283" s="134">
        <v>12</v>
      </c>
      <c r="F283" s="81" t="s">
        <v>680</v>
      </c>
      <c r="G283" s="68" t="s">
        <v>651</v>
      </c>
      <c r="H283" s="68">
        <v>1</v>
      </c>
      <c r="I283" s="68">
        <v>98000</v>
      </c>
      <c r="J283" s="68">
        <v>98000</v>
      </c>
      <c r="K283" s="135"/>
      <c r="L283" s="135"/>
      <c r="M283" s="135"/>
      <c r="N283" s="136"/>
      <c r="O283" s="41">
        <v>6</v>
      </c>
      <c r="P283" s="159">
        <v>2014</v>
      </c>
    </row>
    <row r="284" spans="1:16">
      <c r="A284" s="131">
        <v>11</v>
      </c>
      <c r="B284" s="131" t="s">
        <v>681</v>
      </c>
      <c r="C284" s="132" t="s">
        <v>679</v>
      </c>
      <c r="D284" s="133" t="s">
        <v>701</v>
      </c>
      <c r="E284" s="134">
        <v>12</v>
      </c>
      <c r="G284" s="68"/>
      <c r="I284" s="68"/>
      <c r="J284" s="68"/>
      <c r="K284" s="135">
        <v>213000</v>
      </c>
      <c r="L284" s="135">
        <v>113000</v>
      </c>
      <c r="M284" s="135">
        <v>100000</v>
      </c>
      <c r="N284" s="136" t="s">
        <v>706</v>
      </c>
      <c r="O284" s="41">
        <v>6</v>
      </c>
      <c r="P284" s="159">
        <v>2014</v>
      </c>
    </row>
    <row r="285" spans="1:16">
      <c r="A285" s="137">
        <v>11</v>
      </c>
      <c r="B285" s="137" t="s">
        <v>681</v>
      </c>
      <c r="C285" s="138" t="s">
        <v>679</v>
      </c>
      <c r="D285" s="139" t="s">
        <v>701</v>
      </c>
      <c r="E285" s="140">
        <v>13</v>
      </c>
      <c r="F285" s="141"/>
      <c r="G285" s="142"/>
      <c r="H285" s="142"/>
      <c r="I285" s="142"/>
      <c r="J285" s="142"/>
      <c r="K285" s="143"/>
      <c r="L285" s="143"/>
      <c r="M285" s="143"/>
      <c r="N285" s="144"/>
      <c r="O285" s="41">
        <v>6</v>
      </c>
      <c r="P285" s="159">
        <v>2014</v>
      </c>
    </row>
    <row r="286" spans="1:16">
      <c r="A286" s="131">
        <v>11</v>
      </c>
      <c r="B286" s="131" t="s">
        <v>681</v>
      </c>
      <c r="C286" s="132" t="s">
        <v>679</v>
      </c>
      <c r="D286" s="133" t="s">
        <v>701</v>
      </c>
      <c r="E286" s="134">
        <v>13</v>
      </c>
      <c r="F286" s="81" t="s">
        <v>699</v>
      </c>
      <c r="G286" s="68" t="s">
        <v>650</v>
      </c>
      <c r="H286" s="68">
        <v>1</v>
      </c>
      <c r="I286" s="68">
        <v>85000</v>
      </c>
      <c r="J286" s="68">
        <v>85000</v>
      </c>
      <c r="K286" s="135"/>
      <c r="L286" s="135"/>
      <c r="M286" s="135"/>
      <c r="N286" s="136"/>
      <c r="O286" s="41">
        <v>6</v>
      </c>
      <c r="P286" s="159">
        <v>2014</v>
      </c>
    </row>
    <row r="287" spans="1:16">
      <c r="A287" s="131">
        <v>11</v>
      </c>
      <c r="B287" s="131" t="s">
        <v>681</v>
      </c>
      <c r="C287" s="132" t="s">
        <v>679</v>
      </c>
      <c r="D287" s="133" t="s">
        <v>701</v>
      </c>
      <c r="E287" s="134">
        <v>13</v>
      </c>
      <c r="F287" s="81" t="s">
        <v>680</v>
      </c>
      <c r="G287" s="68" t="s">
        <v>651</v>
      </c>
      <c r="H287" s="68">
        <v>1</v>
      </c>
      <c r="I287" s="68">
        <v>98000</v>
      </c>
      <c r="J287" s="68">
        <v>98000</v>
      </c>
      <c r="K287" s="135"/>
      <c r="L287" s="135"/>
      <c r="M287" s="135"/>
      <c r="N287" s="136"/>
      <c r="O287" s="41">
        <v>6</v>
      </c>
      <c r="P287" s="159">
        <v>2014</v>
      </c>
    </row>
    <row r="288" spans="1:16">
      <c r="A288" s="131">
        <v>11</v>
      </c>
      <c r="B288" s="131" t="s">
        <v>681</v>
      </c>
      <c r="C288" s="132" t="s">
        <v>679</v>
      </c>
      <c r="D288" s="133" t="s">
        <v>701</v>
      </c>
      <c r="E288" s="134">
        <v>13</v>
      </c>
      <c r="F288" s="81" t="s">
        <v>694</v>
      </c>
      <c r="G288" s="68" t="s">
        <v>652</v>
      </c>
      <c r="H288" s="68">
        <v>1</v>
      </c>
      <c r="I288" s="68">
        <v>98000</v>
      </c>
      <c r="J288" s="68">
        <v>98000</v>
      </c>
      <c r="K288" s="135"/>
      <c r="L288" s="135"/>
      <c r="M288" s="135"/>
      <c r="N288" s="136"/>
      <c r="O288" s="41">
        <v>6</v>
      </c>
      <c r="P288" s="159">
        <v>2014</v>
      </c>
    </row>
    <row r="289" spans="1:16">
      <c r="A289" s="131">
        <v>11</v>
      </c>
      <c r="B289" s="131" t="s">
        <v>681</v>
      </c>
      <c r="C289" s="132" t="s">
        <v>679</v>
      </c>
      <c r="D289" s="133" t="s">
        <v>701</v>
      </c>
      <c r="E289" s="134">
        <v>13</v>
      </c>
      <c r="F289" s="81" t="s">
        <v>686</v>
      </c>
      <c r="G289" s="68" t="s">
        <v>682</v>
      </c>
      <c r="H289" s="68">
        <v>1</v>
      </c>
      <c r="I289" s="68">
        <v>115000</v>
      </c>
      <c r="J289" s="68">
        <v>115000</v>
      </c>
      <c r="K289" s="135"/>
      <c r="L289" s="135"/>
      <c r="M289" s="135"/>
      <c r="N289" s="136"/>
      <c r="O289" s="41">
        <v>6</v>
      </c>
      <c r="P289" s="159">
        <v>2014</v>
      </c>
    </row>
    <row r="290" spans="1:16">
      <c r="A290" s="131">
        <v>11</v>
      </c>
      <c r="B290" s="131" t="s">
        <v>681</v>
      </c>
      <c r="C290" s="132" t="s">
        <v>679</v>
      </c>
      <c r="D290" s="133" t="s">
        <v>701</v>
      </c>
      <c r="E290" s="134">
        <v>13</v>
      </c>
      <c r="G290" s="68"/>
      <c r="I290" s="68"/>
      <c r="J290" s="68"/>
      <c r="K290" s="135">
        <v>396000</v>
      </c>
      <c r="L290" s="135">
        <v>196000</v>
      </c>
      <c r="M290" s="135">
        <v>200000</v>
      </c>
      <c r="N290" s="136" t="s">
        <v>700</v>
      </c>
      <c r="O290" s="41">
        <v>6</v>
      </c>
      <c r="P290" s="159">
        <v>2014</v>
      </c>
    </row>
    <row r="291" spans="1:16">
      <c r="A291" s="137">
        <v>11</v>
      </c>
      <c r="B291" s="137" t="s">
        <v>681</v>
      </c>
      <c r="C291" s="138" t="s">
        <v>679</v>
      </c>
      <c r="D291" s="139" t="s">
        <v>701</v>
      </c>
      <c r="E291" s="140">
        <v>14</v>
      </c>
      <c r="F291" s="141"/>
      <c r="G291" s="142"/>
      <c r="H291" s="142"/>
      <c r="I291" s="142"/>
      <c r="J291" s="142"/>
      <c r="K291" s="143"/>
      <c r="L291" s="143"/>
      <c r="M291" s="143"/>
      <c r="N291" s="144"/>
      <c r="O291" s="41">
        <v>6</v>
      </c>
      <c r="P291" s="159">
        <v>2014</v>
      </c>
    </row>
    <row r="292" spans="1:16">
      <c r="A292" s="131">
        <v>11</v>
      </c>
      <c r="B292" s="131" t="s">
        <v>681</v>
      </c>
      <c r="C292" s="132" t="s">
        <v>679</v>
      </c>
      <c r="D292" s="133" t="s">
        <v>701</v>
      </c>
      <c r="E292" s="134">
        <v>14</v>
      </c>
      <c r="F292" s="81" t="s">
        <v>680</v>
      </c>
      <c r="G292" s="68" t="s">
        <v>651</v>
      </c>
      <c r="H292" s="68">
        <v>1</v>
      </c>
      <c r="I292" s="68">
        <v>98000</v>
      </c>
      <c r="J292" s="68">
        <v>98000</v>
      </c>
      <c r="K292" s="135"/>
      <c r="L292" s="135"/>
      <c r="M292" s="135"/>
      <c r="N292" s="136"/>
      <c r="O292" s="41">
        <v>6</v>
      </c>
      <c r="P292" s="159">
        <v>2014</v>
      </c>
    </row>
    <row r="293" spans="1:16">
      <c r="A293" s="131">
        <v>11</v>
      </c>
      <c r="B293" s="131" t="s">
        <v>681</v>
      </c>
      <c r="C293" s="132" t="s">
        <v>679</v>
      </c>
      <c r="D293" s="133" t="s">
        <v>701</v>
      </c>
      <c r="E293" s="134">
        <v>14</v>
      </c>
      <c r="G293" s="68"/>
      <c r="I293" s="68"/>
      <c r="J293" s="68"/>
      <c r="K293" s="135">
        <v>98000</v>
      </c>
      <c r="L293" s="135">
        <v>48000</v>
      </c>
      <c r="M293" s="135">
        <v>50000</v>
      </c>
      <c r="N293" s="136" t="s">
        <v>700</v>
      </c>
      <c r="O293" s="41">
        <v>6</v>
      </c>
      <c r="P293" s="159">
        <v>2014</v>
      </c>
    </row>
    <row r="294" spans="1:16">
      <c r="A294" s="145">
        <v>12</v>
      </c>
      <c r="B294" s="145" t="s">
        <v>684</v>
      </c>
      <c r="C294" s="146" t="s">
        <v>687</v>
      </c>
      <c r="D294" s="147" t="s">
        <v>701</v>
      </c>
      <c r="E294" s="148">
        <v>1</v>
      </c>
      <c r="F294" s="141"/>
      <c r="G294" s="149"/>
      <c r="H294" s="142"/>
      <c r="I294" s="149"/>
      <c r="J294" s="149"/>
      <c r="K294" s="150"/>
      <c r="L294" s="150"/>
      <c r="M294" s="150"/>
      <c r="N294" s="151"/>
      <c r="O294" s="41">
        <v>6</v>
      </c>
      <c r="P294" s="159">
        <v>2014</v>
      </c>
    </row>
    <row r="295" spans="1:16">
      <c r="A295" s="43">
        <v>12</v>
      </c>
      <c r="B295" s="43" t="s">
        <v>684</v>
      </c>
      <c r="C295" s="52" t="s">
        <v>687</v>
      </c>
      <c r="D295" s="94" t="s">
        <v>701</v>
      </c>
      <c r="E295" s="89">
        <v>1</v>
      </c>
      <c r="F295" s="81" t="s">
        <v>699</v>
      </c>
      <c r="G295" t="s">
        <v>650</v>
      </c>
      <c r="H295" s="68">
        <v>3</v>
      </c>
      <c r="I295">
        <v>85000</v>
      </c>
      <c r="J295">
        <v>255000</v>
      </c>
      <c r="O295" s="41">
        <v>6</v>
      </c>
      <c r="P295" s="159">
        <v>2014</v>
      </c>
    </row>
    <row r="296" spans="1:16">
      <c r="A296" s="43">
        <v>12</v>
      </c>
      <c r="B296" s="43" t="s">
        <v>684</v>
      </c>
      <c r="C296" s="52" t="s">
        <v>687</v>
      </c>
      <c r="D296" s="94" t="s">
        <v>701</v>
      </c>
      <c r="E296" s="89">
        <v>1</v>
      </c>
      <c r="F296" s="81" t="s">
        <v>680</v>
      </c>
      <c r="G296" t="s">
        <v>651</v>
      </c>
      <c r="H296" s="68">
        <v>15</v>
      </c>
      <c r="I296">
        <v>98000</v>
      </c>
      <c r="J296">
        <v>1470000</v>
      </c>
      <c r="O296" s="41">
        <v>6</v>
      </c>
      <c r="P296" s="159">
        <v>2014</v>
      </c>
    </row>
    <row r="297" spans="1:16">
      <c r="A297" s="43">
        <v>12</v>
      </c>
      <c r="B297" s="43" t="s">
        <v>684</v>
      </c>
      <c r="C297" s="52" t="s">
        <v>687</v>
      </c>
      <c r="D297" s="94" t="s">
        <v>701</v>
      </c>
      <c r="E297" s="89">
        <v>1</v>
      </c>
      <c r="F297" s="81" t="s">
        <v>694</v>
      </c>
      <c r="G297" t="s">
        <v>652</v>
      </c>
      <c r="H297" s="68">
        <v>5</v>
      </c>
      <c r="I297">
        <v>98000</v>
      </c>
      <c r="J297">
        <v>490000</v>
      </c>
      <c r="O297" s="41">
        <v>6</v>
      </c>
      <c r="P297" s="159">
        <v>2014</v>
      </c>
    </row>
    <row r="298" spans="1:16">
      <c r="A298" s="43">
        <v>12</v>
      </c>
      <c r="B298" s="43" t="s">
        <v>684</v>
      </c>
      <c r="C298" s="52" t="s">
        <v>687</v>
      </c>
      <c r="D298" s="94" t="s">
        <v>701</v>
      </c>
      <c r="E298" s="89">
        <v>1</v>
      </c>
      <c r="F298" s="81" t="s">
        <v>686</v>
      </c>
      <c r="G298" t="s">
        <v>682</v>
      </c>
      <c r="H298" s="68">
        <v>20</v>
      </c>
      <c r="I298">
        <v>115000</v>
      </c>
      <c r="J298">
        <v>2300000</v>
      </c>
      <c r="O298" s="41">
        <v>6</v>
      </c>
      <c r="P298" s="159">
        <v>2014</v>
      </c>
    </row>
    <row r="299" spans="1:16">
      <c r="A299" s="43">
        <v>12</v>
      </c>
      <c r="B299" s="43" t="s">
        <v>684</v>
      </c>
      <c r="C299" s="52" t="s">
        <v>687</v>
      </c>
      <c r="D299" s="94" t="s">
        <v>701</v>
      </c>
      <c r="E299" s="89">
        <v>1</v>
      </c>
      <c r="K299" s="41">
        <v>4515000</v>
      </c>
      <c r="L299" s="41">
        <v>2365000</v>
      </c>
      <c r="M299" s="41">
        <v>2150000</v>
      </c>
      <c r="N299" s="40" t="s">
        <v>706</v>
      </c>
      <c r="O299" s="41">
        <v>6</v>
      </c>
      <c r="P299" s="159">
        <v>2014</v>
      </c>
    </row>
    <row r="300" spans="1:16">
      <c r="A300" s="137">
        <v>13</v>
      </c>
      <c r="B300" s="137" t="s">
        <v>681</v>
      </c>
      <c r="C300" s="138" t="s">
        <v>679</v>
      </c>
      <c r="D300" s="139" t="s">
        <v>701</v>
      </c>
      <c r="E300" s="140">
        <v>1</v>
      </c>
      <c r="F300" s="141"/>
      <c r="G300" s="142"/>
      <c r="H300" s="142"/>
      <c r="I300" s="142"/>
      <c r="J300" s="142"/>
      <c r="K300" s="143"/>
      <c r="L300" s="143"/>
      <c r="M300" s="143"/>
      <c r="N300" s="144"/>
      <c r="O300" s="41">
        <v>6</v>
      </c>
      <c r="P300" s="159">
        <v>2014</v>
      </c>
    </row>
    <row r="301" spans="1:16">
      <c r="A301" s="131">
        <v>13</v>
      </c>
      <c r="B301" s="131" t="s">
        <v>681</v>
      </c>
      <c r="C301" s="132" t="s">
        <v>679</v>
      </c>
      <c r="D301" s="133" t="s">
        <v>701</v>
      </c>
      <c r="E301" s="134">
        <v>1</v>
      </c>
      <c r="F301" s="81" t="s">
        <v>694</v>
      </c>
      <c r="G301" s="68" t="s">
        <v>652</v>
      </c>
      <c r="H301" s="68">
        <v>1</v>
      </c>
      <c r="I301" s="68">
        <v>98000</v>
      </c>
      <c r="J301" s="68">
        <v>98000</v>
      </c>
      <c r="K301" s="135"/>
      <c r="L301" s="135"/>
      <c r="M301" s="135"/>
      <c r="N301" s="136"/>
      <c r="O301" s="41">
        <v>6</v>
      </c>
      <c r="P301" s="159">
        <v>2014</v>
      </c>
    </row>
    <row r="302" spans="1:16">
      <c r="A302" s="131">
        <v>13</v>
      </c>
      <c r="B302" s="131" t="s">
        <v>681</v>
      </c>
      <c r="C302" s="132" t="s">
        <v>679</v>
      </c>
      <c r="D302" s="133" t="s">
        <v>701</v>
      </c>
      <c r="E302" s="134">
        <v>1</v>
      </c>
      <c r="G302" s="68"/>
      <c r="I302" s="68"/>
      <c r="J302" s="68"/>
      <c r="K302" s="135">
        <v>98000</v>
      </c>
      <c r="L302" s="135">
        <v>48000</v>
      </c>
      <c r="M302" s="135">
        <v>50000</v>
      </c>
      <c r="N302" s="136" t="s">
        <v>700</v>
      </c>
      <c r="O302" s="41">
        <v>6</v>
      </c>
      <c r="P302" s="159">
        <v>2014</v>
      </c>
    </row>
    <row r="303" spans="1:16">
      <c r="A303" s="137">
        <v>13</v>
      </c>
      <c r="B303" s="137" t="s">
        <v>681</v>
      </c>
      <c r="C303" s="138" t="s">
        <v>679</v>
      </c>
      <c r="D303" s="139" t="s">
        <v>701</v>
      </c>
      <c r="E303" s="140">
        <v>2</v>
      </c>
      <c r="F303" s="141"/>
      <c r="G303" s="142"/>
      <c r="H303" s="142"/>
      <c r="I303" s="142"/>
      <c r="J303" s="142"/>
      <c r="K303" s="143"/>
      <c r="L303" s="143"/>
      <c r="M303" s="143"/>
      <c r="N303" s="144"/>
      <c r="O303" s="41">
        <v>6</v>
      </c>
      <c r="P303" s="159">
        <v>2014</v>
      </c>
    </row>
    <row r="304" spans="1:16">
      <c r="A304" s="131">
        <v>13</v>
      </c>
      <c r="B304" s="131" t="s">
        <v>681</v>
      </c>
      <c r="C304" s="132" t="s">
        <v>679</v>
      </c>
      <c r="D304" s="133" t="s">
        <v>701</v>
      </c>
      <c r="E304" s="134">
        <v>2</v>
      </c>
      <c r="F304" s="81" t="s">
        <v>694</v>
      </c>
      <c r="G304" s="68" t="s">
        <v>652</v>
      </c>
      <c r="H304" s="68">
        <v>1</v>
      </c>
      <c r="I304" s="68">
        <v>98000</v>
      </c>
      <c r="J304" s="68">
        <v>98000</v>
      </c>
      <c r="K304" s="135"/>
      <c r="L304" s="135"/>
      <c r="M304" s="135"/>
      <c r="N304" s="136"/>
      <c r="O304" s="41">
        <v>6</v>
      </c>
      <c r="P304" s="159">
        <v>2014</v>
      </c>
    </row>
    <row r="305" spans="1:16">
      <c r="A305" s="131">
        <v>13</v>
      </c>
      <c r="B305" s="131" t="s">
        <v>681</v>
      </c>
      <c r="C305" s="132" t="s">
        <v>679</v>
      </c>
      <c r="D305" s="133" t="s">
        <v>701</v>
      </c>
      <c r="E305" s="134">
        <v>2</v>
      </c>
      <c r="F305" s="81" t="s">
        <v>680</v>
      </c>
      <c r="G305" s="68" t="s">
        <v>651</v>
      </c>
      <c r="H305" s="68">
        <v>1</v>
      </c>
      <c r="I305" s="68">
        <v>98000</v>
      </c>
      <c r="J305" s="68">
        <v>98000</v>
      </c>
      <c r="K305" s="135"/>
      <c r="L305" s="135"/>
      <c r="M305" s="135"/>
      <c r="N305" s="136"/>
      <c r="O305" s="41">
        <v>6</v>
      </c>
      <c r="P305" s="159">
        <v>2014</v>
      </c>
    </row>
    <row r="306" spans="1:16">
      <c r="A306" s="131">
        <v>13</v>
      </c>
      <c r="B306" s="131" t="s">
        <v>681</v>
      </c>
      <c r="C306" s="132" t="s">
        <v>679</v>
      </c>
      <c r="D306" s="133" t="s">
        <v>701</v>
      </c>
      <c r="E306" s="134">
        <v>2</v>
      </c>
      <c r="G306" s="68"/>
      <c r="I306" s="68"/>
      <c r="J306" s="68"/>
      <c r="K306" s="135">
        <v>196000</v>
      </c>
      <c r="L306" s="135">
        <v>96000</v>
      </c>
      <c r="M306" s="135">
        <v>100000</v>
      </c>
      <c r="N306" s="136" t="s">
        <v>700</v>
      </c>
      <c r="O306" s="41">
        <v>6</v>
      </c>
      <c r="P306" s="159">
        <v>2014</v>
      </c>
    </row>
    <row r="307" spans="1:16">
      <c r="A307" s="137">
        <v>13</v>
      </c>
      <c r="B307" s="137" t="s">
        <v>681</v>
      </c>
      <c r="C307" s="138" t="s">
        <v>679</v>
      </c>
      <c r="D307" s="139" t="s">
        <v>701</v>
      </c>
      <c r="E307" s="140">
        <v>3</v>
      </c>
      <c r="F307" s="141"/>
      <c r="G307" s="142"/>
      <c r="H307" s="142"/>
      <c r="I307" s="142"/>
      <c r="J307" s="142"/>
      <c r="K307" s="143"/>
      <c r="L307" s="143"/>
      <c r="M307" s="143"/>
      <c r="N307" s="144"/>
      <c r="O307" s="41">
        <v>6</v>
      </c>
      <c r="P307" s="159">
        <v>2014</v>
      </c>
    </row>
    <row r="308" spans="1:16">
      <c r="A308" s="131">
        <v>13</v>
      </c>
      <c r="B308" s="131" t="s">
        <v>681</v>
      </c>
      <c r="C308" s="132" t="s">
        <v>679</v>
      </c>
      <c r="D308" s="133" t="s">
        <v>701</v>
      </c>
      <c r="E308" s="134">
        <v>3</v>
      </c>
      <c r="F308" s="81" t="s">
        <v>680</v>
      </c>
      <c r="G308" s="68" t="s">
        <v>651</v>
      </c>
      <c r="H308" s="68">
        <v>1</v>
      </c>
      <c r="I308" s="68">
        <v>98000</v>
      </c>
      <c r="J308" s="68">
        <v>98000</v>
      </c>
      <c r="K308" s="135"/>
      <c r="L308" s="135"/>
      <c r="M308" s="135"/>
      <c r="N308" s="136"/>
      <c r="O308" s="41">
        <v>6</v>
      </c>
      <c r="P308" s="159">
        <v>2014</v>
      </c>
    </row>
    <row r="309" spans="1:16">
      <c r="A309" s="131">
        <v>13</v>
      </c>
      <c r="B309" s="131" t="s">
        <v>681</v>
      </c>
      <c r="C309" s="132" t="s">
        <v>679</v>
      </c>
      <c r="D309" s="133" t="s">
        <v>701</v>
      </c>
      <c r="E309" s="134">
        <v>3</v>
      </c>
      <c r="G309" s="68"/>
      <c r="I309" s="68"/>
      <c r="J309" s="68"/>
      <c r="K309" s="135">
        <v>98000</v>
      </c>
      <c r="L309" s="135">
        <v>48000</v>
      </c>
      <c r="M309" s="135">
        <v>50000</v>
      </c>
      <c r="N309" s="136" t="s">
        <v>700</v>
      </c>
      <c r="O309" s="41">
        <v>6</v>
      </c>
      <c r="P309" s="159">
        <v>2014</v>
      </c>
    </row>
    <row r="310" spans="1:16">
      <c r="A310" s="137">
        <v>13</v>
      </c>
      <c r="B310" s="137" t="s">
        <v>681</v>
      </c>
      <c r="C310" s="138" t="s">
        <v>679</v>
      </c>
      <c r="D310" s="139" t="s">
        <v>701</v>
      </c>
      <c r="E310" s="140">
        <v>4</v>
      </c>
      <c r="F310" s="141"/>
      <c r="G310" s="142"/>
      <c r="H310" s="142"/>
      <c r="I310" s="142"/>
      <c r="J310" s="142"/>
      <c r="K310" s="143"/>
      <c r="L310" s="143"/>
      <c r="M310" s="143"/>
      <c r="N310" s="144"/>
      <c r="O310" s="41">
        <v>6</v>
      </c>
      <c r="P310" s="159">
        <v>2014</v>
      </c>
    </row>
    <row r="311" spans="1:16">
      <c r="A311" s="131">
        <v>13</v>
      </c>
      <c r="B311" s="131" t="s">
        <v>681</v>
      </c>
      <c r="C311" s="132" t="s">
        <v>679</v>
      </c>
      <c r="D311" s="133" t="s">
        <v>701</v>
      </c>
      <c r="E311" s="134">
        <v>4</v>
      </c>
      <c r="F311" s="81" t="s">
        <v>680</v>
      </c>
      <c r="G311" s="68" t="s">
        <v>651</v>
      </c>
      <c r="H311" s="68">
        <v>1</v>
      </c>
      <c r="I311" s="68">
        <v>98000</v>
      </c>
      <c r="J311" s="68">
        <v>98000</v>
      </c>
      <c r="K311" s="135"/>
      <c r="L311" s="135"/>
      <c r="M311" s="135"/>
      <c r="N311" s="136"/>
      <c r="O311" s="41">
        <v>6</v>
      </c>
      <c r="P311" s="159">
        <v>2014</v>
      </c>
    </row>
    <row r="312" spans="1:16">
      <c r="A312" s="131">
        <v>13</v>
      </c>
      <c r="B312" s="131" t="s">
        <v>681</v>
      </c>
      <c r="C312" s="132" t="s">
        <v>679</v>
      </c>
      <c r="D312" s="133" t="s">
        <v>701</v>
      </c>
      <c r="E312" s="134">
        <v>4</v>
      </c>
      <c r="F312" s="81" t="s">
        <v>686</v>
      </c>
      <c r="G312" s="68" t="s">
        <v>682</v>
      </c>
      <c r="H312" s="68">
        <v>1</v>
      </c>
      <c r="I312" s="68">
        <v>115000</v>
      </c>
      <c r="J312" s="68">
        <v>115000</v>
      </c>
      <c r="K312" s="135"/>
      <c r="L312" s="135"/>
      <c r="M312" s="135"/>
      <c r="N312" s="136"/>
      <c r="O312" s="41">
        <v>6</v>
      </c>
      <c r="P312" s="159">
        <v>2014</v>
      </c>
    </row>
    <row r="313" spans="1:16">
      <c r="A313" s="131">
        <v>13</v>
      </c>
      <c r="B313" s="131" t="s">
        <v>681</v>
      </c>
      <c r="C313" s="132" t="s">
        <v>679</v>
      </c>
      <c r="D313" s="133" t="s">
        <v>701</v>
      </c>
      <c r="E313" s="134">
        <v>4</v>
      </c>
      <c r="G313" s="68"/>
      <c r="I313" s="68"/>
      <c r="J313" s="68"/>
      <c r="K313" s="135">
        <v>213000</v>
      </c>
      <c r="L313" s="135">
        <v>113000</v>
      </c>
      <c r="M313" s="135">
        <v>100000</v>
      </c>
      <c r="N313" s="136" t="s">
        <v>700</v>
      </c>
      <c r="O313" s="41">
        <v>6</v>
      </c>
      <c r="P313" s="159">
        <v>2014</v>
      </c>
    </row>
    <row r="314" spans="1:16">
      <c r="A314" s="137">
        <v>13</v>
      </c>
      <c r="B314" s="137" t="s">
        <v>681</v>
      </c>
      <c r="C314" s="138" t="s">
        <v>679</v>
      </c>
      <c r="D314" s="139" t="s">
        <v>701</v>
      </c>
      <c r="E314" s="140">
        <v>5</v>
      </c>
      <c r="F314" s="141"/>
      <c r="G314" s="142"/>
      <c r="H314" s="142"/>
      <c r="I314" s="142"/>
      <c r="J314" s="142"/>
      <c r="K314" s="143"/>
      <c r="L314" s="143"/>
      <c r="M314" s="143"/>
      <c r="N314" s="144"/>
      <c r="O314" s="41">
        <v>6</v>
      </c>
      <c r="P314" s="159">
        <v>2014</v>
      </c>
    </row>
    <row r="315" spans="1:16">
      <c r="A315" s="131">
        <v>13</v>
      </c>
      <c r="B315" s="131" t="s">
        <v>681</v>
      </c>
      <c r="C315" s="132" t="s">
        <v>679</v>
      </c>
      <c r="D315" s="133" t="s">
        <v>701</v>
      </c>
      <c r="E315" s="134">
        <v>5</v>
      </c>
      <c r="F315" s="81" t="s">
        <v>680</v>
      </c>
      <c r="G315" s="68" t="s">
        <v>651</v>
      </c>
      <c r="H315" s="68">
        <v>1</v>
      </c>
      <c r="I315" s="68">
        <v>98000</v>
      </c>
      <c r="J315" s="68">
        <v>98000</v>
      </c>
      <c r="K315" s="135"/>
      <c r="L315" s="135"/>
      <c r="M315" s="135"/>
      <c r="N315" s="136"/>
      <c r="O315" s="41">
        <v>6</v>
      </c>
      <c r="P315" s="159">
        <v>2014</v>
      </c>
    </row>
    <row r="316" spans="1:16">
      <c r="A316" s="131">
        <v>13</v>
      </c>
      <c r="B316" s="131" t="s">
        <v>681</v>
      </c>
      <c r="C316" s="132" t="s">
        <v>679</v>
      </c>
      <c r="D316" s="133" t="s">
        <v>701</v>
      </c>
      <c r="E316" s="134">
        <v>5</v>
      </c>
      <c r="G316" s="68"/>
      <c r="I316" s="68"/>
      <c r="J316" s="68"/>
      <c r="K316" s="135">
        <v>98000</v>
      </c>
      <c r="L316" s="135">
        <v>48000</v>
      </c>
      <c r="M316" s="135">
        <v>50000</v>
      </c>
      <c r="N316" s="136" t="s">
        <v>700</v>
      </c>
      <c r="O316" s="41">
        <v>6</v>
      </c>
      <c r="P316" s="159">
        <v>2014</v>
      </c>
    </row>
    <row r="317" spans="1:16">
      <c r="A317" s="137">
        <v>13</v>
      </c>
      <c r="B317" s="137" t="s">
        <v>681</v>
      </c>
      <c r="C317" s="138" t="s">
        <v>679</v>
      </c>
      <c r="D317" s="139" t="s">
        <v>701</v>
      </c>
      <c r="E317" s="140">
        <v>6</v>
      </c>
      <c r="F317" s="141"/>
      <c r="G317" s="142"/>
      <c r="H317" s="142"/>
      <c r="I317" s="142"/>
      <c r="J317" s="142"/>
      <c r="K317" s="143"/>
      <c r="L317" s="143"/>
      <c r="M317" s="143"/>
      <c r="N317" s="144"/>
      <c r="O317" s="41">
        <v>6</v>
      </c>
      <c r="P317" s="159">
        <v>2014</v>
      </c>
    </row>
    <row r="318" spans="1:16">
      <c r="A318" s="131">
        <v>13</v>
      </c>
      <c r="B318" s="131" t="s">
        <v>681</v>
      </c>
      <c r="C318" s="132" t="s">
        <v>679</v>
      </c>
      <c r="D318" s="133" t="s">
        <v>701</v>
      </c>
      <c r="E318" s="134">
        <v>6</v>
      </c>
      <c r="F318" s="81" t="s">
        <v>680</v>
      </c>
      <c r="G318" s="68" t="s">
        <v>651</v>
      </c>
      <c r="H318" s="68">
        <v>1</v>
      </c>
      <c r="I318" s="68">
        <v>98000</v>
      </c>
      <c r="J318" s="68">
        <v>98000</v>
      </c>
      <c r="K318" s="135"/>
      <c r="L318" s="135"/>
      <c r="M318" s="135"/>
      <c r="N318" s="136"/>
      <c r="O318" s="41">
        <v>6</v>
      </c>
      <c r="P318" s="159">
        <v>2014</v>
      </c>
    </row>
    <row r="319" spans="1:16">
      <c r="A319" s="131">
        <v>13</v>
      </c>
      <c r="B319" s="131" t="s">
        <v>681</v>
      </c>
      <c r="C319" s="132" t="s">
        <v>679</v>
      </c>
      <c r="D319" s="133" t="s">
        <v>701</v>
      </c>
      <c r="E319" s="134">
        <v>6</v>
      </c>
      <c r="G319" s="68"/>
      <c r="I319" s="68"/>
      <c r="J319" s="68"/>
      <c r="K319" s="135">
        <v>98000</v>
      </c>
      <c r="L319" s="135">
        <v>48000</v>
      </c>
      <c r="M319" s="135">
        <v>50000</v>
      </c>
      <c r="N319" s="136" t="s">
        <v>700</v>
      </c>
      <c r="O319" s="41">
        <v>6</v>
      </c>
      <c r="P319" s="159">
        <v>2014</v>
      </c>
    </row>
    <row r="320" spans="1:16">
      <c r="A320" s="137">
        <v>13</v>
      </c>
      <c r="B320" s="137" t="s">
        <v>681</v>
      </c>
      <c r="C320" s="138" t="s">
        <v>679</v>
      </c>
      <c r="D320" s="139" t="s">
        <v>701</v>
      </c>
      <c r="E320" s="140">
        <v>7</v>
      </c>
      <c r="F320" s="141"/>
      <c r="G320" s="142"/>
      <c r="H320" s="142"/>
      <c r="I320" s="142"/>
      <c r="J320" s="142"/>
      <c r="K320" s="143"/>
      <c r="L320" s="143"/>
      <c r="M320" s="143"/>
      <c r="N320" s="144"/>
      <c r="O320" s="41">
        <v>6</v>
      </c>
      <c r="P320" s="159">
        <v>2014</v>
      </c>
    </row>
    <row r="321" spans="1:16">
      <c r="A321" s="131">
        <v>13</v>
      </c>
      <c r="B321" s="131" t="s">
        <v>681</v>
      </c>
      <c r="C321" s="132" t="s">
        <v>679</v>
      </c>
      <c r="D321" s="133" t="s">
        <v>701</v>
      </c>
      <c r="E321" s="134">
        <v>7</v>
      </c>
      <c r="F321" s="81" t="s">
        <v>686</v>
      </c>
      <c r="G321" s="68" t="s">
        <v>682</v>
      </c>
      <c r="H321" s="68">
        <v>1</v>
      </c>
      <c r="I321" s="68">
        <v>115000</v>
      </c>
      <c r="J321" s="68">
        <v>115000</v>
      </c>
      <c r="K321" s="135"/>
      <c r="L321" s="135"/>
      <c r="M321" s="135"/>
      <c r="N321" s="136"/>
      <c r="O321" s="41">
        <v>6</v>
      </c>
      <c r="P321" s="159">
        <v>2014</v>
      </c>
    </row>
    <row r="322" spans="1:16">
      <c r="A322" s="131">
        <v>13</v>
      </c>
      <c r="B322" s="131" t="s">
        <v>681</v>
      </c>
      <c r="C322" s="132" t="s">
        <v>679</v>
      </c>
      <c r="D322" s="133" t="s">
        <v>701</v>
      </c>
      <c r="E322" s="134">
        <v>7</v>
      </c>
      <c r="G322" s="68"/>
      <c r="I322" s="68"/>
      <c r="J322" s="68"/>
      <c r="K322" s="135">
        <v>115000</v>
      </c>
      <c r="L322" s="135">
        <v>65000</v>
      </c>
      <c r="M322" s="135">
        <v>50000</v>
      </c>
      <c r="N322" s="136" t="s">
        <v>700</v>
      </c>
      <c r="O322" s="41">
        <v>6</v>
      </c>
      <c r="P322" s="159">
        <v>2014</v>
      </c>
    </row>
    <row r="323" spans="1:16">
      <c r="A323" s="137">
        <v>13</v>
      </c>
      <c r="B323" s="137" t="s">
        <v>681</v>
      </c>
      <c r="C323" s="138" t="s">
        <v>679</v>
      </c>
      <c r="D323" s="139" t="s">
        <v>701</v>
      </c>
      <c r="E323" s="140">
        <v>8</v>
      </c>
      <c r="F323" s="141"/>
      <c r="G323" s="142"/>
      <c r="H323" s="142"/>
      <c r="I323" s="142"/>
      <c r="J323" s="142"/>
      <c r="K323" s="143"/>
      <c r="L323" s="143"/>
      <c r="M323" s="143"/>
      <c r="N323" s="144"/>
      <c r="O323" s="41">
        <v>6</v>
      </c>
      <c r="P323" s="159">
        <v>2014</v>
      </c>
    </row>
    <row r="324" spans="1:16">
      <c r="A324" s="131">
        <v>13</v>
      </c>
      <c r="B324" s="131" t="s">
        <v>681</v>
      </c>
      <c r="C324" s="132" t="s">
        <v>679</v>
      </c>
      <c r="D324" s="133" t="s">
        <v>701</v>
      </c>
      <c r="E324" s="134">
        <v>8</v>
      </c>
      <c r="F324" s="81" t="s">
        <v>680</v>
      </c>
      <c r="G324" s="68" t="s">
        <v>651</v>
      </c>
      <c r="H324" s="68">
        <v>1</v>
      </c>
      <c r="I324" s="68">
        <v>98000</v>
      </c>
      <c r="J324" s="68">
        <v>98000</v>
      </c>
      <c r="K324" s="135"/>
      <c r="L324" s="135"/>
      <c r="M324" s="135"/>
      <c r="N324" s="136"/>
      <c r="O324" s="41">
        <v>6</v>
      </c>
      <c r="P324" s="159">
        <v>2014</v>
      </c>
    </row>
    <row r="325" spans="1:16">
      <c r="A325" s="131">
        <v>13</v>
      </c>
      <c r="B325" s="131" t="s">
        <v>681</v>
      </c>
      <c r="C325" s="132" t="s">
        <v>679</v>
      </c>
      <c r="D325" s="133" t="s">
        <v>701</v>
      </c>
      <c r="E325" s="134">
        <v>8</v>
      </c>
      <c r="F325" s="81" t="s">
        <v>699</v>
      </c>
      <c r="G325" s="68" t="s">
        <v>650</v>
      </c>
      <c r="H325" s="68">
        <v>1</v>
      </c>
      <c r="I325" s="68">
        <v>85000</v>
      </c>
      <c r="J325" s="68">
        <v>85000</v>
      </c>
      <c r="K325" s="135"/>
      <c r="L325" s="135"/>
      <c r="M325" s="135"/>
      <c r="N325" s="136"/>
      <c r="O325" s="41">
        <v>6</v>
      </c>
      <c r="P325" s="159">
        <v>2014</v>
      </c>
    </row>
    <row r="326" spans="1:16">
      <c r="A326" s="131">
        <v>13</v>
      </c>
      <c r="B326" s="131" t="s">
        <v>681</v>
      </c>
      <c r="C326" s="132" t="s">
        <v>679</v>
      </c>
      <c r="D326" s="133" t="s">
        <v>701</v>
      </c>
      <c r="E326" s="134">
        <v>8</v>
      </c>
      <c r="F326" s="81" t="s">
        <v>686</v>
      </c>
      <c r="G326" s="68" t="s">
        <v>682</v>
      </c>
      <c r="H326" s="68">
        <v>1</v>
      </c>
      <c r="I326" s="68">
        <v>115000</v>
      </c>
      <c r="J326" s="68">
        <v>115000</v>
      </c>
      <c r="K326" s="135"/>
      <c r="L326" s="135"/>
      <c r="M326" s="135"/>
      <c r="N326" s="136"/>
      <c r="O326" s="41">
        <v>6</v>
      </c>
      <c r="P326" s="159">
        <v>2014</v>
      </c>
    </row>
    <row r="327" spans="1:16">
      <c r="A327" s="131">
        <v>13</v>
      </c>
      <c r="B327" s="131" t="s">
        <v>681</v>
      </c>
      <c r="C327" s="132" t="s">
        <v>679</v>
      </c>
      <c r="D327" s="133" t="s">
        <v>701</v>
      </c>
      <c r="E327" s="134">
        <v>8</v>
      </c>
      <c r="G327" s="68"/>
      <c r="I327" s="68"/>
      <c r="J327" s="68"/>
      <c r="K327" s="135">
        <v>298000</v>
      </c>
      <c r="L327" s="135">
        <v>148000</v>
      </c>
      <c r="M327" s="135">
        <v>150000</v>
      </c>
      <c r="N327" s="136" t="s">
        <v>700</v>
      </c>
      <c r="O327" s="41">
        <v>6</v>
      </c>
      <c r="P327" s="159">
        <v>2014</v>
      </c>
    </row>
    <row r="328" spans="1:16">
      <c r="A328" s="137">
        <v>13</v>
      </c>
      <c r="B328" s="137" t="s">
        <v>681</v>
      </c>
      <c r="C328" s="138" t="s">
        <v>679</v>
      </c>
      <c r="D328" s="139" t="s">
        <v>701</v>
      </c>
      <c r="E328" s="140">
        <v>9</v>
      </c>
      <c r="F328" s="141"/>
      <c r="G328" s="142"/>
      <c r="H328" s="142"/>
      <c r="I328" s="142"/>
      <c r="J328" s="142"/>
      <c r="K328" s="143"/>
      <c r="L328" s="143"/>
      <c r="M328" s="143"/>
      <c r="N328" s="144"/>
      <c r="O328" s="41">
        <v>6</v>
      </c>
      <c r="P328" s="159">
        <v>2014</v>
      </c>
    </row>
    <row r="329" spans="1:16">
      <c r="A329" s="131">
        <v>13</v>
      </c>
      <c r="B329" s="131" t="s">
        <v>681</v>
      </c>
      <c r="C329" s="132" t="s">
        <v>679</v>
      </c>
      <c r="D329" s="133" t="s">
        <v>701</v>
      </c>
      <c r="E329" s="134">
        <v>9</v>
      </c>
      <c r="F329" s="81" t="s">
        <v>699</v>
      </c>
      <c r="G329" s="68" t="s">
        <v>650</v>
      </c>
      <c r="H329" s="68">
        <v>1</v>
      </c>
      <c r="I329" s="68">
        <v>85000</v>
      </c>
      <c r="J329" s="68">
        <v>85000</v>
      </c>
      <c r="K329" s="135"/>
      <c r="L329" s="135"/>
      <c r="M329" s="135"/>
      <c r="N329" s="136"/>
      <c r="O329" s="41">
        <v>6</v>
      </c>
      <c r="P329" s="159">
        <v>2014</v>
      </c>
    </row>
    <row r="330" spans="1:16">
      <c r="A330" s="131">
        <v>13</v>
      </c>
      <c r="B330" s="131" t="s">
        <v>681</v>
      </c>
      <c r="C330" s="132" t="s">
        <v>679</v>
      </c>
      <c r="D330" s="133" t="s">
        <v>701</v>
      </c>
      <c r="E330" s="134">
        <v>9</v>
      </c>
      <c r="F330" s="81" t="s">
        <v>680</v>
      </c>
      <c r="G330" s="68" t="s">
        <v>651</v>
      </c>
      <c r="H330" s="68">
        <v>1</v>
      </c>
      <c r="I330" s="68">
        <v>98000</v>
      </c>
      <c r="J330" s="68">
        <v>98000</v>
      </c>
      <c r="K330" s="135"/>
      <c r="L330" s="135"/>
      <c r="M330" s="135"/>
      <c r="N330" s="136"/>
      <c r="O330" s="41">
        <v>6</v>
      </c>
      <c r="P330" s="159">
        <v>2014</v>
      </c>
    </row>
    <row r="331" spans="1:16">
      <c r="A331" s="131">
        <v>13</v>
      </c>
      <c r="B331" s="131" t="s">
        <v>681</v>
      </c>
      <c r="C331" s="132" t="s">
        <v>679</v>
      </c>
      <c r="D331" s="133" t="s">
        <v>701</v>
      </c>
      <c r="E331" s="134">
        <v>9</v>
      </c>
      <c r="F331" s="81" t="s">
        <v>694</v>
      </c>
      <c r="G331" s="68" t="s">
        <v>652</v>
      </c>
      <c r="H331" s="68">
        <v>1</v>
      </c>
      <c r="I331" s="68">
        <v>98000</v>
      </c>
      <c r="J331" s="68">
        <v>98000</v>
      </c>
      <c r="K331" s="135"/>
      <c r="L331" s="135"/>
      <c r="M331" s="135"/>
      <c r="N331" s="136"/>
      <c r="O331" s="41">
        <v>6</v>
      </c>
      <c r="P331" s="159">
        <v>2014</v>
      </c>
    </row>
    <row r="332" spans="1:16">
      <c r="A332" s="131">
        <v>13</v>
      </c>
      <c r="B332" s="131" t="s">
        <v>681</v>
      </c>
      <c r="C332" s="132" t="s">
        <v>679</v>
      </c>
      <c r="D332" s="133" t="s">
        <v>701</v>
      </c>
      <c r="E332" s="134">
        <v>9</v>
      </c>
      <c r="F332" s="81" t="s">
        <v>686</v>
      </c>
      <c r="G332" s="68" t="s">
        <v>682</v>
      </c>
      <c r="H332" s="68">
        <v>1</v>
      </c>
      <c r="I332" s="68">
        <v>115000</v>
      </c>
      <c r="J332" s="68">
        <v>115000</v>
      </c>
      <c r="K332" s="135"/>
      <c r="L332" s="135"/>
      <c r="M332" s="135"/>
      <c r="N332" s="136"/>
      <c r="O332" s="41">
        <v>6</v>
      </c>
      <c r="P332" s="159">
        <v>2014</v>
      </c>
    </row>
    <row r="333" spans="1:16">
      <c r="A333" s="131">
        <v>13</v>
      </c>
      <c r="B333" s="131" t="s">
        <v>681</v>
      </c>
      <c r="C333" s="132" t="s">
        <v>679</v>
      </c>
      <c r="D333" s="133" t="s">
        <v>701</v>
      </c>
      <c r="E333" s="134">
        <v>9</v>
      </c>
      <c r="G333" s="68"/>
      <c r="I333" s="68"/>
      <c r="J333" s="68"/>
      <c r="K333" s="135">
        <v>396000</v>
      </c>
      <c r="L333" s="135">
        <v>196000</v>
      </c>
      <c r="M333" s="135">
        <v>200000</v>
      </c>
      <c r="N333" s="136" t="s">
        <v>700</v>
      </c>
      <c r="O333" s="41">
        <v>6</v>
      </c>
      <c r="P333" s="159">
        <v>2014</v>
      </c>
    </row>
    <row r="334" spans="1:16">
      <c r="A334" s="137">
        <v>13</v>
      </c>
      <c r="B334" s="137" t="s">
        <v>681</v>
      </c>
      <c r="C334" s="138" t="s">
        <v>679</v>
      </c>
      <c r="D334" s="139" t="s">
        <v>701</v>
      </c>
      <c r="E334" s="140">
        <v>10</v>
      </c>
      <c r="F334" s="141"/>
      <c r="G334" s="142"/>
      <c r="H334" s="142"/>
      <c r="I334" s="142"/>
      <c r="J334" s="142"/>
      <c r="K334" s="143"/>
      <c r="L334" s="143"/>
      <c r="M334" s="143"/>
      <c r="N334" s="144"/>
      <c r="O334" s="41">
        <v>6</v>
      </c>
      <c r="P334" s="159">
        <v>2014</v>
      </c>
    </row>
    <row r="335" spans="1:16">
      <c r="A335" s="131">
        <v>13</v>
      </c>
      <c r="B335" s="131" t="s">
        <v>681</v>
      </c>
      <c r="C335" s="132" t="s">
        <v>679</v>
      </c>
      <c r="D335" s="133" t="s">
        <v>701</v>
      </c>
      <c r="E335" s="134">
        <v>10</v>
      </c>
      <c r="F335" s="81" t="s">
        <v>680</v>
      </c>
      <c r="G335" s="68" t="s">
        <v>651</v>
      </c>
      <c r="H335" s="68">
        <v>4</v>
      </c>
      <c r="I335" s="68">
        <v>98000</v>
      </c>
      <c r="J335" s="68">
        <v>392000</v>
      </c>
      <c r="K335" s="135"/>
      <c r="L335" s="135"/>
      <c r="M335" s="135"/>
      <c r="N335" s="136"/>
      <c r="O335" s="41">
        <v>6</v>
      </c>
      <c r="P335" s="159">
        <v>2014</v>
      </c>
    </row>
    <row r="336" spans="1:16">
      <c r="A336" s="131">
        <v>13</v>
      </c>
      <c r="B336" s="131" t="s">
        <v>681</v>
      </c>
      <c r="C336" s="132" t="s">
        <v>679</v>
      </c>
      <c r="D336" s="133" t="s">
        <v>701</v>
      </c>
      <c r="E336" s="134">
        <v>10</v>
      </c>
      <c r="G336" s="68"/>
      <c r="I336" s="68"/>
      <c r="J336" s="68"/>
      <c r="K336" s="135">
        <v>392000</v>
      </c>
      <c r="L336" s="135">
        <v>192000</v>
      </c>
      <c r="M336" s="135">
        <v>200000</v>
      </c>
      <c r="N336" s="136" t="s">
        <v>700</v>
      </c>
      <c r="O336" s="41">
        <v>6</v>
      </c>
      <c r="P336" s="159">
        <v>2014</v>
      </c>
    </row>
    <row r="337" spans="1:16">
      <c r="A337" s="137">
        <v>13</v>
      </c>
      <c r="B337" s="137" t="s">
        <v>684</v>
      </c>
      <c r="C337" s="138" t="s">
        <v>679</v>
      </c>
      <c r="D337" s="139" t="s">
        <v>701</v>
      </c>
      <c r="E337" s="140">
        <v>1</v>
      </c>
      <c r="F337" s="141"/>
      <c r="G337" s="142"/>
      <c r="H337" s="142"/>
      <c r="I337" s="142"/>
      <c r="J337" s="142"/>
      <c r="K337" s="143"/>
      <c r="L337" s="143"/>
      <c r="M337" s="143"/>
      <c r="N337" s="144"/>
      <c r="O337" s="41">
        <v>6</v>
      </c>
      <c r="P337" s="159">
        <v>2014</v>
      </c>
    </row>
    <row r="338" spans="1:16">
      <c r="A338" s="131">
        <v>13</v>
      </c>
      <c r="B338" s="131" t="s">
        <v>684</v>
      </c>
      <c r="C338" s="132" t="s">
        <v>679</v>
      </c>
      <c r="D338" s="133" t="s">
        <v>701</v>
      </c>
      <c r="E338" s="134">
        <v>1</v>
      </c>
      <c r="F338" s="81" t="s">
        <v>680</v>
      </c>
      <c r="G338" s="68" t="s">
        <v>651</v>
      </c>
      <c r="H338" s="68">
        <v>2</v>
      </c>
      <c r="I338" s="68">
        <v>98000</v>
      </c>
      <c r="J338" s="68">
        <v>196000</v>
      </c>
      <c r="K338" s="135"/>
      <c r="L338" s="135"/>
      <c r="M338" s="135"/>
      <c r="N338" s="136"/>
      <c r="O338" s="41">
        <v>6</v>
      </c>
      <c r="P338" s="159">
        <v>2014</v>
      </c>
    </row>
    <row r="339" spans="1:16">
      <c r="A339" s="131">
        <v>13</v>
      </c>
      <c r="B339" s="131" t="s">
        <v>684</v>
      </c>
      <c r="C339" s="132" t="s">
        <v>679</v>
      </c>
      <c r="D339" s="133" t="s">
        <v>701</v>
      </c>
      <c r="E339" s="134">
        <v>1</v>
      </c>
      <c r="F339" s="81" t="s">
        <v>686</v>
      </c>
      <c r="G339" s="68" t="s">
        <v>682</v>
      </c>
      <c r="H339" s="68">
        <v>1</v>
      </c>
      <c r="I339" s="68">
        <v>115000</v>
      </c>
      <c r="J339" s="68">
        <v>115000</v>
      </c>
      <c r="K339" s="135"/>
      <c r="L339" s="135"/>
      <c r="M339" s="135"/>
      <c r="N339" s="136"/>
      <c r="O339" s="41">
        <v>6</v>
      </c>
      <c r="P339" s="159">
        <v>2014</v>
      </c>
    </row>
    <row r="340" spans="1:16">
      <c r="A340" s="131">
        <v>13</v>
      </c>
      <c r="B340" s="131" t="s">
        <v>684</v>
      </c>
      <c r="C340" s="132" t="s">
        <v>679</v>
      </c>
      <c r="D340" s="133" t="s">
        <v>701</v>
      </c>
      <c r="E340" s="134">
        <v>1</v>
      </c>
      <c r="G340" s="68"/>
      <c r="I340" s="68"/>
      <c r="J340" s="68"/>
      <c r="K340" s="135">
        <v>311000</v>
      </c>
      <c r="L340" s="135">
        <v>161000</v>
      </c>
      <c r="M340" s="135">
        <v>150000</v>
      </c>
      <c r="N340" s="136" t="s">
        <v>700</v>
      </c>
      <c r="O340" s="41">
        <v>6</v>
      </c>
      <c r="P340" s="159">
        <v>2014</v>
      </c>
    </row>
    <row r="341" spans="1:16">
      <c r="A341" s="137">
        <v>13</v>
      </c>
      <c r="B341" s="137" t="s">
        <v>684</v>
      </c>
      <c r="C341" s="138" t="s">
        <v>679</v>
      </c>
      <c r="D341" s="139" t="s">
        <v>701</v>
      </c>
      <c r="E341" s="140">
        <v>2</v>
      </c>
      <c r="F341" s="141"/>
      <c r="G341" s="142"/>
      <c r="H341" s="142"/>
      <c r="I341" s="142"/>
      <c r="J341" s="142"/>
      <c r="K341" s="143"/>
      <c r="L341" s="143"/>
      <c r="M341" s="143"/>
      <c r="N341" s="144"/>
      <c r="O341" s="41">
        <v>6</v>
      </c>
      <c r="P341" s="159">
        <v>2014</v>
      </c>
    </row>
    <row r="342" spans="1:16">
      <c r="A342" s="131">
        <v>13</v>
      </c>
      <c r="B342" s="131" t="s">
        <v>684</v>
      </c>
      <c r="C342" s="132" t="s">
        <v>679</v>
      </c>
      <c r="D342" s="133" t="s">
        <v>701</v>
      </c>
      <c r="E342" s="134">
        <v>2</v>
      </c>
      <c r="F342" s="81" t="s">
        <v>686</v>
      </c>
      <c r="G342" s="68" t="s">
        <v>682</v>
      </c>
      <c r="H342" s="68">
        <v>1</v>
      </c>
      <c r="I342" s="68">
        <v>115000</v>
      </c>
      <c r="J342" s="68">
        <v>115000</v>
      </c>
      <c r="K342" s="135"/>
      <c r="L342" s="135"/>
      <c r="M342" s="135"/>
      <c r="N342" s="136"/>
      <c r="O342" s="41">
        <v>6</v>
      </c>
      <c r="P342" s="159">
        <v>2014</v>
      </c>
    </row>
    <row r="343" spans="1:16">
      <c r="A343" s="131">
        <v>13</v>
      </c>
      <c r="B343" s="131" t="s">
        <v>684</v>
      </c>
      <c r="C343" s="132" t="s">
        <v>679</v>
      </c>
      <c r="D343" s="133" t="s">
        <v>701</v>
      </c>
      <c r="E343" s="134">
        <v>2</v>
      </c>
      <c r="F343" s="81" t="s">
        <v>680</v>
      </c>
      <c r="G343" s="68" t="s">
        <v>651</v>
      </c>
      <c r="H343" s="68">
        <v>1</v>
      </c>
      <c r="I343" s="68">
        <v>98000</v>
      </c>
      <c r="J343" s="68">
        <v>98000</v>
      </c>
      <c r="K343" s="135"/>
      <c r="L343" s="135"/>
      <c r="M343" s="135"/>
      <c r="N343" s="136"/>
      <c r="O343" s="41">
        <v>6</v>
      </c>
      <c r="P343" s="159">
        <v>2014</v>
      </c>
    </row>
    <row r="344" spans="1:16">
      <c r="A344" s="131">
        <v>13</v>
      </c>
      <c r="B344" s="131" t="s">
        <v>684</v>
      </c>
      <c r="C344" s="132" t="s">
        <v>679</v>
      </c>
      <c r="D344" s="133" t="s">
        <v>701</v>
      </c>
      <c r="E344" s="134">
        <v>2</v>
      </c>
      <c r="G344" s="68"/>
      <c r="I344" s="68"/>
      <c r="J344" s="68"/>
      <c r="K344" s="135">
        <v>213000</v>
      </c>
      <c r="L344" s="135">
        <v>113000</v>
      </c>
      <c r="M344" s="135">
        <v>100000</v>
      </c>
      <c r="N344" s="136" t="s">
        <v>700</v>
      </c>
      <c r="O344" s="41">
        <v>6</v>
      </c>
      <c r="P344" s="159">
        <v>2014</v>
      </c>
    </row>
    <row r="345" spans="1:16">
      <c r="A345" s="137">
        <v>13</v>
      </c>
      <c r="B345" s="137" t="s">
        <v>684</v>
      </c>
      <c r="C345" s="138" t="s">
        <v>679</v>
      </c>
      <c r="D345" s="139" t="s">
        <v>701</v>
      </c>
      <c r="E345" s="140">
        <v>3</v>
      </c>
      <c r="F345" s="141"/>
      <c r="G345" s="142"/>
      <c r="H345" s="142"/>
      <c r="I345" s="142"/>
      <c r="J345" s="142"/>
      <c r="K345" s="143"/>
      <c r="L345" s="143"/>
      <c r="M345" s="143"/>
      <c r="N345" s="144"/>
      <c r="O345" s="41">
        <v>6</v>
      </c>
      <c r="P345" s="159">
        <v>2014</v>
      </c>
    </row>
    <row r="346" spans="1:16">
      <c r="A346" s="131">
        <v>13</v>
      </c>
      <c r="B346" s="131" t="s">
        <v>684</v>
      </c>
      <c r="C346" s="132" t="s">
        <v>679</v>
      </c>
      <c r="D346" s="133" t="s">
        <v>701</v>
      </c>
      <c r="E346" s="134">
        <v>3</v>
      </c>
      <c r="F346" s="81" t="s">
        <v>680</v>
      </c>
      <c r="G346" s="68" t="s">
        <v>651</v>
      </c>
      <c r="H346" s="68">
        <v>1</v>
      </c>
      <c r="I346" s="68">
        <v>98000</v>
      </c>
      <c r="J346" s="68">
        <v>98000</v>
      </c>
      <c r="K346" s="135"/>
      <c r="L346" s="135"/>
      <c r="M346" s="135"/>
      <c r="N346" s="136"/>
      <c r="O346" s="41">
        <v>6</v>
      </c>
      <c r="P346" s="159">
        <v>2014</v>
      </c>
    </row>
    <row r="347" spans="1:16">
      <c r="A347" s="131">
        <v>13</v>
      </c>
      <c r="B347" s="131" t="s">
        <v>684</v>
      </c>
      <c r="C347" s="132" t="s">
        <v>679</v>
      </c>
      <c r="D347" s="133" t="s">
        <v>701</v>
      </c>
      <c r="E347" s="134">
        <v>3</v>
      </c>
      <c r="F347" s="81" t="s">
        <v>686</v>
      </c>
      <c r="G347" s="68" t="s">
        <v>682</v>
      </c>
      <c r="H347" s="68">
        <v>1</v>
      </c>
      <c r="I347" s="68">
        <v>115000</v>
      </c>
      <c r="J347" s="68">
        <v>115000</v>
      </c>
      <c r="K347" s="135"/>
      <c r="L347" s="135"/>
      <c r="M347" s="135"/>
      <c r="N347" s="136"/>
      <c r="O347" s="41">
        <v>6</v>
      </c>
      <c r="P347" s="159">
        <v>2014</v>
      </c>
    </row>
    <row r="348" spans="1:16">
      <c r="A348" s="131">
        <v>13</v>
      </c>
      <c r="B348" s="131" t="s">
        <v>684</v>
      </c>
      <c r="C348" s="132" t="s">
        <v>679</v>
      </c>
      <c r="D348" s="133" t="s">
        <v>701</v>
      </c>
      <c r="E348" s="134">
        <v>3</v>
      </c>
      <c r="G348" s="68"/>
      <c r="I348" s="68"/>
      <c r="J348" s="68"/>
      <c r="K348" s="135">
        <v>213000</v>
      </c>
      <c r="L348" s="135">
        <v>113000</v>
      </c>
      <c r="M348" s="135">
        <v>100000</v>
      </c>
      <c r="N348" s="136" t="s">
        <v>700</v>
      </c>
      <c r="O348" s="41">
        <v>6</v>
      </c>
      <c r="P348" s="159">
        <v>2014</v>
      </c>
    </row>
    <row r="349" spans="1:16">
      <c r="A349" s="137">
        <v>13</v>
      </c>
      <c r="B349" s="137" t="s">
        <v>684</v>
      </c>
      <c r="C349" s="138" t="s">
        <v>679</v>
      </c>
      <c r="D349" s="139" t="s">
        <v>701</v>
      </c>
      <c r="E349" s="140">
        <v>4</v>
      </c>
      <c r="F349" s="141"/>
      <c r="G349" s="142"/>
      <c r="H349" s="142"/>
      <c r="I349" s="142"/>
      <c r="J349" s="142"/>
      <c r="K349" s="143"/>
      <c r="L349" s="143"/>
      <c r="M349" s="143"/>
      <c r="N349" s="144"/>
      <c r="O349" s="41">
        <v>6</v>
      </c>
      <c r="P349" s="159">
        <v>2014</v>
      </c>
    </row>
    <row r="350" spans="1:16">
      <c r="A350" s="131">
        <v>13</v>
      </c>
      <c r="B350" s="131" t="s">
        <v>684</v>
      </c>
      <c r="C350" s="132" t="s">
        <v>679</v>
      </c>
      <c r="D350" s="133" t="s">
        <v>701</v>
      </c>
      <c r="E350" s="134">
        <v>4</v>
      </c>
      <c r="F350" s="81" t="s">
        <v>680</v>
      </c>
      <c r="G350" s="68" t="s">
        <v>651</v>
      </c>
      <c r="H350" s="68">
        <v>1</v>
      </c>
      <c r="I350" s="68">
        <v>98000</v>
      </c>
      <c r="J350" s="68">
        <v>98000</v>
      </c>
      <c r="K350" s="135"/>
      <c r="L350" s="135"/>
      <c r="M350" s="135"/>
      <c r="N350" s="136"/>
      <c r="O350" s="41">
        <v>6</v>
      </c>
      <c r="P350" s="159">
        <v>2014</v>
      </c>
    </row>
    <row r="351" spans="1:16">
      <c r="A351" s="131">
        <v>13</v>
      </c>
      <c r="B351" s="131" t="s">
        <v>684</v>
      </c>
      <c r="C351" s="132" t="s">
        <v>679</v>
      </c>
      <c r="D351" s="133" t="s">
        <v>701</v>
      </c>
      <c r="E351" s="134">
        <v>4</v>
      </c>
      <c r="G351" s="68"/>
      <c r="I351" s="68"/>
      <c r="J351" s="68"/>
      <c r="K351" s="135">
        <v>98000</v>
      </c>
      <c r="L351" s="135">
        <v>48000</v>
      </c>
      <c r="M351" s="135">
        <v>50000</v>
      </c>
      <c r="N351" s="136" t="s">
        <v>700</v>
      </c>
      <c r="O351" s="41">
        <v>6</v>
      </c>
      <c r="P351" s="159">
        <v>2014</v>
      </c>
    </row>
    <row r="352" spans="1:16">
      <c r="A352" s="137">
        <v>13</v>
      </c>
      <c r="B352" s="137" t="s">
        <v>684</v>
      </c>
      <c r="C352" s="138" t="s">
        <v>679</v>
      </c>
      <c r="D352" s="139" t="s">
        <v>701</v>
      </c>
      <c r="E352" s="140">
        <v>5</v>
      </c>
      <c r="F352" s="141"/>
      <c r="G352" s="142"/>
      <c r="H352" s="142"/>
      <c r="I352" s="142"/>
      <c r="J352" s="142"/>
      <c r="K352" s="143"/>
      <c r="L352" s="143"/>
      <c r="M352" s="143"/>
      <c r="N352" s="144"/>
      <c r="O352" s="41">
        <v>6</v>
      </c>
      <c r="P352" s="159">
        <v>2014</v>
      </c>
    </row>
    <row r="353" spans="1:16">
      <c r="A353" s="131">
        <v>13</v>
      </c>
      <c r="B353" s="131" t="s">
        <v>684</v>
      </c>
      <c r="C353" s="132" t="s">
        <v>679</v>
      </c>
      <c r="D353" s="133" t="s">
        <v>701</v>
      </c>
      <c r="E353" s="134">
        <v>5</v>
      </c>
      <c r="F353" s="81" t="s">
        <v>686</v>
      </c>
      <c r="G353" s="68" t="s">
        <v>682</v>
      </c>
      <c r="H353" s="68">
        <v>2</v>
      </c>
      <c r="I353" s="68">
        <v>115000</v>
      </c>
      <c r="J353" s="68">
        <v>230000</v>
      </c>
      <c r="K353" s="135"/>
      <c r="L353" s="135"/>
      <c r="M353" s="135"/>
      <c r="N353" s="136"/>
      <c r="O353" s="41">
        <v>6</v>
      </c>
      <c r="P353" s="159">
        <v>2014</v>
      </c>
    </row>
    <row r="354" spans="1:16">
      <c r="A354" s="131">
        <v>13</v>
      </c>
      <c r="B354" s="131" t="s">
        <v>684</v>
      </c>
      <c r="C354" s="132" t="s">
        <v>679</v>
      </c>
      <c r="D354" s="133" t="s">
        <v>701</v>
      </c>
      <c r="E354" s="134">
        <v>5</v>
      </c>
      <c r="G354" s="68"/>
      <c r="I354" s="68"/>
      <c r="J354" s="68"/>
      <c r="K354" s="135">
        <v>230000</v>
      </c>
      <c r="L354" s="135">
        <v>130000</v>
      </c>
      <c r="M354" s="135">
        <v>100000</v>
      </c>
      <c r="N354" s="136" t="s">
        <v>706</v>
      </c>
      <c r="O354" s="41">
        <v>6</v>
      </c>
      <c r="P354" s="159">
        <v>2014</v>
      </c>
    </row>
    <row r="355" spans="1:16">
      <c r="A355" s="137">
        <v>13</v>
      </c>
      <c r="B355" s="137" t="s">
        <v>684</v>
      </c>
      <c r="C355" s="138" t="s">
        <v>679</v>
      </c>
      <c r="D355" s="139" t="s">
        <v>701</v>
      </c>
      <c r="E355" s="140">
        <v>6</v>
      </c>
      <c r="F355" s="141"/>
      <c r="G355" s="142"/>
      <c r="H355" s="142"/>
      <c r="I355" s="142"/>
      <c r="J355" s="142"/>
      <c r="K355" s="143"/>
      <c r="L355" s="143"/>
      <c r="M355" s="143"/>
      <c r="N355" s="144"/>
      <c r="O355" s="41">
        <v>6</v>
      </c>
      <c r="P355" s="159">
        <v>2014</v>
      </c>
    </row>
    <row r="356" spans="1:16">
      <c r="A356" s="131">
        <v>13</v>
      </c>
      <c r="B356" s="131" t="s">
        <v>684</v>
      </c>
      <c r="C356" s="132" t="s">
        <v>679</v>
      </c>
      <c r="D356" s="133" t="s">
        <v>701</v>
      </c>
      <c r="E356" s="134">
        <v>6</v>
      </c>
      <c r="F356" s="81" t="s">
        <v>680</v>
      </c>
      <c r="G356" s="68" t="s">
        <v>651</v>
      </c>
      <c r="H356" s="68">
        <v>1</v>
      </c>
      <c r="I356" s="68">
        <v>98000</v>
      </c>
      <c r="J356" s="68">
        <v>98000</v>
      </c>
      <c r="K356" s="135"/>
      <c r="L356" s="135"/>
      <c r="M356" s="135"/>
      <c r="N356" s="136"/>
      <c r="O356" s="41">
        <v>6</v>
      </c>
      <c r="P356" s="159">
        <v>2014</v>
      </c>
    </row>
    <row r="357" spans="1:16">
      <c r="A357" s="131">
        <v>13</v>
      </c>
      <c r="B357" s="131" t="s">
        <v>684</v>
      </c>
      <c r="C357" s="132" t="s">
        <v>679</v>
      </c>
      <c r="D357" s="133" t="s">
        <v>701</v>
      </c>
      <c r="E357" s="134">
        <v>6</v>
      </c>
      <c r="G357" s="68"/>
      <c r="I357" s="68"/>
      <c r="J357" s="68"/>
      <c r="K357" s="135">
        <v>98000</v>
      </c>
      <c r="L357" s="135">
        <v>48000</v>
      </c>
      <c r="M357" s="135">
        <v>50000</v>
      </c>
      <c r="N357" s="136" t="s">
        <v>700</v>
      </c>
      <c r="O357" s="41">
        <v>6</v>
      </c>
      <c r="P357" s="159">
        <v>2014</v>
      </c>
    </row>
    <row r="358" spans="1:16">
      <c r="A358" s="137">
        <v>13</v>
      </c>
      <c r="B358" s="137" t="s">
        <v>684</v>
      </c>
      <c r="C358" s="138" t="s">
        <v>679</v>
      </c>
      <c r="D358" s="139" t="s">
        <v>701</v>
      </c>
      <c r="E358" s="140">
        <v>7</v>
      </c>
      <c r="F358" s="141"/>
      <c r="G358" s="142"/>
      <c r="H358" s="142"/>
      <c r="I358" s="142"/>
      <c r="J358" s="142"/>
      <c r="K358" s="143"/>
      <c r="L358" s="143"/>
      <c r="M358" s="143"/>
      <c r="N358" s="144"/>
      <c r="O358" s="41">
        <v>6</v>
      </c>
      <c r="P358" s="159">
        <v>2014</v>
      </c>
    </row>
    <row r="359" spans="1:16">
      <c r="A359" s="131">
        <v>13</v>
      </c>
      <c r="B359" s="131" t="s">
        <v>684</v>
      </c>
      <c r="C359" s="132" t="s">
        <v>679</v>
      </c>
      <c r="D359" s="133" t="s">
        <v>701</v>
      </c>
      <c r="E359" s="134">
        <v>7</v>
      </c>
      <c r="F359" s="81" t="s">
        <v>680</v>
      </c>
      <c r="G359" s="68" t="s">
        <v>651</v>
      </c>
      <c r="H359" s="68">
        <v>1</v>
      </c>
      <c r="I359" s="68">
        <v>98000</v>
      </c>
      <c r="J359" s="68">
        <v>98000</v>
      </c>
      <c r="K359" s="135"/>
      <c r="L359" s="135"/>
      <c r="M359" s="135"/>
      <c r="N359" s="136"/>
      <c r="O359" s="41">
        <v>6</v>
      </c>
      <c r="P359" s="159">
        <v>2014</v>
      </c>
    </row>
    <row r="360" spans="1:16">
      <c r="A360" s="131">
        <v>13</v>
      </c>
      <c r="B360" s="131" t="s">
        <v>684</v>
      </c>
      <c r="C360" s="132" t="s">
        <v>679</v>
      </c>
      <c r="D360" s="133" t="s">
        <v>701</v>
      </c>
      <c r="E360" s="134">
        <v>7</v>
      </c>
      <c r="F360" s="81" t="s">
        <v>686</v>
      </c>
      <c r="G360" s="68" t="s">
        <v>682</v>
      </c>
      <c r="H360" s="68">
        <v>1</v>
      </c>
      <c r="I360" s="68">
        <v>115000</v>
      </c>
      <c r="J360" s="68">
        <v>115000</v>
      </c>
      <c r="K360" s="135"/>
      <c r="L360" s="135"/>
      <c r="M360" s="135"/>
      <c r="N360" s="136"/>
      <c r="O360" s="41">
        <v>6</v>
      </c>
      <c r="P360" s="159">
        <v>2014</v>
      </c>
    </row>
    <row r="361" spans="1:16">
      <c r="A361" s="131">
        <v>13</v>
      </c>
      <c r="B361" s="131" t="s">
        <v>684</v>
      </c>
      <c r="C361" s="132" t="s">
        <v>679</v>
      </c>
      <c r="D361" s="133" t="s">
        <v>701</v>
      </c>
      <c r="E361" s="134">
        <v>7</v>
      </c>
      <c r="G361" s="68"/>
      <c r="I361" s="68"/>
      <c r="J361" s="68"/>
      <c r="K361" s="135">
        <v>213000</v>
      </c>
      <c r="L361" s="135">
        <v>113000</v>
      </c>
      <c r="M361" s="135">
        <v>100000</v>
      </c>
      <c r="N361" s="136" t="s">
        <v>700</v>
      </c>
      <c r="O361" s="41">
        <v>6</v>
      </c>
      <c r="P361" s="159">
        <v>2014</v>
      </c>
    </row>
    <row r="362" spans="1:16">
      <c r="A362" s="137">
        <v>13</v>
      </c>
      <c r="B362" s="137" t="s">
        <v>684</v>
      </c>
      <c r="C362" s="138" t="s">
        <v>679</v>
      </c>
      <c r="D362" s="139" t="s">
        <v>701</v>
      </c>
      <c r="E362" s="140">
        <v>8</v>
      </c>
      <c r="F362" s="141"/>
      <c r="G362" s="142"/>
      <c r="H362" s="142"/>
      <c r="I362" s="142"/>
      <c r="J362" s="142"/>
      <c r="K362" s="143"/>
      <c r="L362" s="143"/>
      <c r="M362" s="143"/>
      <c r="N362" s="144"/>
      <c r="O362" s="41">
        <v>6</v>
      </c>
      <c r="P362" s="159">
        <v>2014</v>
      </c>
    </row>
    <row r="363" spans="1:16">
      <c r="A363" s="131">
        <v>13</v>
      </c>
      <c r="B363" s="131" t="s">
        <v>684</v>
      </c>
      <c r="C363" s="132" t="s">
        <v>679</v>
      </c>
      <c r="D363" s="133" t="s">
        <v>701</v>
      </c>
      <c r="E363" s="134">
        <v>8</v>
      </c>
      <c r="F363" s="81" t="s">
        <v>686</v>
      </c>
      <c r="G363" s="68" t="s">
        <v>682</v>
      </c>
      <c r="H363" s="68">
        <v>1</v>
      </c>
      <c r="I363" s="68">
        <v>115000</v>
      </c>
      <c r="J363" s="68">
        <v>115000</v>
      </c>
      <c r="K363" s="135"/>
      <c r="L363" s="135"/>
      <c r="M363" s="135"/>
      <c r="N363" s="136"/>
      <c r="O363" s="41">
        <v>6</v>
      </c>
      <c r="P363" s="159">
        <v>2014</v>
      </c>
    </row>
    <row r="364" spans="1:16">
      <c r="A364" s="131">
        <v>13</v>
      </c>
      <c r="B364" s="131" t="s">
        <v>684</v>
      </c>
      <c r="C364" s="132" t="s">
        <v>679</v>
      </c>
      <c r="D364" s="133" t="s">
        <v>701</v>
      </c>
      <c r="E364" s="134">
        <v>8</v>
      </c>
      <c r="G364" s="68"/>
      <c r="I364" s="68"/>
      <c r="J364" s="68"/>
      <c r="K364" s="135">
        <v>115000</v>
      </c>
      <c r="L364" s="135">
        <v>65000</v>
      </c>
      <c r="M364" s="135">
        <v>50000</v>
      </c>
      <c r="N364" s="136" t="s">
        <v>700</v>
      </c>
      <c r="O364" s="41">
        <v>6</v>
      </c>
      <c r="P364" s="159">
        <v>2014</v>
      </c>
    </row>
    <row r="365" spans="1:16">
      <c r="A365" s="137">
        <v>13</v>
      </c>
      <c r="B365" s="137" t="s">
        <v>684</v>
      </c>
      <c r="C365" s="138" t="s">
        <v>679</v>
      </c>
      <c r="D365" s="139" t="s">
        <v>701</v>
      </c>
      <c r="E365" s="140">
        <v>9</v>
      </c>
      <c r="F365" s="141"/>
      <c r="G365" s="142"/>
      <c r="H365" s="142"/>
      <c r="I365" s="142"/>
      <c r="J365" s="142"/>
      <c r="K365" s="143"/>
      <c r="L365" s="143"/>
      <c r="M365" s="143"/>
      <c r="N365" s="144"/>
      <c r="O365" s="41">
        <v>6</v>
      </c>
      <c r="P365" s="159">
        <v>2014</v>
      </c>
    </row>
    <row r="366" spans="1:16">
      <c r="A366" s="131">
        <v>13</v>
      </c>
      <c r="B366" s="131" t="s">
        <v>684</v>
      </c>
      <c r="C366" s="132" t="s">
        <v>679</v>
      </c>
      <c r="D366" s="133" t="s">
        <v>701</v>
      </c>
      <c r="E366" s="134">
        <v>9</v>
      </c>
      <c r="F366" s="81" t="s">
        <v>686</v>
      </c>
      <c r="G366" s="68" t="s">
        <v>682</v>
      </c>
      <c r="H366" s="68">
        <v>2</v>
      </c>
      <c r="I366" s="68">
        <v>115000</v>
      </c>
      <c r="J366" s="68">
        <v>230000</v>
      </c>
      <c r="K366" s="135"/>
      <c r="L366" s="135"/>
      <c r="M366" s="135"/>
      <c r="N366" s="136"/>
      <c r="O366" s="41">
        <v>6</v>
      </c>
      <c r="P366" s="159">
        <v>2014</v>
      </c>
    </row>
    <row r="367" spans="1:16">
      <c r="A367" s="131">
        <v>13</v>
      </c>
      <c r="B367" s="131" t="s">
        <v>684</v>
      </c>
      <c r="C367" s="132" t="s">
        <v>679</v>
      </c>
      <c r="D367" s="133" t="s">
        <v>701</v>
      </c>
      <c r="E367" s="134">
        <v>9</v>
      </c>
      <c r="F367" s="81" t="s">
        <v>680</v>
      </c>
      <c r="G367" s="68" t="s">
        <v>651</v>
      </c>
      <c r="H367" s="68">
        <v>1</v>
      </c>
      <c r="I367" s="68">
        <v>98000</v>
      </c>
      <c r="J367" s="68">
        <v>98000</v>
      </c>
      <c r="K367" s="135"/>
      <c r="L367" s="135"/>
      <c r="M367" s="135"/>
      <c r="N367" s="136"/>
      <c r="O367" s="41">
        <v>6</v>
      </c>
      <c r="P367" s="159">
        <v>2014</v>
      </c>
    </row>
    <row r="368" spans="1:16">
      <c r="A368" s="131">
        <v>13</v>
      </c>
      <c r="B368" s="131" t="s">
        <v>684</v>
      </c>
      <c r="C368" s="132" t="s">
        <v>679</v>
      </c>
      <c r="D368" s="133" t="s">
        <v>701</v>
      </c>
      <c r="E368" s="134">
        <v>9</v>
      </c>
      <c r="G368" s="68"/>
      <c r="I368" s="68"/>
      <c r="J368" s="68"/>
      <c r="K368" s="135">
        <v>328000</v>
      </c>
      <c r="L368" s="135">
        <v>178000</v>
      </c>
      <c r="M368" s="135">
        <v>150000</v>
      </c>
      <c r="N368" s="136" t="s">
        <v>700</v>
      </c>
      <c r="O368" s="41">
        <v>6</v>
      </c>
      <c r="P368" s="159">
        <v>2014</v>
      </c>
    </row>
    <row r="369" spans="1:16">
      <c r="A369" s="137">
        <v>13</v>
      </c>
      <c r="B369" s="137" t="s">
        <v>684</v>
      </c>
      <c r="C369" s="138" t="s">
        <v>679</v>
      </c>
      <c r="D369" s="139" t="s">
        <v>701</v>
      </c>
      <c r="E369" s="140">
        <v>10</v>
      </c>
      <c r="F369" s="141"/>
      <c r="G369" s="142"/>
      <c r="H369" s="142"/>
      <c r="I369" s="142"/>
      <c r="J369" s="142"/>
      <c r="K369" s="143"/>
      <c r="L369" s="143"/>
      <c r="M369" s="143"/>
      <c r="N369" s="144"/>
      <c r="O369" s="41">
        <v>6</v>
      </c>
      <c r="P369" s="159">
        <v>2014</v>
      </c>
    </row>
    <row r="370" spans="1:16">
      <c r="A370" s="131">
        <v>13</v>
      </c>
      <c r="B370" s="131" t="s">
        <v>684</v>
      </c>
      <c r="C370" s="132" t="s">
        <v>679</v>
      </c>
      <c r="D370" s="133" t="s">
        <v>701</v>
      </c>
      <c r="E370" s="134">
        <v>10</v>
      </c>
      <c r="F370" s="81" t="s">
        <v>694</v>
      </c>
      <c r="G370" s="68" t="s">
        <v>652</v>
      </c>
      <c r="H370" s="68">
        <v>1</v>
      </c>
      <c r="I370" s="68">
        <v>98000</v>
      </c>
      <c r="J370" s="68">
        <v>98000</v>
      </c>
      <c r="K370" s="135"/>
      <c r="L370" s="135"/>
      <c r="M370" s="135"/>
      <c r="N370" s="136"/>
      <c r="O370" s="41">
        <v>6</v>
      </c>
      <c r="P370" s="159">
        <v>2014</v>
      </c>
    </row>
    <row r="371" spans="1:16">
      <c r="A371" s="131">
        <v>13</v>
      </c>
      <c r="B371" s="131" t="s">
        <v>684</v>
      </c>
      <c r="C371" s="132" t="s">
        <v>679</v>
      </c>
      <c r="D371" s="133" t="s">
        <v>701</v>
      </c>
      <c r="E371" s="134">
        <v>10</v>
      </c>
      <c r="G371" s="68"/>
      <c r="I371" s="68"/>
      <c r="J371" s="68"/>
      <c r="K371" s="135">
        <v>98000</v>
      </c>
      <c r="L371" s="135">
        <v>48000</v>
      </c>
      <c r="M371" s="135">
        <v>50000</v>
      </c>
      <c r="N371" s="136" t="s">
        <v>700</v>
      </c>
      <c r="O371" s="41">
        <v>6</v>
      </c>
      <c r="P371" s="159">
        <v>2014</v>
      </c>
    </row>
    <row r="372" spans="1:16">
      <c r="A372" s="137">
        <v>13</v>
      </c>
      <c r="B372" s="137" t="s">
        <v>684</v>
      </c>
      <c r="C372" s="138" t="s">
        <v>679</v>
      </c>
      <c r="D372" s="139" t="s">
        <v>701</v>
      </c>
      <c r="E372" s="140">
        <v>11</v>
      </c>
      <c r="F372" s="141"/>
      <c r="G372" s="142"/>
      <c r="H372" s="142"/>
      <c r="I372" s="142"/>
      <c r="J372" s="142"/>
      <c r="K372" s="143"/>
      <c r="L372" s="143"/>
      <c r="M372" s="143"/>
      <c r="N372" s="144"/>
      <c r="O372" s="41">
        <v>6</v>
      </c>
      <c r="P372" s="159">
        <v>2014</v>
      </c>
    </row>
    <row r="373" spans="1:16">
      <c r="A373" s="131">
        <v>13</v>
      </c>
      <c r="B373" s="131" t="s">
        <v>684</v>
      </c>
      <c r="C373" s="132" t="s">
        <v>679</v>
      </c>
      <c r="D373" s="133" t="s">
        <v>701</v>
      </c>
      <c r="E373" s="134">
        <v>11</v>
      </c>
      <c r="F373" s="81" t="s">
        <v>680</v>
      </c>
      <c r="G373" s="68" t="s">
        <v>651</v>
      </c>
      <c r="H373" s="68">
        <v>1</v>
      </c>
      <c r="I373" s="68">
        <v>98000</v>
      </c>
      <c r="J373" s="68">
        <v>98000</v>
      </c>
      <c r="K373" s="135"/>
      <c r="L373" s="135"/>
      <c r="M373" s="135"/>
      <c r="N373" s="136"/>
      <c r="O373" s="41">
        <v>6</v>
      </c>
      <c r="P373" s="159">
        <v>2014</v>
      </c>
    </row>
    <row r="374" spans="1:16">
      <c r="A374" s="131">
        <v>13</v>
      </c>
      <c r="B374" s="131" t="s">
        <v>684</v>
      </c>
      <c r="C374" s="132" t="s">
        <v>679</v>
      </c>
      <c r="D374" s="133" t="s">
        <v>701</v>
      </c>
      <c r="E374" s="134">
        <v>11</v>
      </c>
      <c r="G374" s="68"/>
      <c r="I374" s="68"/>
      <c r="J374" s="68"/>
      <c r="K374" s="135">
        <v>98000</v>
      </c>
      <c r="L374" s="135">
        <v>48000</v>
      </c>
      <c r="M374" s="135">
        <v>50000</v>
      </c>
      <c r="N374" s="136" t="s">
        <v>700</v>
      </c>
      <c r="O374" s="41">
        <v>6</v>
      </c>
      <c r="P374" s="159">
        <v>2014</v>
      </c>
    </row>
    <row r="375" spans="1:16">
      <c r="A375" s="137">
        <v>13</v>
      </c>
      <c r="B375" s="137" t="s">
        <v>684</v>
      </c>
      <c r="C375" s="138" t="s">
        <v>679</v>
      </c>
      <c r="D375" s="139" t="s">
        <v>701</v>
      </c>
      <c r="E375" s="140">
        <v>12</v>
      </c>
      <c r="F375" s="141"/>
      <c r="G375" s="142"/>
      <c r="H375" s="142"/>
      <c r="I375" s="142"/>
      <c r="J375" s="142"/>
      <c r="K375" s="143"/>
      <c r="L375" s="143"/>
      <c r="M375" s="143"/>
      <c r="N375" s="144"/>
      <c r="O375" s="41">
        <v>6</v>
      </c>
      <c r="P375" s="159">
        <v>2014</v>
      </c>
    </row>
    <row r="376" spans="1:16">
      <c r="A376" s="131">
        <v>13</v>
      </c>
      <c r="B376" s="131" t="s">
        <v>684</v>
      </c>
      <c r="C376" s="132" t="s">
        <v>679</v>
      </c>
      <c r="D376" s="133" t="s">
        <v>701</v>
      </c>
      <c r="E376" s="134">
        <v>12</v>
      </c>
      <c r="F376" s="81" t="s">
        <v>680</v>
      </c>
      <c r="G376" s="68" t="s">
        <v>651</v>
      </c>
      <c r="H376" s="68">
        <v>1</v>
      </c>
      <c r="I376" s="68">
        <v>98000</v>
      </c>
      <c r="J376" s="68">
        <v>98000</v>
      </c>
      <c r="K376" s="135"/>
      <c r="L376" s="135"/>
      <c r="M376" s="135"/>
      <c r="N376" s="136"/>
      <c r="O376" s="41">
        <v>6</v>
      </c>
      <c r="P376" s="159">
        <v>2014</v>
      </c>
    </row>
    <row r="377" spans="1:16">
      <c r="A377" s="131">
        <v>13</v>
      </c>
      <c r="B377" s="131" t="s">
        <v>684</v>
      </c>
      <c r="C377" s="132" t="s">
        <v>679</v>
      </c>
      <c r="D377" s="133" t="s">
        <v>701</v>
      </c>
      <c r="E377" s="134">
        <v>12</v>
      </c>
      <c r="G377" s="68"/>
      <c r="I377" s="68"/>
      <c r="J377" s="68"/>
      <c r="K377" s="135">
        <v>98000</v>
      </c>
      <c r="L377" s="135">
        <v>48000</v>
      </c>
      <c r="M377" s="135">
        <v>50000</v>
      </c>
      <c r="N377" s="136" t="s">
        <v>700</v>
      </c>
      <c r="O377" s="41">
        <v>6</v>
      </c>
      <c r="P377" s="159">
        <v>2014</v>
      </c>
    </row>
    <row r="378" spans="1:16">
      <c r="A378" s="137">
        <v>13</v>
      </c>
      <c r="B378" s="137" t="s">
        <v>684</v>
      </c>
      <c r="C378" s="138" t="s">
        <v>679</v>
      </c>
      <c r="D378" s="139" t="s">
        <v>701</v>
      </c>
      <c r="E378" s="140">
        <v>13</v>
      </c>
      <c r="F378" s="141"/>
      <c r="G378" s="142"/>
      <c r="H378" s="142"/>
      <c r="I378" s="142"/>
      <c r="J378" s="142"/>
      <c r="K378" s="143"/>
      <c r="L378" s="143"/>
      <c r="M378" s="143"/>
      <c r="N378" s="144"/>
      <c r="O378" s="41">
        <v>6</v>
      </c>
      <c r="P378" s="159">
        <v>2014</v>
      </c>
    </row>
    <row r="379" spans="1:16">
      <c r="A379" s="131">
        <v>13</v>
      </c>
      <c r="B379" s="131" t="s">
        <v>684</v>
      </c>
      <c r="C379" s="132" t="s">
        <v>679</v>
      </c>
      <c r="D379" s="133" t="s">
        <v>701</v>
      </c>
      <c r="E379" s="134">
        <v>13</v>
      </c>
      <c r="F379" s="81" t="s">
        <v>707</v>
      </c>
      <c r="G379" s="68" t="s">
        <v>708</v>
      </c>
      <c r="H379" s="68">
        <v>1</v>
      </c>
      <c r="I379" s="68">
        <v>115000</v>
      </c>
      <c r="J379" s="68">
        <v>115000</v>
      </c>
      <c r="K379" s="135"/>
      <c r="L379" s="135"/>
      <c r="M379" s="135"/>
      <c r="N379" s="136"/>
      <c r="O379" s="41">
        <v>6</v>
      </c>
      <c r="P379" s="159">
        <v>2014</v>
      </c>
    </row>
    <row r="380" spans="1:16">
      <c r="A380" s="131">
        <v>13</v>
      </c>
      <c r="B380" s="131" t="s">
        <v>684</v>
      </c>
      <c r="C380" s="132" t="s">
        <v>679</v>
      </c>
      <c r="D380" s="133" t="s">
        <v>701</v>
      </c>
      <c r="E380" s="134">
        <v>13</v>
      </c>
      <c r="G380" s="68"/>
      <c r="I380" s="68"/>
      <c r="J380" s="68"/>
      <c r="K380" s="135">
        <v>115000</v>
      </c>
      <c r="L380" s="135"/>
      <c r="M380" s="135">
        <v>115000</v>
      </c>
      <c r="N380" s="136"/>
      <c r="O380" s="41">
        <v>6</v>
      </c>
      <c r="P380" s="159">
        <v>2014</v>
      </c>
    </row>
    <row r="381" spans="1:16">
      <c r="A381" s="137">
        <v>13</v>
      </c>
      <c r="B381" s="137" t="s">
        <v>684</v>
      </c>
      <c r="C381" s="138" t="s">
        <v>679</v>
      </c>
      <c r="D381" s="139" t="s">
        <v>701</v>
      </c>
      <c r="E381" s="140">
        <v>14</v>
      </c>
      <c r="F381" s="141"/>
      <c r="G381" s="142"/>
      <c r="H381" s="142"/>
      <c r="I381" s="142"/>
      <c r="J381" s="142"/>
      <c r="K381" s="143"/>
      <c r="L381" s="143"/>
      <c r="M381" s="143"/>
      <c r="N381" s="144"/>
      <c r="O381" s="41">
        <v>6</v>
      </c>
      <c r="P381" s="159">
        <v>2014</v>
      </c>
    </row>
    <row r="382" spans="1:16">
      <c r="A382" s="131">
        <v>13</v>
      </c>
      <c r="B382" s="131" t="s">
        <v>684</v>
      </c>
      <c r="C382" s="132" t="s">
        <v>679</v>
      </c>
      <c r="D382" s="133" t="s">
        <v>701</v>
      </c>
      <c r="E382" s="134">
        <v>14</v>
      </c>
      <c r="F382" s="81" t="s">
        <v>686</v>
      </c>
      <c r="G382" s="68" t="s">
        <v>682</v>
      </c>
      <c r="H382" s="68">
        <v>1</v>
      </c>
      <c r="I382" s="68">
        <v>115000</v>
      </c>
      <c r="J382" s="68">
        <v>115000</v>
      </c>
      <c r="K382" s="135"/>
      <c r="L382" s="135"/>
      <c r="M382" s="135"/>
      <c r="N382" s="136"/>
      <c r="O382" s="41">
        <v>6</v>
      </c>
      <c r="P382" s="159">
        <v>2014</v>
      </c>
    </row>
    <row r="383" spans="1:16">
      <c r="A383" s="131">
        <v>13</v>
      </c>
      <c r="B383" s="131" t="s">
        <v>684</v>
      </c>
      <c r="C383" s="132" t="s">
        <v>679</v>
      </c>
      <c r="D383" s="133" t="s">
        <v>701</v>
      </c>
      <c r="E383" s="134">
        <v>14</v>
      </c>
      <c r="F383" s="81" t="s">
        <v>680</v>
      </c>
      <c r="G383" s="68" t="s">
        <v>651</v>
      </c>
      <c r="H383" s="68">
        <v>1</v>
      </c>
      <c r="I383" s="68">
        <v>98000</v>
      </c>
      <c r="J383" s="68">
        <v>98000</v>
      </c>
      <c r="K383" s="135"/>
      <c r="L383" s="135"/>
      <c r="M383" s="135"/>
      <c r="N383" s="136"/>
      <c r="O383" s="41">
        <v>6</v>
      </c>
      <c r="P383" s="159">
        <v>2014</v>
      </c>
    </row>
    <row r="384" spans="1:16">
      <c r="A384" s="131">
        <v>13</v>
      </c>
      <c r="B384" s="131" t="s">
        <v>684</v>
      </c>
      <c r="C384" s="132" t="s">
        <v>679</v>
      </c>
      <c r="D384" s="133" t="s">
        <v>701</v>
      </c>
      <c r="E384" s="134">
        <v>14</v>
      </c>
      <c r="G384" s="68"/>
      <c r="I384" s="68"/>
      <c r="J384" s="68"/>
      <c r="K384" s="135">
        <v>213000</v>
      </c>
      <c r="L384" s="135">
        <v>113000</v>
      </c>
      <c r="M384" s="135">
        <v>100000</v>
      </c>
      <c r="N384" s="136" t="s">
        <v>700</v>
      </c>
      <c r="O384" s="41">
        <v>6</v>
      </c>
      <c r="P384" s="159">
        <v>2014</v>
      </c>
    </row>
    <row r="385" spans="1:16">
      <c r="A385" s="137">
        <v>13</v>
      </c>
      <c r="B385" s="137" t="s">
        <v>684</v>
      </c>
      <c r="C385" s="138" t="s">
        <v>679</v>
      </c>
      <c r="D385" s="139" t="s">
        <v>701</v>
      </c>
      <c r="E385" s="140">
        <v>15</v>
      </c>
      <c r="F385" s="141"/>
      <c r="G385" s="142"/>
      <c r="H385" s="142"/>
      <c r="I385" s="142"/>
      <c r="J385" s="142"/>
      <c r="K385" s="143"/>
      <c r="L385" s="143"/>
      <c r="M385" s="143"/>
      <c r="N385" s="144"/>
      <c r="O385" s="41">
        <v>6</v>
      </c>
      <c r="P385" s="159">
        <v>2014</v>
      </c>
    </row>
    <row r="386" spans="1:16">
      <c r="A386" s="131">
        <v>13</v>
      </c>
      <c r="B386" s="131" t="s">
        <v>684</v>
      </c>
      <c r="C386" s="132" t="s">
        <v>679</v>
      </c>
      <c r="D386" s="133" t="s">
        <v>701</v>
      </c>
      <c r="E386" s="134">
        <v>15</v>
      </c>
      <c r="F386" s="81" t="s">
        <v>680</v>
      </c>
      <c r="G386" s="68" t="s">
        <v>651</v>
      </c>
      <c r="H386" s="68">
        <v>1</v>
      </c>
      <c r="I386" s="68">
        <v>98000</v>
      </c>
      <c r="J386" s="68">
        <v>98000</v>
      </c>
      <c r="K386" s="135"/>
      <c r="L386" s="135"/>
      <c r="M386" s="135"/>
      <c r="N386" s="136"/>
      <c r="O386" s="41">
        <v>6</v>
      </c>
      <c r="P386" s="159">
        <v>2014</v>
      </c>
    </row>
    <row r="387" spans="1:16">
      <c r="A387" s="131">
        <v>13</v>
      </c>
      <c r="B387" s="131" t="s">
        <v>684</v>
      </c>
      <c r="C387" s="132" t="s">
        <v>679</v>
      </c>
      <c r="D387" s="133" t="s">
        <v>701</v>
      </c>
      <c r="E387" s="134">
        <v>15</v>
      </c>
      <c r="F387" s="81" t="s">
        <v>686</v>
      </c>
      <c r="G387" s="68" t="s">
        <v>682</v>
      </c>
      <c r="H387" s="68">
        <v>1</v>
      </c>
      <c r="I387" s="68">
        <v>115000</v>
      </c>
      <c r="J387" s="68">
        <v>115000</v>
      </c>
      <c r="K387" s="135"/>
      <c r="L387" s="135"/>
      <c r="M387" s="135"/>
      <c r="N387" s="136"/>
      <c r="O387" s="41">
        <v>6</v>
      </c>
      <c r="P387" s="159">
        <v>2014</v>
      </c>
    </row>
    <row r="388" spans="1:16">
      <c r="A388" s="131">
        <v>13</v>
      </c>
      <c r="B388" s="131" t="s">
        <v>684</v>
      </c>
      <c r="C388" s="132" t="s">
        <v>679</v>
      </c>
      <c r="D388" s="133" t="s">
        <v>701</v>
      </c>
      <c r="E388" s="134">
        <v>15</v>
      </c>
      <c r="F388" s="81" t="s">
        <v>699</v>
      </c>
      <c r="G388" s="68" t="s">
        <v>650</v>
      </c>
      <c r="H388" s="68">
        <v>1</v>
      </c>
      <c r="I388" s="68">
        <v>85000</v>
      </c>
      <c r="J388" s="68">
        <v>85000</v>
      </c>
      <c r="K388" s="135"/>
      <c r="L388" s="135"/>
      <c r="M388" s="135"/>
      <c r="N388" s="136"/>
      <c r="O388" s="41">
        <v>6</v>
      </c>
      <c r="P388" s="159">
        <v>2014</v>
      </c>
    </row>
    <row r="389" spans="1:16">
      <c r="A389" s="131">
        <v>13</v>
      </c>
      <c r="B389" s="131" t="s">
        <v>684</v>
      </c>
      <c r="C389" s="132" t="s">
        <v>679</v>
      </c>
      <c r="D389" s="133" t="s">
        <v>701</v>
      </c>
      <c r="E389" s="134">
        <v>15</v>
      </c>
      <c r="G389" s="68"/>
      <c r="I389" s="68"/>
      <c r="J389" s="68"/>
      <c r="K389" s="135">
        <v>298000</v>
      </c>
      <c r="L389" s="135">
        <v>148000</v>
      </c>
      <c r="M389" s="135">
        <v>150000</v>
      </c>
      <c r="N389" s="136" t="s">
        <v>700</v>
      </c>
      <c r="O389" s="41">
        <v>6</v>
      </c>
      <c r="P389" s="159">
        <v>2014</v>
      </c>
    </row>
    <row r="390" spans="1:16">
      <c r="A390" s="137">
        <v>13</v>
      </c>
      <c r="B390" s="137" t="s">
        <v>684</v>
      </c>
      <c r="C390" s="138" t="s">
        <v>679</v>
      </c>
      <c r="D390" s="139" t="s">
        <v>701</v>
      </c>
      <c r="E390" s="140">
        <v>16</v>
      </c>
      <c r="F390" s="141"/>
      <c r="G390" s="142"/>
      <c r="H390" s="142"/>
      <c r="I390" s="142"/>
      <c r="J390" s="142"/>
      <c r="K390" s="143"/>
      <c r="L390" s="143"/>
      <c r="M390" s="143"/>
      <c r="N390" s="144"/>
      <c r="O390" s="41">
        <v>6</v>
      </c>
      <c r="P390" s="159">
        <v>2014</v>
      </c>
    </row>
    <row r="391" spans="1:16">
      <c r="A391" s="131">
        <v>13</v>
      </c>
      <c r="B391" s="131" t="s">
        <v>684</v>
      </c>
      <c r="C391" s="132" t="s">
        <v>679</v>
      </c>
      <c r="D391" s="133" t="s">
        <v>701</v>
      </c>
      <c r="E391" s="134">
        <v>16</v>
      </c>
      <c r="F391" s="81" t="s">
        <v>680</v>
      </c>
      <c r="G391" s="68" t="s">
        <v>651</v>
      </c>
      <c r="H391" s="68">
        <v>1</v>
      </c>
      <c r="I391" s="68">
        <v>98000</v>
      </c>
      <c r="J391" s="68">
        <v>98000</v>
      </c>
      <c r="K391" s="135"/>
      <c r="L391" s="135"/>
      <c r="M391" s="135"/>
      <c r="N391" s="136"/>
      <c r="O391" s="41">
        <v>6</v>
      </c>
      <c r="P391" s="159">
        <v>2014</v>
      </c>
    </row>
    <row r="392" spans="1:16">
      <c r="A392" s="131">
        <v>13</v>
      </c>
      <c r="B392" s="131" t="s">
        <v>684</v>
      </c>
      <c r="C392" s="132" t="s">
        <v>679</v>
      </c>
      <c r="D392" s="133" t="s">
        <v>701</v>
      </c>
      <c r="E392" s="134">
        <v>16</v>
      </c>
      <c r="F392" s="81" t="s">
        <v>709</v>
      </c>
      <c r="G392" s="68" t="s">
        <v>710</v>
      </c>
      <c r="H392" s="68">
        <v>1</v>
      </c>
      <c r="I392" s="68">
        <v>155000</v>
      </c>
      <c r="J392" s="68">
        <v>155000</v>
      </c>
      <c r="K392" s="135"/>
      <c r="L392" s="135"/>
      <c r="M392" s="135"/>
      <c r="N392" s="136"/>
      <c r="O392" s="41">
        <v>6</v>
      </c>
      <c r="P392" s="159">
        <v>2014</v>
      </c>
    </row>
    <row r="393" spans="1:16">
      <c r="A393" s="131">
        <v>13</v>
      </c>
      <c r="B393" s="131" t="s">
        <v>684</v>
      </c>
      <c r="C393" s="132" t="s">
        <v>679</v>
      </c>
      <c r="D393" s="133" t="s">
        <v>701</v>
      </c>
      <c r="E393" s="134">
        <v>16</v>
      </c>
      <c r="G393" s="68"/>
      <c r="I393" s="68"/>
      <c r="J393" s="68"/>
      <c r="K393" s="135">
        <v>253000</v>
      </c>
      <c r="L393" s="135">
        <v>48000</v>
      </c>
      <c r="M393" s="135">
        <v>205000</v>
      </c>
      <c r="N393" s="136" t="s">
        <v>700</v>
      </c>
      <c r="O393" s="41">
        <v>6</v>
      </c>
      <c r="P393" s="159">
        <v>2014</v>
      </c>
    </row>
    <row r="394" spans="1:16">
      <c r="A394" s="137">
        <v>13</v>
      </c>
      <c r="B394" s="137" t="s">
        <v>684</v>
      </c>
      <c r="C394" s="138" t="s">
        <v>679</v>
      </c>
      <c r="D394" s="139" t="s">
        <v>701</v>
      </c>
      <c r="E394" s="140">
        <v>17</v>
      </c>
      <c r="F394" s="141"/>
      <c r="G394" s="142"/>
      <c r="H394" s="142"/>
      <c r="I394" s="142"/>
      <c r="J394" s="142"/>
      <c r="K394" s="143"/>
      <c r="L394" s="143"/>
      <c r="M394" s="143"/>
      <c r="N394" s="144"/>
      <c r="O394" s="41">
        <v>6</v>
      </c>
      <c r="P394" s="159">
        <v>2014</v>
      </c>
    </row>
    <row r="395" spans="1:16">
      <c r="A395" s="131">
        <v>13</v>
      </c>
      <c r="B395" s="131" t="s">
        <v>684</v>
      </c>
      <c r="C395" s="132" t="s">
        <v>679</v>
      </c>
      <c r="D395" s="133" t="s">
        <v>701</v>
      </c>
      <c r="E395" s="134">
        <v>17</v>
      </c>
      <c r="F395" s="81" t="s">
        <v>686</v>
      </c>
      <c r="G395" s="68" t="s">
        <v>682</v>
      </c>
      <c r="H395" s="68">
        <v>4</v>
      </c>
      <c r="I395" s="68">
        <v>115000</v>
      </c>
      <c r="J395" s="68">
        <v>460000</v>
      </c>
      <c r="K395" s="135"/>
      <c r="L395" s="135"/>
      <c r="M395" s="135"/>
      <c r="N395" s="136"/>
      <c r="O395" s="41">
        <v>6</v>
      </c>
      <c r="P395" s="159">
        <v>2014</v>
      </c>
    </row>
    <row r="396" spans="1:16">
      <c r="A396" s="131">
        <v>13</v>
      </c>
      <c r="B396" s="131" t="s">
        <v>684</v>
      </c>
      <c r="C396" s="132" t="s">
        <v>679</v>
      </c>
      <c r="D396" s="133" t="s">
        <v>701</v>
      </c>
      <c r="E396" s="134">
        <v>17</v>
      </c>
      <c r="G396" s="68"/>
      <c r="I396" s="68"/>
      <c r="J396" s="68"/>
      <c r="K396" s="135">
        <v>460000</v>
      </c>
      <c r="L396" s="135">
        <v>260000</v>
      </c>
      <c r="M396" s="135">
        <v>200000</v>
      </c>
      <c r="N396" s="136" t="s">
        <v>700</v>
      </c>
      <c r="O396" s="41">
        <v>6</v>
      </c>
      <c r="P396" s="159">
        <v>2014</v>
      </c>
    </row>
    <row r="397" spans="1:16">
      <c r="A397" s="137">
        <v>13</v>
      </c>
      <c r="B397" s="137" t="s">
        <v>684</v>
      </c>
      <c r="C397" s="138" t="s">
        <v>679</v>
      </c>
      <c r="D397" s="139" t="s">
        <v>701</v>
      </c>
      <c r="E397" s="140">
        <v>18</v>
      </c>
      <c r="F397" s="141"/>
      <c r="G397" s="142"/>
      <c r="H397" s="142"/>
      <c r="I397" s="142"/>
      <c r="J397" s="142"/>
      <c r="K397" s="143"/>
      <c r="L397" s="143"/>
      <c r="M397" s="143"/>
      <c r="N397" s="144"/>
      <c r="O397" s="41">
        <v>6</v>
      </c>
      <c r="P397" s="159">
        <v>2014</v>
      </c>
    </row>
    <row r="398" spans="1:16">
      <c r="A398" s="131">
        <v>13</v>
      </c>
      <c r="B398" s="131" t="s">
        <v>684</v>
      </c>
      <c r="C398" s="132" t="s">
        <v>679</v>
      </c>
      <c r="D398" s="133" t="s">
        <v>701</v>
      </c>
      <c r="E398" s="134">
        <v>18</v>
      </c>
      <c r="F398" s="81" t="s">
        <v>686</v>
      </c>
      <c r="G398" s="68" t="s">
        <v>682</v>
      </c>
      <c r="H398" s="68">
        <v>1</v>
      </c>
      <c r="I398" s="68">
        <v>115000</v>
      </c>
      <c r="J398" s="68">
        <v>115000</v>
      </c>
      <c r="K398" s="135"/>
      <c r="L398" s="135"/>
      <c r="M398" s="135"/>
      <c r="N398" s="136"/>
      <c r="O398" s="41">
        <v>6</v>
      </c>
      <c r="P398" s="159">
        <v>2014</v>
      </c>
    </row>
    <row r="399" spans="1:16">
      <c r="A399" s="131">
        <v>13</v>
      </c>
      <c r="B399" s="131" t="s">
        <v>684</v>
      </c>
      <c r="C399" s="132" t="s">
        <v>679</v>
      </c>
      <c r="D399" s="133" t="s">
        <v>701</v>
      </c>
      <c r="E399" s="134">
        <v>18</v>
      </c>
      <c r="F399" s="81" t="s">
        <v>680</v>
      </c>
      <c r="G399" s="68" t="s">
        <v>651</v>
      </c>
      <c r="H399" s="68">
        <v>1</v>
      </c>
      <c r="I399" s="68">
        <v>98000</v>
      </c>
      <c r="J399" s="68">
        <v>98000</v>
      </c>
      <c r="K399" s="135"/>
      <c r="L399" s="135"/>
      <c r="M399" s="135"/>
      <c r="N399" s="136"/>
      <c r="O399" s="41">
        <v>6</v>
      </c>
      <c r="P399" s="159">
        <v>2014</v>
      </c>
    </row>
    <row r="400" spans="1:16">
      <c r="A400" s="131">
        <v>13</v>
      </c>
      <c r="B400" s="131" t="s">
        <v>684</v>
      </c>
      <c r="C400" s="132" t="s">
        <v>679</v>
      </c>
      <c r="D400" s="133" t="s">
        <v>701</v>
      </c>
      <c r="E400" s="134">
        <v>18</v>
      </c>
      <c r="G400" s="68"/>
      <c r="I400" s="68"/>
      <c r="J400" s="68"/>
      <c r="K400" s="135">
        <v>213000</v>
      </c>
      <c r="L400" s="135">
        <v>113000</v>
      </c>
      <c r="M400" s="135">
        <v>100000</v>
      </c>
      <c r="N400" s="136" t="s">
        <v>700</v>
      </c>
      <c r="O400" s="41">
        <v>6</v>
      </c>
      <c r="P400" s="159">
        <v>2014</v>
      </c>
    </row>
    <row r="401" spans="1:16">
      <c r="A401" s="137">
        <v>13</v>
      </c>
      <c r="B401" s="137" t="s">
        <v>684</v>
      </c>
      <c r="C401" s="138" t="s">
        <v>679</v>
      </c>
      <c r="D401" s="139" t="s">
        <v>701</v>
      </c>
      <c r="E401" s="140">
        <v>19</v>
      </c>
      <c r="F401" s="141"/>
      <c r="G401" s="142"/>
      <c r="H401" s="142"/>
      <c r="I401" s="142"/>
      <c r="J401" s="142"/>
      <c r="K401" s="143"/>
      <c r="L401" s="143"/>
      <c r="M401" s="143"/>
      <c r="N401" s="144"/>
      <c r="O401" s="41">
        <v>6</v>
      </c>
      <c r="P401" s="159">
        <v>2014</v>
      </c>
    </row>
    <row r="402" spans="1:16">
      <c r="A402" s="131">
        <v>13</v>
      </c>
      <c r="B402" s="131" t="s">
        <v>684</v>
      </c>
      <c r="C402" s="132" t="s">
        <v>679</v>
      </c>
      <c r="D402" s="133" t="s">
        <v>701</v>
      </c>
      <c r="E402" s="134">
        <v>19</v>
      </c>
      <c r="F402" s="81" t="s">
        <v>694</v>
      </c>
      <c r="G402" s="68" t="s">
        <v>652</v>
      </c>
      <c r="H402" s="68">
        <v>1</v>
      </c>
      <c r="I402" s="68">
        <v>98000</v>
      </c>
      <c r="J402" s="68">
        <v>98000</v>
      </c>
      <c r="K402" s="135"/>
      <c r="L402" s="135"/>
      <c r="M402" s="135"/>
      <c r="N402" s="136"/>
      <c r="O402" s="41">
        <v>6</v>
      </c>
      <c r="P402" s="159">
        <v>2014</v>
      </c>
    </row>
    <row r="403" spans="1:16">
      <c r="A403" s="131">
        <v>13</v>
      </c>
      <c r="B403" s="131" t="s">
        <v>684</v>
      </c>
      <c r="C403" s="132" t="s">
        <v>679</v>
      </c>
      <c r="D403" s="133" t="s">
        <v>701</v>
      </c>
      <c r="E403" s="134">
        <v>19</v>
      </c>
      <c r="G403" s="68"/>
      <c r="I403" s="68"/>
      <c r="J403" s="68"/>
      <c r="K403" s="135">
        <v>98000</v>
      </c>
      <c r="L403" s="135">
        <v>48000</v>
      </c>
      <c r="M403" s="135">
        <v>50000</v>
      </c>
      <c r="N403" s="136" t="s">
        <v>700</v>
      </c>
      <c r="O403" s="41">
        <v>6</v>
      </c>
      <c r="P403" s="159">
        <v>2014</v>
      </c>
    </row>
    <row r="404" spans="1:16">
      <c r="A404" s="137">
        <v>14</v>
      </c>
      <c r="B404" s="137" t="s">
        <v>681</v>
      </c>
      <c r="C404" s="138" t="s">
        <v>679</v>
      </c>
      <c r="D404" s="139" t="s">
        <v>701</v>
      </c>
      <c r="E404" s="140">
        <v>1</v>
      </c>
      <c r="F404" s="141"/>
      <c r="G404" s="142"/>
      <c r="H404" s="142"/>
      <c r="I404" s="142"/>
      <c r="J404" s="142"/>
      <c r="K404" s="143"/>
      <c r="L404" s="143"/>
      <c r="M404" s="143"/>
      <c r="N404" s="144"/>
      <c r="O404" s="41">
        <v>6</v>
      </c>
      <c r="P404" s="159">
        <v>2014</v>
      </c>
    </row>
    <row r="405" spans="1:16">
      <c r="A405" s="131">
        <v>14</v>
      </c>
      <c r="B405" s="131" t="s">
        <v>681</v>
      </c>
      <c r="C405" s="132" t="s">
        <v>679</v>
      </c>
      <c r="D405" s="133" t="s">
        <v>701</v>
      </c>
      <c r="E405" s="134">
        <v>1</v>
      </c>
      <c r="F405" s="81" t="s">
        <v>686</v>
      </c>
      <c r="G405" s="68" t="s">
        <v>682</v>
      </c>
      <c r="H405" s="68">
        <v>1</v>
      </c>
      <c r="I405" s="68">
        <v>115000</v>
      </c>
      <c r="J405" s="68">
        <v>115000</v>
      </c>
      <c r="K405" s="135"/>
      <c r="L405" s="135"/>
      <c r="M405" s="135"/>
      <c r="N405" s="136"/>
      <c r="O405" s="41">
        <v>6</v>
      </c>
      <c r="P405" s="159">
        <v>2014</v>
      </c>
    </row>
    <row r="406" spans="1:16">
      <c r="A406" s="131">
        <v>14</v>
      </c>
      <c r="B406" s="131" t="s">
        <v>681</v>
      </c>
      <c r="C406" s="132" t="s">
        <v>679</v>
      </c>
      <c r="D406" s="133" t="s">
        <v>701</v>
      </c>
      <c r="E406" s="134">
        <v>1</v>
      </c>
      <c r="G406" s="68"/>
      <c r="I406" s="68"/>
      <c r="J406" s="68"/>
      <c r="K406" s="135">
        <v>115000</v>
      </c>
      <c r="L406" s="135">
        <v>65000</v>
      </c>
      <c r="M406" s="135">
        <v>50000</v>
      </c>
      <c r="N406" s="136" t="s">
        <v>700</v>
      </c>
      <c r="O406" s="41">
        <v>6</v>
      </c>
      <c r="P406" s="159">
        <v>2014</v>
      </c>
    </row>
    <row r="407" spans="1:16">
      <c r="A407" s="137">
        <v>14</v>
      </c>
      <c r="B407" s="137" t="s">
        <v>681</v>
      </c>
      <c r="C407" s="138" t="s">
        <v>679</v>
      </c>
      <c r="D407" s="139" t="s">
        <v>701</v>
      </c>
      <c r="E407" s="140">
        <v>2</v>
      </c>
      <c r="F407" s="141"/>
      <c r="G407" s="142"/>
      <c r="H407" s="142"/>
      <c r="I407" s="142"/>
      <c r="J407" s="142"/>
      <c r="K407" s="143"/>
      <c r="L407" s="143"/>
      <c r="M407" s="143"/>
      <c r="N407" s="144"/>
      <c r="O407" s="41">
        <v>6</v>
      </c>
      <c r="P407" s="159">
        <v>2014</v>
      </c>
    </row>
    <row r="408" spans="1:16">
      <c r="A408" s="131">
        <v>14</v>
      </c>
      <c r="B408" s="131" t="s">
        <v>681</v>
      </c>
      <c r="C408" s="132" t="s">
        <v>679</v>
      </c>
      <c r="D408" s="133" t="s">
        <v>701</v>
      </c>
      <c r="E408" s="134">
        <v>2</v>
      </c>
      <c r="F408" s="81" t="s">
        <v>694</v>
      </c>
      <c r="G408" s="68" t="s">
        <v>652</v>
      </c>
      <c r="H408" s="68">
        <v>1</v>
      </c>
      <c r="I408" s="68">
        <v>98000</v>
      </c>
      <c r="J408" s="68">
        <v>98000</v>
      </c>
      <c r="K408" s="135"/>
      <c r="L408" s="135"/>
      <c r="M408" s="135"/>
      <c r="N408" s="136"/>
      <c r="O408" s="41">
        <v>6</v>
      </c>
      <c r="P408" s="159">
        <v>2014</v>
      </c>
    </row>
    <row r="409" spans="1:16">
      <c r="A409" s="131">
        <v>14</v>
      </c>
      <c r="B409" s="131" t="s">
        <v>681</v>
      </c>
      <c r="C409" s="132" t="s">
        <v>679</v>
      </c>
      <c r="D409" s="133" t="s">
        <v>701</v>
      </c>
      <c r="E409" s="134">
        <v>2</v>
      </c>
      <c r="G409" s="68"/>
      <c r="I409" s="68"/>
      <c r="J409" s="68"/>
      <c r="K409" s="135">
        <v>98000</v>
      </c>
      <c r="L409" s="135">
        <v>48000</v>
      </c>
      <c r="M409" s="135">
        <v>50000</v>
      </c>
      <c r="N409" s="136" t="s">
        <v>700</v>
      </c>
      <c r="O409" s="41">
        <v>6</v>
      </c>
      <c r="P409" s="159">
        <v>2014</v>
      </c>
    </row>
    <row r="410" spans="1:16">
      <c r="A410" s="137">
        <v>14</v>
      </c>
      <c r="B410" s="137" t="s">
        <v>681</v>
      </c>
      <c r="C410" s="138" t="s">
        <v>679</v>
      </c>
      <c r="D410" s="139" t="s">
        <v>701</v>
      </c>
      <c r="E410" s="140">
        <v>3</v>
      </c>
      <c r="F410" s="141"/>
      <c r="G410" s="142"/>
      <c r="H410" s="142"/>
      <c r="I410" s="142"/>
      <c r="J410" s="142"/>
      <c r="K410" s="143"/>
      <c r="L410" s="143"/>
      <c r="M410" s="143"/>
      <c r="N410" s="144"/>
      <c r="O410" s="41">
        <v>6</v>
      </c>
      <c r="P410" s="159">
        <v>2014</v>
      </c>
    </row>
    <row r="411" spans="1:16">
      <c r="A411" s="131">
        <v>14</v>
      </c>
      <c r="B411" s="131" t="s">
        <v>681</v>
      </c>
      <c r="C411" s="132" t="s">
        <v>679</v>
      </c>
      <c r="D411" s="133" t="s">
        <v>701</v>
      </c>
      <c r="E411" s="134">
        <v>3</v>
      </c>
      <c r="F411" s="81" t="s">
        <v>694</v>
      </c>
      <c r="G411" s="68" t="s">
        <v>652</v>
      </c>
      <c r="H411" s="68">
        <v>1</v>
      </c>
      <c r="I411" s="68">
        <v>98000</v>
      </c>
      <c r="J411" s="68">
        <v>98000</v>
      </c>
      <c r="K411" s="135"/>
      <c r="L411" s="135"/>
      <c r="M411" s="135"/>
      <c r="N411" s="136"/>
      <c r="O411" s="41">
        <v>6</v>
      </c>
      <c r="P411" s="159">
        <v>2014</v>
      </c>
    </row>
    <row r="412" spans="1:16">
      <c r="A412" s="131">
        <v>14</v>
      </c>
      <c r="B412" s="131" t="s">
        <v>681</v>
      </c>
      <c r="C412" s="132" t="s">
        <v>679</v>
      </c>
      <c r="D412" s="133" t="s">
        <v>701</v>
      </c>
      <c r="E412" s="134">
        <v>3</v>
      </c>
      <c r="G412" s="68"/>
      <c r="I412" s="68"/>
      <c r="J412" s="68"/>
      <c r="K412" s="135">
        <v>98000</v>
      </c>
      <c r="L412" s="135">
        <v>48000</v>
      </c>
      <c r="M412" s="135">
        <v>50000</v>
      </c>
      <c r="N412" s="136" t="s">
        <v>700</v>
      </c>
      <c r="O412" s="41">
        <v>6</v>
      </c>
      <c r="P412" s="159">
        <v>2014</v>
      </c>
    </row>
    <row r="413" spans="1:16">
      <c r="A413" s="137">
        <v>14</v>
      </c>
      <c r="B413" s="137" t="s">
        <v>681</v>
      </c>
      <c r="C413" s="138" t="s">
        <v>679</v>
      </c>
      <c r="D413" s="139" t="s">
        <v>701</v>
      </c>
      <c r="E413" s="140">
        <v>4</v>
      </c>
      <c r="F413" s="141"/>
      <c r="G413" s="142"/>
      <c r="H413" s="142"/>
      <c r="I413" s="142"/>
      <c r="J413" s="142"/>
      <c r="K413" s="143"/>
      <c r="L413" s="143"/>
      <c r="M413" s="143"/>
      <c r="N413" s="144"/>
      <c r="O413" s="41">
        <v>6</v>
      </c>
      <c r="P413" s="159">
        <v>2014</v>
      </c>
    </row>
    <row r="414" spans="1:16">
      <c r="A414" s="131">
        <v>14</v>
      </c>
      <c r="B414" s="131" t="s">
        <v>681</v>
      </c>
      <c r="C414" s="132" t="s">
        <v>679</v>
      </c>
      <c r="D414" s="133" t="s">
        <v>701</v>
      </c>
      <c r="E414" s="134">
        <v>4</v>
      </c>
      <c r="F414" s="81" t="s">
        <v>680</v>
      </c>
      <c r="G414" s="68" t="s">
        <v>651</v>
      </c>
      <c r="H414" s="68">
        <v>1</v>
      </c>
      <c r="I414" s="68">
        <v>98000</v>
      </c>
      <c r="J414" s="68">
        <v>98000</v>
      </c>
      <c r="K414" s="135"/>
      <c r="L414" s="135"/>
      <c r="M414" s="135"/>
      <c r="N414" s="136"/>
      <c r="O414" s="41">
        <v>6</v>
      </c>
      <c r="P414" s="159">
        <v>2014</v>
      </c>
    </row>
    <row r="415" spans="1:16">
      <c r="A415" s="131">
        <v>14</v>
      </c>
      <c r="B415" s="131" t="s">
        <v>681</v>
      </c>
      <c r="C415" s="132" t="s">
        <v>679</v>
      </c>
      <c r="D415" s="133" t="s">
        <v>701</v>
      </c>
      <c r="E415" s="134">
        <v>4</v>
      </c>
      <c r="G415" s="68"/>
      <c r="I415" s="68"/>
      <c r="J415" s="68"/>
      <c r="K415" s="135">
        <v>98000</v>
      </c>
      <c r="L415" s="135">
        <v>48000</v>
      </c>
      <c r="M415" s="135">
        <v>50000</v>
      </c>
      <c r="N415" s="136" t="s">
        <v>700</v>
      </c>
      <c r="O415" s="41">
        <v>6</v>
      </c>
      <c r="P415" s="159">
        <v>2014</v>
      </c>
    </row>
    <row r="416" spans="1:16">
      <c r="A416" s="137">
        <v>14</v>
      </c>
      <c r="B416" s="137" t="s">
        <v>681</v>
      </c>
      <c r="C416" s="138" t="s">
        <v>679</v>
      </c>
      <c r="D416" s="139" t="s">
        <v>701</v>
      </c>
      <c r="E416" s="140">
        <v>5</v>
      </c>
      <c r="F416" s="141"/>
      <c r="G416" s="142"/>
      <c r="H416" s="142"/>
      <c r="I416" s="142"/>
      <c r="J416" s="142"/>
      <c r="K416" s="143"/>
      <c r="L416" s="143"/>
      <c r="M416" s="143"/>
      <c r="N416" s="144"/>
      <c r="O416" s="41">
        <v>6</v>
      </c>
      <c r="P416" s="159">
        <v>2014</v>
      </c>
    </row>
    <row r="417" spans="1:16">
      <c r="A417" s="131">
        <v>14</v>
      </c>
      <c r="B417" s="131" t="s">
        <v>681</v>
      </c>
      <c r="C417" s="132" t="s">
        <v>679</v>
      </c>
      <c r="D417" s="133" t="s">
        <v>701</v>
      </c>
      <c r="E417" s="134">
        <v>5</v>
      </c>
      <c r="F417" s="81" t="s">
        <v>694</v>
      </c>
      <c r="G417" s="68" t="s">
        <v>652</v>
      </c>
      <c r="H417" s="68">
        <v>1</v>
      </c>
      <c r="I417" s="68">
        <v>98000</v>
      </c>
      <c r="J417" s="68">
        <v>98000</v>
      </c>
      <c r="K417" s="135"/>
      <c r="L417" s="135"/>
      <c r="M417" s="135"/>
      <c r="N417" s="136"/>
      <c r="O417" s="41">
        <v>6</v>
      </c>
      <c r="P417" s="159">
        <v>2014</v>
      </c>
    </row>
    <row r="418" spans="1:16">
      <c r="A418" s="131">
        <v>14</v>
      </c>
      <c r="B418" s="131" t="s">
        <v>681</v>
      </c>
      <c r="C418" s="132" t="s">
        <v>679</v>
      </c>
      <c r="D418" s="133" t="s">
        <v>701</v>
      </c>
      <c r="E418" s="134">
        <v>5</v>
      </c>
      <c r="G418" s="68"/>
      <c r="I418" s="68"/>
      <c r="J418" s="68"/>
      <c r="K418" s="135">
        <v>98000</v>
      </c>
      <c r="L418" s="135">
        <v>48000</v>
      </c>
      <c r="M418" s="135">
        <v>50000</v>
      </c>
      <c r="N418" s="136" t="s">
        <v>700</v>
      </c>
      <c r="O418" s="41">
        <v>6</v>
      </c>
      <c r="P418" s="159">
        <v>2014</v>
      </c>
    </row>
    <row r="419" spans="1:16">
      <c r="A419" s="137">
        <v>14</v>
      </c>
      <c r="B419" s="137" t="s">
        <v>681</v>
      </c>
      <c r="C419" s="138" t="s">
        <v>679</v>
      </c>
      <c r="D419" s="139" t="s">
        <v>701</v>
      </c>
      <c r="E419" s="140">
        <v>6</v>
      </c>
      <c r="F419" s="141"/>
      <c r="G419" s="142"/>
      <c r="H419" s="142"/>
      <c r="I419" s="142"/>
      <c r="J419" s="142"/>
      <c r="K419" s="143"/>
      <c r="L419" s="143"/>
      <c r="M419" s="143"/>
      <c r="N419" s="144"/>
      <c r="O419" s="41">
        <v>6</v>
      </c>
      <c r="P419" s="159">
        <v>2014</v>
      </c>
    </row>
    <row r="420" spans="1:16">
      <c r="A420" s="131">
        <v>14</v>
      </c>
      <c r="B420" s="131" t="s">
        <v>681</v>
      </c>
      <c r="C420" s="132" t="s">
        <v>679</v>
      </c>
      <c r="D420" s="133" t="s">
        <v>701</v>
      </c>
      <c r="E420" s="134">
        <v>6</v>
      </c>
      <c r="F420" s="81" t="s">
        <v>694</v>
      </c>
      <c r="G420" s="68" t="s">
        <v>652</v>
      </c>
      <c r="H420" s="68">
        <v>2</v>
      </c>
      <c r="I420" s="68">
        <v>98000</v>
      </c>
      <c r="J420" s="68">
        <v>196000</v>
      </c>
      <c r="K420" s="135"/>
      <c r="L420" s="135"/>
      <c r="M420" s="135"/>
      <c r="N420" s="136"/>
      <c r="O420" s="41">
        <v>6</v>
      </c>
      <c r="P420" s="159">
        <v>2014</v>
      </c>
    </row>
    <row r="421" spans="1:16">
      <c r="A421" s="131">
        <v>14</v>
      </c>
      <c r="B421" s="131" t="s">
        <v>681</v>
      </c>
      <c r="C421" s="132" t="s">
        <v>679</v>
      </c>
      <c r="D421" s="133" t="s">
        <v>701</v>
      </c>
      <c r="E421" s="134">
        <v>6</v>
      </c>
      <c r="G421" s="68"/>
      <c r="I421" s="68"/>
      <c r="J421" s="68"/>
      <c r="K421" s="135">
        <v>196000</v>
      </c>
      <c r="L421" s="135">
        <v>96000</v>
      </c>
      <c r="M421" s="135">
        <v>100000</v>
      </c>
      <c r="N421" s="136" t="s">
        <v>700</v>
      </c>
      <c r="O421" s="41">
        <v>6</v>
      </c>
      <c r="P421" s="159">
        <v>2014</v>
      </c>
    </row>
    <row r="422" spans="1:16">
      <c r="A422" s="137">
        <v>14</v>
      </c>
      <c r="B422" s="137" t="s">
        <v>681</v>
      </c>
      <c r="C422" s="138" t="s">
        <v>679</v>
      </c>
      <c r="D422" s="139" t="s">
        <v>701</v>
      </c>
      <c r="E422" s="140">
        <v>7</v>
      </c>
      <c r="F422" s="141"/>
      <c r="G422" s="142"/>
      <c r="H422" s="142"/>
      <c r="I422" s="142"/>
      <c r="J422" s="142"/>
      <c r="K422" s="143"/>
      <c r="L422" s="143"/>
      <c r="M422" s="143"/>
      <c r="N422" s="144"/>
      <c r="O422" s="41">
        <v>6</v>
      </c>
      <c r="P422" s="159">
        <v>2014</v>
      </c>
    </row>
    <row r="423" spans="1:16">
      <c r="A423" s="131">
        <v>14</v>
      </c>
      <c r="B423" s="131" t="s">
        <v>681</v>
      </c>
      <c r="C423" s="132" t="s">
        <v>679</v>
      </c>
      <c r="D423" s="133" t="s">
        <v>701</v>
      </c>
      <c r="E423" s="134">
        <v>7</v>
      </c>
      <c r="F423" s="81" t="s">
        <v>686</v>
      </c>
      <c r="G423" s="68" t="s">
        <v>682</v>
      </c>
      <c r="H423" s="68">
        <v>3</v>
      </c>
      <c r="I423" s="68">
        <v>115000</v>
      </c>
      <c r="J423" s="68">
        <v>345000</v>
      </c>
      <c r="K423" s="135"/>
      <c r="L423" s="135"/>
      <c r="M423" s="135"/>
      <c r="N423" s="136"/>
      <c r="O423" s="41">
        <v>6</v>
      </c>
      <c r="P423" s="159">
        <v>2014</v>
      </c>
    </row>
    <row r="424" spans="1:16">
      <c r="A424" s="131">
        <v>14</v>
      </c>
      <c r="B424" s="131" t="s">
        <v>681</v>
      </c>
      <c r="C424" s="132" t="s">
        <v>679</v>
      </c>
      <c r="D424" s="133" t="s">
        <v>701</v>
      </c>
      <c r="E424" s="134">
        <v>7</v>
      </c>
      <c r="G424" s="68"/>
      <c r="I424" s="68"/>
      <c r="J424" s="68"/>
      <c r="K424" s="135">
        <v>345000</v>
      </c>
      <c r="L424" s="135">
        <v>195000</v>
      </c>
      <c r="M424" s="135">
        <v>150000</v>
      </c>
      <c r="N424" s="136" t="s">
        <v>700</v>
      </c>
      <c r="O424" s="41">
        <v>6</v>
      </c>
      <c r="P424" s="159">
        <v>2014</v>
      </c>
    </row>
    <row r="425" spans="1:16">
      <c r="A425" s="137">
        <v>14</v>
      </c>
      <c r="B425" s="137" t="s">
        <v>681</v>
      </c>
      <c r="C425" s="138" t="s">
        <v>679</v>
      </c>
      <c r="D425" s="139" t="s">
        <v>701</v>
      </c>
      <c r="E425" s="140">
        <v>8</v>
      </c>
      <c r="F425" s="141"/>
      <c r="G425" s="142"/>
      <c r="H425" s="142"/>
      <c r="I425" s="142"/>
      <c r="J425" s="142"/>
      <c r="K425" s="143"/>
      <c r="L425" s="143"/>
      <c r="M425" s="143"/>
      <c r="N425" s="144"/>
      <c r="O425" s="41">
        <v>6</v>
      </c>
      <c r="P425" s="159">
        <v>2014</v>
      </c>
    </row>
    <row r="426" spans="1:16">
      <c r="A426" s="131">
        <v>14</v>
      </c>
      <c r="B426" s="131" t="s">
        <v>681</v>
      </c>
      <c r="C426" s="132" t="s">
        <v>679</v>
      </c>
      <c r="D426" s="133" t="s">
        <v>701</v>
      </c>
      <c r="E426" s="134">
        <v>8</v>
      </c>
      <c r="F426" s="81" t="s">
        <v>680</v>
      </c>
      <c r="G426" s="68" t="s">
        <v>651</v>
      </c>
      <c r="H426" s="68">
        <v>1</v>
      </c>
      <c r="I426" s="68">
        <v>98000</v>
      </c>
      <c r="J426" s="68">
        <v>98000</v>
      </c>
      <c r="K426" s="135"/>
      <c r="L426" s="135"/>
      <c r="M426" s="135"/>
      <c r="N426" s="136"/>
      <c r="O426" s="41">
        <v>6</v>
      </c>
      <c r="P426" s="159">
        <v>2014</v>
      </c>
    </row>
    <row r="427" spans="1:16">
      <c r="A427" s="131">
        <v>14</v>
      </c>
      <c r="B427" s="131" t="s">
        <v>681</v>
      </c>
      <c r="C427" s="132" t="s">
        <v>679</v>
      </c>
      <c r="D427" s="133" t="s">
        <v>701</v>
      </c>
      <c r="E427" s="134">
        <v>8</v>
      </c>
      <c r="F427" s="81" t="s">
        <v>686</v>
      </c>
      <c r="G427" s="68" t="s">
        <v>682</v>
      </c>
      <c r="H427" s="68">
        <v>1</v>
      </c>
      <c r="I427" s="68">
        <v>115000</v>
      </c>
      <c r="J427" s="68">
        <v>115000</v>
      </c>
      <c r="K427" s="135"/>
      <c r="L427" s="135"/>
      <c r="M427" s="135"/>
      <c r="N427" s="136"/>
      <c r="O427" s="41">
        <v>6</v>
      </c>
      <c r="P427" s="159">
        <v>2014</v>
      </c>
    </row>
    <row r="428" spans="1:16">
      <c r="A428" s="131">
        <v>14</v>
      </c>
      <c r="B428" s="131" t="s">
        <v>681</v>
      </c>
      <c r="C428" s="132" t="s">
        <v>679</v>
      </c>
      <c r="D428" s="133" t="s">
        <v>701</v>
      </c>
      <c r="E428" s="134">
        <v>8</v>
      </c>
      <c r="G428" s="68"/>
      <c r="I428" s="68"/>
      <c r="J428" s="68"/>
      <c r="K428" s="135">
        <v>213000</v>
      </c>
      <c r="L428" s="135">
        <v>113000</v>
      </c>
      <c r="M428" s="135">
        <v>100000</v>
      </c>
      <c r="N428" s="136" t="s">
        <v>700</v>
      </c>
      <c r="O428" s="41">
        <v>6</v>
      </c>
      <c r="P428" s="159">
        <v>2014</v>
      </c>
    </row>
    <row r="429" spans="1:16">
      <c r="A429" s="137">
        <v>14</v>
      </c>
      <c r="B429" s="137" t="s">
        <v>681</v>
      </c>
      <c r="C429" s="138" t="s">
        <v>679</v>
      </c>
      <c r="D429" s="139" t="s">
        <v>701</v>
      </c>
      <c r="E429" s="140">
        <v>9</v>
      </c>
      <c r="F429" s="141"/>
      <c r="G429" s="142"/>
      <c r="H429" s="142"/>
      <c r="I429" s="142"/>
      <c r="J429" s="142"/>
      <c r="K429" s="143"/>
      <c r="L429" s="143"/>
      <c r="M429" s="143"/>
      <c r="N429" s="144"/>
      <c r="O429" s="41">
        <v>6</v>
      </c>
      <c r="P429" s="159">
        <v>2014</v>
      </c>
    </row>
    <row r="430" spans="1:16">
      <c r="A430" s="131">
        <v>14</v>
      </c>
      <c r="B430" s="131" t="s">
        <v>681</v>
      </c>
      <c r="C430" s="132" t="s">
        <v>679</v>
      </c>
      <c r="D430" s="133" t="s">
        <v>701</v>
      </c>
      <c r="E430" s="134">
        <v>9</v>
      </c>
      <c r="F430" s="81" t="s">
        <v>686</v>
      </c>
      <c r="G430" s="68" t="s">
        <v>682</v>
      </c>
      <c r="H430" s="68">
        <v>1</v>
      </c>
      <c r="I430" s="68">
        <v>115000</v>
      </c>
      <c r="J430" s="68">
        <v>115000</v>
      </c>
      <c r="K430" s="135"/>
      <c r="L430" s="135"/>
      <c r="M430" s="135"/>
      <c r="N430" s="136"/>
      <c r="O430" s="41">
        <v>6</v>
      </c>
      <c r="P430" s="159">
        <v>2014</v>
      </c>
    </row>
    <row r="431" spans="1:16">
      <c r="A431" s="131">
        <v>14</v>
      </c>
      <c r="B431" s="131" t="s">
        <v>681</v>
      </c>
      <c r="C431" s="132" t="s">
        <v>679</v>
      </c>
      <c r="D431" s="133" t="s">
        <v>701</v>
      </c>
      <c r="E431" s="134">
        <v>9</v>
      </c>
      <c r="F431" s="81" t="s">
        <v>694</v>
      </c>
      <c r="G431" s="68" t="s">
        <v>652</v>
      </c>
      <c r="H431" s="68">
        <v>1</v>
      </c>
      <c r="I431" s="68">
        <v>98000</v>
      </c>
      <c r="J431" s="68">
        <v>98000</v>
      </c>
      <c r="K431" s="135"/>
      <c r="L431" s="135"/>
      <c r="M431" s="135"/>
      <c r="N431" s="136"/>
      <c r="O431" s="41">
        <v>6</v>
      </c>
      <c r="P431" s="159">
        <v>2014</v>
      </c>
    </row>
    <row r="432" spans="1:16">
      <c r="A432" s="131">
        <v>14</v>
      </c>
      <c r="B432" s="131" t="s">
        <v>681</v>
      </c>
      <c r="C432" s="132" t="s">
        <v>679</v>
      </c>
      <c r="D432" s="133" t="s">
        <v>701</v>
      </c>
      <c r="E432" s="134">
        <v>9</v>
      </c>
      <c r="G432" s="68"/>
      <c r="I432" s="68"/>
      <c r="J432" s="68"/>
      <c r="K432" s="135">
        <v>213000</v>
      </c>
      <c r="L432" s="135">
        <v>113000</v>
      </c>
      <c r="M432" s="135">
        <v>100000</v>
      </c>
      <c r="N432" s="136" t="s">
        <v>700</v>
      </c>
      <c r="O432" s="41">
        <v>6</v>
      </c>
      <c r="P432" s="159">
        <v>2014</v>
      </c>
    </row>
    <row r="433" spans="1:16">
      <c r="A433" s="137">
        <v>14</v>
      </c>
      <c r="B433" s="137" t="s">
        <v>681</v>
      </c>
      <c r="C433" s="138" t="s">
        <v>679</v>
      </c>
      <c r="D433" s="139" t="s">
        <v>701</v>
      </c>
      <c r="E433" s="140">
        <v>10</v>
      </c>
      <c r="F433" s="141"/>
      <c r="G433" s="142"/>
      <c r="H433" s="142"/>
      <c r="I433" s="142"/>
      <c r="J433" s="142"/>
      <c r="K433" s="143"/>
      <c r="L433" s="143"/>
      <c r="M433" s="143"/>
      <c r="N433" s="144"/>
      <c r="O433" s="41">
        <v>6</v>
      </c>
      <c r="P433" s="159">
        <v>2014</v>
      </c>
    </row>
    <row r="434" spans="1:16">
      <c r="A434" s="131">
        <v>14</v>
      </c>
      <c r="B434" s="131" t="s">
        <v>681</v>
      </c>
      <c r="C434" s="132" t="s">
        <v>679</v>
      </c>
      <c r="D434" s="133" t="s">
        <v>701</v>
      </c>
      <c r="E434" s="134">
        <v>10</v>
      </c>
      <c r="F434" s="81" t="s">
        <v>699</v>
      </c>
      <c r="G434" s="68" t="s">
        <v>650</v>
      </c>
      <c r="H434" s="68">
        <v>1</v>
      </c>
      <c r="I434" s="68">
        <v>85000</v>
      </c>
      <c r="J434" s="68">
        <v>85000</v>
      </c>
      <c r="K434" s="135"/>
      <c r="L434" s="135"/>
      <c r="M434" s="135"/>
      <c r="N434" s="136"/>
      <c r="O434" s="41">
        <v>6</v>
      </c>
      <c r="P434" s="159">
        <v>2014</v>
      </c>
    </row>
    <row r="435" spans="1:16">
      <c r="A435" s="131">
        <v>14</v>
      </c>
      <c r="B435" s="131" t="s">
        <v>681</v>
      </c>
      <c r="C435" s="132" t="s">
        <v>679</v>
      </c>
      <c r="D435" s="133" t="s">
        <v>701</v>
      </c>
      <c r="E435" s="134">
        <v>10</v>
      </c>
      <c r="G435" s="68"/>
      <c r="I435" s="68"/>
      <c r="J435" s="68"/>
      <c r="K435" s="135">
        <v>85000</v>
      </c>
      <c r="L435" s="135">
        <v>35000</v>
      </c>
      <c r="M435" s="135">
        <v>50000</v>
      </c>
      <c r="N435" s="136" t="s">
        <v>700</v>
      </c>
      <c r="O435" s="41">
        <v>6</v>
      </c>
      <c r="P435" s="159">
        <v>2014</v>
      </c>
    </row>
    <row r="436" spans="1:16">
      <c r="A436" s="137">
        <v>14</v>
      </c>
      <c r="B436" s="137" t="s">
        <v>681</v>
      </c>
      <c r="C436" s="138" t="s">
        <v>679</v>
      </c>
      <c r="D436" s="139" t="s">
        <v>701</v>
      </c>
      <c r="E436" s="140">
        <v>11</v>
      </c>
      <c r="F436" s="141"/>
      <c r="G436" s="142"/>
      <c r="H436" s="142"/>
      <c r="I436" s="142"/>
      <c r="J436" s="142"/>
      <c r="K436" s="143"/>
      <c r="L436" s="143"/>
      <c r="M436" s="143"/>
      <c r="N436" s="144"/>
      <c r="O436" s="41">
        <v>6</v>
      </c>
      <c r="P436" s="159">
        <v>2014</v>
      </c>
    </row>
    <row r="437" spans="1:16">
      <c r="A437" s="131">
        <v>14</v>
      </c>
      <c r="B437" s="131" t="s">
        <v>681</v>
      </c>
      <c r="C437" s="132" t="s">
        <v>679</v>
      </c>
      <c r="D437" s="133" t="s">
        <v>701</v>
      </c>
      <c r="E437" s="134">
        <v>11</v>
      </c>
      <c r="F437" s="81" t="s">
        <v>680</v>
      </c>
      <c r="G437" s="68" t="s">
        <v>651</v>
      </c>
      <c r="H437" s="68">
        <v>2</v>
      </c>
      <c r="I437" s="68">
        <v>98000</v>
      </c>
      <c r="J437" s="68">
        <v>196000</v>
      </c>
      <c r="K437" s="135"/>
      <c r="L437" s="135"/>
      <c r="M437" s="135"/>
      <c r="N437" s="136"/>
      <c r="O437" s="41">
        <v>6</v>
      </c>
      <c r="P437" s="159">
        <v>2014</v>
      </c>
    </row>
    <row r="438" spans="1:16">
      <c r="A438" s="131">
        <v>14</v>
      </c>
      <c r="B438" s="131" t="s">
        <v>681</v>
      </c>
      <c r="C438" s="132" t="s">
        <v>679</v>
      </c>
      <c r="D438" s="133" t="s">
        <v>701</v>
      </c>
      <c r="E438" s="134">
        <v>11</v>
      </c>
      <c r="G438" s="68"/>
      <c r="I438" s="68"/>
      <c r="J438" s="68"/>
      <c r="K438" s="135">
        <v>196000</v>
      </c>
      <c r="L438" s="135">
        <v>96000</v>
      </c>
      <c r="M438" s="135">
        <v>100000</v>
      </c>
      <c r="N438" s="136" t="s">
        <v>700</v>
      </c>
      <c r="O438" s="41">
        <v>6</v>
      </c>
      <c r="P438" s="159">
        <v>2014</v>
      </c>
    </row>
    <row r="439" spans="1:16">
      <c r="A439" s="137">
        <v>14</v>
      </c>
      <c r="B439" s="137" t="s">
        <v>681</v>
      </c>
      <c r="C439" s="138" t="s">
        <v>679</v>
      </c>
      <c r="D439" s="139" t="s">
        <v>701</v>
      </c>
      <c r="E439" s="140">
        <v>12</v>
      </c>
      <c r="F439" s="141"/>
      <c r="G439" s="142"/>
      <c r="H439" s="142"/>
      <c r="I439" s="142"/>
      <c r="J439" s="142"/>
      <c r="K439" s="143"/>
      <c r="L439" s="143"/>
      <c r="M439" s="143"/>
      <c r="N439" s="144"/>
      <c r="O439" s="41">
        <v>6</v>
      </c>
      <c r="P439" s="159">
        <v>2014</v>
      </c>
    </row>
    <row r="440" spans="1:16">
      <c r="A440" s="131">
        <v>14</v>
      </c>
      <c r="B440" s="131" t="s">
        <v>681</v>
      </c>
      <c r="C440" s="132" t="s">
        <v>679</v>
      </c>
      <c r="D440" s="133" t="s">
        <v>701</v>
      </c>
      <c r="E440" s="134">
        <v>12</v>
      </c>
      <c r="F440" s="81" t="s">
        <v>699</v>
      </c>
      <c r="G440" s="68" t="s">
        <v>650</v>
      </c>
      <c r="H440" s="68">
        <v>1</v>
      </c>
      <c r="I440" s="68">
        <v>85000</v>
      </c>
      <c r="J440" s="68">
        <v>85000</v>
      </c>
      <c r="K440" s="135"/>
      <c r="L440" s="135"/>
      <c r="M440" s="135"/>
      <c r="N440" s="136"/>
      <c r="O440" s="41">
        <v>6</v>
      </c>
      <c r="P440" s="159">
        <v>2014</v>
      </c>
    </row>
    <row r="441" spans="1:16">
      <c r="A441" s="131">
        <v>14</v>
      </c>
      <c r="B441" s="131" t="s">
        <v>681</v>
      </c>
      <c r="C441" s="132" t="s">
        <v>679</v>
      </c>
      <c r="D441" s="133" t="s">
        <v>701</v>
      </c>
      <c r="E441" s="134">
        <v>12</v>
      </c>
      <c r="F441" s="81" t="s">
        <v>680</v>
      </c>
      <c r="G441" s="68" t="s">
        <v>651</v>
      </c>
      <c r="H441" s="68">
        <v>1</v>
      </c>
      <c r="I441" s="68">
        <v>98000</v>
      </c>
      <c r="J441" s="68">
        <v>98000</v>
      </c>
      <c r="K441" s="135"/>
      <c r="L441" s="135"/>
      <c r="M441" s="135"/>
      <c r="N441" s="136"/>
      <c r="O441" s="41">
        <v>6</v>
      </c>
      <c r="P441" s="159">
        <v>2014</v>
      </c>
    </row>
    <row r="442" spans="1:16">
      <c r="A442" s="131">
        <v>14</v>
      </c>
      <c r="B442" s="131" t="s">
        <v>681</v>
      </c>
      <c r="C442" s="132" t="s">
        <v>679</v>
      </c>
      <c r="D442" s="133" t="s">
        <v>701</v>
      </c>
      <c r="E442" s="134">
        <v>12</v>
      </c>
      <c r="F442" s="81" t="s">
        <v>694</v>
      </c>
      <c r="G442" s="68" t="s">
        <v>652</v>
      </c>
      <c r="H442" s="68">
        <v>1</v>
      </c>
      <c r="I442" s="68">
        <v>98000</v>
      </c>
      <c r="J442" s="68">
        <v>98000</v>
      </c>
      <c r="K442" s="135"/>
      <c r="L442" s="135"/>
      <c r="M442" s="135"/>
      <c r="N442" s="136"/>
      <c r="O442" s="41">
        <v>6</v>
      </c>
      <c r="P442" s="159">
        <v>2014</v>
      </c>
    </row>
    <row r="443" spans="1:16">
      <c r="A443" s="131">
        <v>14</v>
      </c>
      <c r="B443" s="131" t="s">
        <v>681</v>
      </c>
      <c r="C443" s="132" t="s">
        <v>679</v>
      </c>
      <c r="D443" s="133" t="s">
        <v>701</v>
      </c>
      <c r="E443" s="134">
        <v>12</v>
      </c>
      <c r="F443" s="81" t="s">
        <v>686</v>
      </c>
      <c r="G443" s="68" t="s">
        <v>682</v>
      </c>
      <c r="H443" s="68">
        <v>1</v>
      </c>
      <c r="I443" s="68">
        <v>115000</v>
      </c>
      <c r="J443" s="68">
        <v>115000</v>
      </c>
      <c r="K443" s="135"/>
      <c r="L443" s="135"/>
      <c r="M443" s="135"/>
      <c r="N443" s="136"/>
      <c r="O443" s="41">
        <v>6</v>
      </c>
      <c r="P443" s="159">
        <v>2014</v>
      </c>
    </row>
    <row r="444" spans="1:16">
      <c r="A444" s="131">
        <v>14</v>
      </c>
      <c r="B444" s="131" t="s">
        <v>681</v>
      </c>
      <c r="C444" s="132" t="s">
        <v>679</v>
      </c>
      <c r="D444" s="133" t="s">
        <v>701</v>
      </c>
      <c r="E444" s="134">
        <v>12</v>
      </c>
      <c r="G444" s="68"/>
      <c r="I444" s="68"/>
      <c r="J444" s="68"/>
      <c r="K444" s="135">
        <v>396000</v>
      </c>
      <c r="L444" s="135">
        <v>196000</v>
      </c>
      <c r="M444" s="135">
        <v>200000</v>
      </c>
      <c r="N444" s="136" t="s">
        <v>700</v>
      </c>
      <c r="O444" s="41">
        <v>6</v>
      </c>
      <c r="P444" s="159">
        <v>2014</v>
      </c>
    </row>
    <row r="445" spans="1:16">
      <c r="A445" s="137">
        <v>14</v>
      </c>
      <c r="B445" s="137" t="s">
        <v>681</v>
      </c>
      <c r="C445" s="138" t="s">
        <v>679</v>
      </c>
      <c r="D445" s="139" t="s">
        <v>701</v>
      </c>
      <c r="E445" s="140">
        <v>13</v>
      </c>
      <c r="F445" s="141"/>
      <c r="G445" s="142"/>
      <c r="H445" s="142"/>
      <c r="I445" s="142"/>
      <c r="J445" s="142"/>
      <c r="K445" s="143"/>
      <c r="L445" s="143"/>
      <c r="M445" s="143"/>
      <c r="N445" s="144"/>
      <c r="O445" s="41">
        <v>6</v>
      </c>
      <c r="P445" s="159">
        <v>2014</v>
      </c>
    </row>
    <row r="446" spans="1:16">
      <c r="A446" s="131">
        <v>14</v>
      </c>
      <c r="B446" s="131" t="s">
        <v>681</v>
      </c>
      <c r="C446" s="132" t="s">
        <v>679</v>
      </c>
      <c r="D446" s="133" t="s">
        <v>701</v>
      </c>
      <c r="E446" s="134">
        <v>13</v>
      </c>
      <c r="F446" s="81" t="s">
        <v>680</v>
      </c>
      <c r="G446" s="68" t="s">
        <v>651</v>
      </c>
      <c r="H446" s="68">
        <v>1</v>
      </c>
      <c r="I446" s="68">
        <v>98000</v>
      </c>
      <c r="J446" s="68">
        <v>98000</v>
      </c>
      <c r="K446" s="135"/>
      <c r="L446" s="135"/>
      <c r="M446" s="135"/>
      <c r="N446" s="136"/>
      <c r="O446" s="41">
        <v>6</v>
      </c>
      <c r="P446" s="159">
        <v>2014</v>
      </c>
    </row>
    <row r="447" spans="1:16">
      <c r="A447" s="131">
        <v>14</v>
      </c>
      <c r="B447" s="131" t="s">
        <v>681</v>
      </c>
      <c r="C447" s="132" t="s">
        <v>679</v>
      </c>
      <c r="D447" s="133" t="s">
        <v>701</v>
      </c>
      <c r="E447" s="134">
        <v>13</v>
      </c>
      <c r="G447" s="68"/>
      <c r="I447" s="68"/>
      <c r="J447" s="68"/>
      <c r="K447" s="135">
        <v>98000</v>
      </c>
      <c r="L447" s="135">
        <v>48000</v>
      </c>
      <c r="M447" s="135">
        <v>50000</v>
      </c>
      <c r="N447" s="136" t="s">
        <v>700</v>
      </c>
      <c r="O447" s="41">
        <v>6</v>
      </c>
      <c r="P447" s="159">
        <v>2014</v>
      </c>
    </row>
    <row r="448" spans="1:16">
      <c r="A448" s="137">
        <v>14</v>
      </c>
      <c r="B448" s="137" t="s">
        <v>684</v>
      </c>
      <c r="C448" s="138" t="s">
        <v>679</v>
      </c>
      <c r="D448" s="139" t="s">
        <v>701</v>
      </c>
      <c r="E448" s="140">
        <v>1</v>
      </c>
      <c r="F448" s="141"/>
      <c r="G448" s="142"/>
      <c r="H448" s="142"/>
      <c r="I448" s="142"/>
      <c r="J448" s="142"/>
      <c r="K448" s="143"/>
      <c r="L448" s="143"/>
      <c r="M448" s="143"/>
      <c r="N448" s="144"/>
      <c r="O448" s="41">
        <v>6</v>
      </c>
      <c r="P448" s="159">
        <v>2014</v>
      </c>
    </row>
    <row r="449" spans="1:16">
      <c r="A449" s="131">
        <v>14</v>
      </c>
      <c r="B449" s="131" t="s">
        <v>684</v>
      </c>
      <c r="C449" s="132" t="s">
        <v>679</v>
      </c>
      <c r="D449" s="133" t="s">
        <v>701</v>
      </c>
      <c r="E449" s="134">
        <v>1</v>
      </c>
      <c r="F449" s="81" t="s">
        <v>686</v>
      </c>
      <c r="G449" s="68" t="s">
        <v>682</v>
      </c>
      <c r="H449" s="68">
        <v>1</v>
      </c>
      <c r="I449" s="68">
        <v>115000</v>
      </c>
      <c r="J449" s="68">
        <v>115000</v>
      </c>
      <c r="K449" s="135"/>
      <c r="L449" s="135"/>
      <c r="M449" s="135"/>
      <c r="N449" s="136"/>
      <c r="O449" s="41">
        <v>6</v>
      </c>
      <c r="P449" s="159">
        <v>2014</v>
      </c>
    </row>
    <row r="450" spans="1:16">
      <c r="A450" s="131">
        <v>14</v>
      </c>
      <c r="B450" s="131" t="s">
        <v>684</v>
      </c>
      <c r="C450" s="132" t="s">
        <v>679</v>
      </c>
      <c r="D450" s="133" t="s">
        <v>701</v>
      </c>
      <c r="E450" s="134">
        <v>1</v>
      </c>
      <c r="F450" s="81" t="s">
        <v>680</v>
      </c>
      <c r="G450" s="68" t="s">
        <v>651</v>
      </c>
      <c r="H450" s="68">
        <v>1</v>
      </c>
      <c r="I450" s="68">
        <v>98000</v>
      </c>
      <c r="J450" s="68">
        <v>98000</v>
      </c>
      <c r="K450" s="135"/>
      <c r="L450" s="135"/>
      <c r="M450" s="135"/>
      <c r="N450" s="136"/>
      <c r="O450" s="41">
        <v>6</v>
      </c>
      <c r="P450" s="159">
        <v>2014</v>
      </c>
    </row>
    <row r="451" spans="1:16">
      <c r="A451" s="131">
        <v>14</v>
      </c>
      <c r="B451" s="131" t="s">
        <v>684</v>
      </c>
      <c r="C451" s="132" t="s">
        <v>679</v>
      </c>
      <c r="D451" s="133" t="s">
        <v>701</v>
      </c>
      <c r="E451" s="134">
        <v>1</v>
      </c>
      <c r="G451" s="68"/>
      <c r="I451" s="68"/>
      <c r="J451" s="68"/>
      <c r="K451" s="135">
        <v>213000</v>
      </c>
      <c r="L451" s="135">
        <v>113000</v>
      </c>
      <c r="M451" s="135">
        <v>100000</v>
      </c>
      <c r="N451" s="136" t="s">
        <v>700</v>
      </c>
      <c r="O451" s="41">
        <v>6</v>
      </c>
      <c r="P451" s="159">
        <v>2014</v>
      </c>
    </row>
    <row r="452" spans="1:16">
      <c r="A452" s="137">
        <v>14</v>
      </c>
      <c r="B452" s="137" t="s">
        <v>684</v>
      </c>
      <c r="C452" s="138" t="s">
        <v>679</v>
      </c>
      <c r="D452" s="139" t="s">
        <v>701</v>
      </c>
      <c r="E452" s="140">
        <v>2</v>
      </c>
      <c r="F452" s="141"/>
      <c r="G452" s="142"/>
      <c r="H452" s="142"/>
      <c r="I452" s="142"/>
      <c r="J452" s="142"/>
      <c r="K452" s="143"/>
      <c r="L452" s="143"/>
      <c r="M452" s="143"/>
      <c r="N452" s="144"/>
      <c r="O452" s="41">
        <v>6</v>
      </c>
      <c r="P452" s="159">
        <v>2014</v>
      </c>
    </row>
    <row r="453" spans="1:16">
      <c r="A453" s="131">
        <v>14</v>
      </c>
      <c r="B453" s="131" t="s">
        <v>684</v>
      </c>
      <c r="C453" s="132" t="s">
        <v>679</v>
      </c>
      <c r="D453" s="133" t="s">
        <v>701</v>
      </c>
      <c r="E453" s="134">
        <v>2</v>
      </c>
      <c r="F453" s="81" t="s">
        <v>686</v>
      </c>
      <c r="G453" s="68" t="s">
        <v>682</v>
      </c>
      <c r="H453" s="68">
        <v>1</v>
      </c>
      <c r="I453" s="68">
        <v>115000</v>
      </c>
      <c r="J453" s="68">
        <v>115000</v>
      </c>
      <c r="K453" s="135"/>
      <c r="L453" s="135"/>
      <c r="M453" s="135"/>
      <c r="N453" s="136"/>
      <c r="O453" s="41">
        <v>6</v>
      </c>
      <c r="P453" s="159">
        <v>2014</v>
      </c>
    </row>
    <row r="454" spans="1:16">
      <c r="A454" s="131">
        <v>14</v>
      </c>
      <c r="B454" s="131" t="s">
        <v>684</v>
      </c>
      <c r="C454" s="132" t="s">
        <v>679</v>
      </c>
      <c r="D454" s="133" t="s">
        <v>701</v>
      </c>
      <c r="E454" s="134">
        <v>2</v>
      </c>
      <c r="G454" s="68"/>
      <c r="I454" s="68"/>
      <c r="J454" s="68"/>
      <c r="K454" s="135">
        <v>115000</v>
      </c>
      <c r="L454" s="135">
        <v>65000</v>
      </c>
      <c r="M454" s="135">
        <v>50000</v>
      </c>
      <c r="N454" s="136" t="s">
        <v>700</v>
      </c>
      <c r="O454" s="41">
        <v>6</v>
      </c>
      <c r="P454" s="159">
        <v>2014</v>
      </c>
    </row>
    <row r="455" spans="1:16">
      <c r="A455" s="137">
        <v>14</v>
      </c>
      <c r="B455" s="137" t="s">
        <v>684</v>
      </c>
      <c r="C455" s="138" t="s">
        <v>679</v>
      </c>
      <c r="D455" s="139" t="s">
        <v>701</v>
      </c>
      <c r="E455" s="140">
        <v>3</v>
      </c>
      <c r="F455" s="141"/>
      <c r="G455" s="142"/>
      <c r="H455" s="142"/>
      <c r="I455" s="142"/>
      <c r="J455" s="142"/>
      <c r="K455" s="143"/>
      <c r="L455" s="143"/>
      <c r="M455" s="143"/>
      <c r="N455" s="144"/>
      <c r="O455" s="41">
        <v>6</v>
      </c>
      <c r="P455" s="159">
        <v>2014</v>
      </c>
    </row>
    <row r="456" spans="1:16">
      <c r="A456" s="131">
        <v>14</v>
      </c>
      <c r="B456" s="131" t="s">
        <v>684</v>
      </c>
      <c r="C456" s="132" t="s">
        <v>679</v>
      </c>
      <c r="D456" s="133" t="s">
        <v>701</v>
      </c>
      <c r="E456" s="134">
        <v>3</v>
      </c>
      <c r="F456" s="81" t="s">
        <v>686</v>
      </c>
      <c r="G456" s="68" t="s">
        <v>682</v>
      </c>
      <c r="H456" s="68">
        <v>1</v>
      </c>
      <c r="I456" s="68">
        <v>115000</v>
      </c>
      <c r="J456" s="68">
        <v>115000</v>
      </c>
      <c r="K456" s="135"/>
      <c r="L456" s="135"/>
      <c r="M456" s="135"/>
      <c r="N456" s="136"/>
      <c r="O456" s="41">
        <v>6</v>
      </c>
      <c r="P456" s="159">
        <v>2014</v>
      </c>
    </row>
    <row r="457" spans="1:16">
      <c r="A457" s="131">
        <v>14</v>
      </c>
      <c r="B457" s="131" t="s">
        <v>684</v>
      </c>
      <c r="C457" s="132" t="s">
        <v>679</v>
      </c>
      <c r="D457" s="133" t="s">
        <v>701</v>
      </c>
      <c r="E457" s="134">
        <v>3</v>
      </c>
      <c r="F457" s="81" t="s">
        <v>680</v>
      </c>
      <c r="G457" s="68" t="s">
        <v>651</v>
      </c>
      <c r="H457" s="68">
        <v>1</v>
      </c>
      <c r="I457" s="68">
        <v>98000</v>
      </c>
      <c r="J457" s="68">
        <v>98000</v>
      </c>
      <c r="K457" s="135"/>
      <c r="L457" s="135"/>
      <c r="M457" s="135"/>
      <c r="N457" s="136"/>
      <c r="O457" s="41">
        <v>6</v>
      </c>
      <c r="P457" s="159">
        <v>2014</v>
      </c>
    </row>
    <row r="458" spans="1:16">
      <c r="A458" s="131">
        <v>14</v>
      </c>
      <c r="B458" s="131" t="s">
        <v>684</v>
      </c>
      <c r="C458" s="132" t="s">
        <v>679</v>
      </c>
      <c r="D458" s="133" t="s">
        <v>701</v>
      </c>
      <c r="E458" s="134">
        <v>3</v>
      </c>
      <c r="G458" s="68"/>
      <c r="I458" s="68"/>
      <c r="J458" s="68"/>
      <c r="K458" s="135">
        <v>213000</v>
      </c>
      <c r="L458" s="135">
        <v>113000</v>
      </c>
      <c r="M458" s="135">
        <v>100000</v>
      </c>
      <c r="N458" s="136" t="s">
        <v>700</v>
      </c>
      <c r="O458" s="41">
        <v>6</v>
      </c>
      <c r="P458" s="159">
        <v>2014</v>
      </c>
    </row>
    <row r="459" spans="1:16">
      <c r="A459" s="137">
        <v>14</v>
      </c>
      <c r="B459" s="137" t="s">
        <v>684</v>
      </c>
      <c r="C459" s="138" t="s">
        <v>679</v>
      </c>
      <c r="D459" s="139" t="s">
        <v>701</v>
      </c>
      <c r="E459" s="140">
        <v>4</v>
      </c>
      <c r="F459" s="141"/>
      <c r="G459" s="142"/>
      <c r="H459" s="142"/>
      <c r="I459" s="142"/>
      <c r="J459" s="142"/>
      <c r="K459" s="143"/>
      <c r="L459" s="143"/>
      <c r="M459" s="143"/>
      <c r="N459" s="144"/>
      <c r="O459" s="41">
        <v>6</v>
      </c>
      <c r="P459" s="159">
        <v>2014</v>
      </c>
    </row>
    <row r="460" spans="1:16">
      <c r="A460" s="131">
        <v>14</v>
      </c>
      <c r="B460" s="131" t="s">
        <v>684</v>
      </c>
      <c r="C460" s="132" t="s">
        <v>679</v>
      </c>
      <c r="D460" s="133" t="s">
        <v>701</v>
      </c>
      <c r="E460" s="134">
        <v>4</v>
      </c>
      <c r="F460" s="81" t="s">
        <v>686</v>
      </c>
      <c r="G460" s="68" t="s">
        <v>682</v>
      </c>
      <c r="H460" s="68">
        <v>1</v>
      </c>
      <c r="I460" s="68">
        <v>115000</v>
      </c>
      <c r="J460" s="68">
        <v>115000</v>
      </c>
      <c r="K460" s="135"/>
      <c r="L460" s="135"/>
      <c r="M460" s="135"/>
      <c r="N460" s="136"/>
      <c r="O460" s="41">
        <v>6</v>
      </c>
      <c r="P460" s="159">
        <v>2014</v>
      </c>
    </row>
    <row r="461" spans="1:16">
      <c r="A461" s="131">
        <v>14</v>
      </c>
      <c r="B461" s="131" t="s">
        <v>684</v>
      </c>
      <c r="C461" s="132" t="s">
        <v>679</v>
      </c>
      <c r="D461" s="133" t="s">
        <v>701</v>
      </c>
      <c r="E461" s="134">
        <v>4</v>
      </c>
      <c r="G461" s="68"/>
      <c r="I461" s="68"/>
      <c r="J461" s="68"/>
      <c r="K461" s="135">
        <v>115000</v>
      </c>
      <c r="L461" s="135">
        <v>65000</v>
      </c>
      <c r="M461" s="135">
        <v>50000</v>
      </c>
      <c r="N461" s="136" t="s">
        <v>700</v>
      </c>
      <c r="O461" s="41">
        <v>6</v>
      </c>
      <c r="P461" s="159">
        <v>2014</v>
      </c>
    </row>
    <row r="462" spans="1:16">
      <c r="A462" s="137">
        <v>14</v>
      </c>
      <c r="B462" s="137" t="s">
        <v>684</v>
      </c>
      <c r="C462" s="138" t="s">
        <v>679</v>
      </c>
      <c r="D462" s="139" t="s">
        <v>701</v>
      </c>
      <c r="E462" s="140">
        <v>5</v>
      </c>
      <c r="F462" s="141"/>
      <c r="G462" s="142"/>
      <c r="H462" s="142"/>
      <c r="I462" s="142"/>
      <c r="J462" s="142"/>
      <c r="K462" s="143"/>
      <c r="L462" s="143"/>
      <c r="M462" s="143"/>
      <c r="N462" s="144"/>
      <c r="O462" s="41">
        <v>6</v>
      </c>
      <c r="P462" s="159">
        <v>2014</v>
      </c>
    </row>
    <row r="463" spans="1:16">
      <c r="A463" s="131">
        <v>14</v>
      </c>
      <c r="B463" s="131" t="s">
        <v>684</v>
      </c>
      <c r="C463" s="132" t="s">
        <v>679</v>
      </c>
      <c r="D463" s="133" t="s">
        <v>701</v>
      </c>
      <c r="E463" s="134">
        <v>5</v>
      </c>
      <c r="F463" s="81" t="s">
        <v>686</v>
      </c>
      <c r="G463" s="68" t="s">
        <v>682</v>
      </c>
      <c r="H463" s="68">
        <v>1</v>
      </c>
      <c r="I463" s="68">
        <v>115000</v>
      </c>
      <c r="J463" s="68">
        <v>115000</v>
      </c>
      <c r="K463" s="135"/>
      <c r="L463" s="135"/>
      <c r="M463" s="135"/>
      <c r="N463" s="136"/>
      <c r="O463" s="41">
        <v>6</v>
      </c>
      <c r="P463" s="159">
        <v>2014</v>
      </c>
    </row>
    <row r="464" spans="1:16">
      <c r="A464" s="131">
        <v>14</v>
      </c>
      <c r="B464" s="131" t="s">
        <v>684</v>
      </c>
      <c r="C464" s="132" t="s">
        <v>679</v>
      </c>
      <c r="D464" s="133" t="s">
        <v>701</v>
      </c>
      <c r="E464" s="134">
        <v>5</v>
      </c>
      <c r="G464" s="68"/>
      <c r="I464" s="68"/>
      <c r="J464" s="68"/>
      <c r="K464" s="135">
        <v>115000</v>
      </c>
      <c r="L464" s="135">
        <v>65000</v>
      </c>
      <c r="M464" s="135">
        <v>50000</v>
      </c>
      <c r="N464" s="136" t="s">
        <v>700</v>
      </c>
      <c r="O464" s="41">
        <v>6</v>
      </c>
      <c r="P464" s="159">
        <v>2014</v>
      </c>
    </row>
    <row r="465" spans="1:16">
      <c r="A465" s="137">
        <v>14</v>
      </c>
      <c r="B465" s="137" t="s">
        <v>684</v>
      </c>
      <c r="C465" s="138" t="s">
        <v>679</v>
      </c>
      <c r="D465" s="139" t="s">
        <v>701</v>
      </c>
      <c r="E465" s="140">
        <v>6</v>
      </c>
      <c r="F465" s="141"/>
      <c r="G465" s="142"/>
      <c r="H465" s="142"/>
      <c r="I465" s="142"/>
      <c r="J465" s="142"/>
      <c r="K465" s="143"/>
      <c r="L465" s="143"/>
      <c r="M465" s="143"/>
      <c r="N465" s="144"/>
      <c r="O465" s="41">
        <v>6</v>
      </c>
      <c r="P465" s="159">
        <v>2014</v>
      </c>
    </row>
    <row r="466" spans="1:16">
      <c r="A466" s="131">
        <v>14</v>
      </c>
      <c r="B466" s="131" t="s">
        <v>684</v>
      </c>
      <c r="C466" s="132" t="s">
        <v>679</v>
      </c>
      <c r="D466" s="133" t="s">
        <v>701</v>
      </c>
      <c r="E466" s="134">
        <v>6</v>
      </c>
      <c r="F466" s="81" t="s">
        <v>680</v>
      </c>
      <c r="G466" s="68" t="s">
        <v>651</v>
      </c>
      <c r="H466" s="68">
        <v>1</v>
      </c>
      <c r="I466" s="68">
        <v>98000</v>
      </c>
      <c r="J466" s="68">
        <v>98000</v>
      </c>
      <c r="K466" s="135"/>
      <c r="L466" s="135"/>
      <c r="M466" s="135"/>
      <c r="N466" s="136"/>
      <c r="O466" s="41">
        <v>6</v>
      </c>
      <c r="P466" s="159">
        <v>2014</v>
      </c>
    </row>
    <row r="467" spans="1:16">
      <c r="A467" s="131">
        <v>14</v>
      </c>
      <c r="B467" s="131" t="s">
        <v>684</v>
      </c>
      <c r="C467" s="132" t="s">
        <v>679</v>
      </c>
      <c r="D467" s="133" t="s">
        <v>701</v>
      </c>
      <c r="E467" s="134">
        <v>6</v>
      </c>
      <c r="F467" s="81" t="s">
        <v>686</v>
      </c>
      <c r="G467" s="68" t="s">
        <v>682</v>
      </c>
      <c r="H467" s="68">
        <v>1</v>
      </c>
      <c r="I467" s="68">
        <v>115000</v>
      </c>
      <c r="J467" s="68">
        <v>115000</v>
      </c>
      <c r="K467" s="135"/>
      <c r="L467" s="135"/>
      <c r="M467" s="135"/>
      <c r="N467" s="136"/>
      <c r="O467" s="41">
        <v>6</v>
      </c>
      <c r="P467" s="159">
        <v>2014</v>
      </c>
    </row>
    <row r="468" spans="1:16">
      <c r="A468" s="131">
        <v>14</v>
      </c>
      <c r="B468" s="131" t="s">
        <v>684</v>
      </c>
      <c r="C468" s="132" t="s">
        <v>679</v>
      </c>
      <c r="D468" s="133" t="s">
        <v>701</v>
      </c>
      <c r="E468" s="134">
        <v>6</v>
      </c>
      <c r="G468" s="68"/>
      <c r="I468" s="68"/>
      <c r="J468" s="68"/>
      <c r="K468" s="135">
        <v>213000</v>
      </c>
      <c r="L468" s="135">
        <v>113000</v>
      </c>
      <c r="M468" s="135">
        <v>100000</v>
      </c>
      <c r="N468" s="136" t="s">
        <v>700</v>
      </c>
      <c r="O468" s="41">
        <v>6</v>
      </c>
      <c r="P468" s="159">
        <v>2014</v>
      </c>
    </row>
    <row r="469" spans="1:16">
      <c r="A469" s="137">
        <v>14</v>
      </c>
      <c r="B469" s="137" t="s">
        <v>684</v>
      </c>
      <c r="C469" s="138" t="s">
        <v>679</v>
      </c>
      <c r="D469" s="139" t="s">
        <v>701</v>
      </c>
      <c r="E469" s="140">
        <v>7</v>
      </c>
      <c r="F469" s="141"/>
      <c r="G469" s="142"/>
      <c r="H469" s="142"/>
      <c r="I469" s="142"/>
      <c r="J469" s="142"/>
      <c r="K469" s="143"/>
      <c r="L469" s="143"/>
      <c r="M469" s="143"/>
      <c r="N469" s="144"/>
      <c r="O469" s="41">
        <v>6</v>
      </c>
      <c r="P469" s="159">
        <v>2014</v>
      </c>
    </row>
    <row r="470" spans="1:16">
      <c r="A470" s="131">
        <v>14</v>
      </c>
      <c r="B470" s="131" t="s">
        <v>684</v>
      </c>
      <c r="C470" s="132" t="s">
        <v>679</v>
      </c>
      <c r="D470" s="133" t="s">
        <v>701</v>
      </c>
      <c r="E470" s="134">
        <v>7</v>
      </c>
      <c r="F470" s="81" t="s">
        <v>680</v>
      </c>
      <c r="G470" s="68" t="s">
        <v>651</v>
      </c>
      <c r="H470" s="68">
        <v>1</v>
      </c>
      <c r="I470" s="68">
        <v>98000</v>
      </c>
      <c r="J470" s="68">
        <v>98000</v>
      </c>
      <c r="K470" s="135"/>
      <c r="L470" s="135"/>
      <c r="M470" s="135"/>
      <c r="N470" s="136"/>
      <c r="O470" s="41">
        <v>6</v>
      </c>
      <c r="P470" s="159">
        <v>2014</v>
      </c>
    </row>
    <row r="471" spans="1:16">
      <c r="A471" s="131">
        <v>14</v>
      </c>
      <c r="B471" s="131" t="s">
        <v>684</v>
      </c>
      <c r="C471" s="132" t="s">
        <v>679</v>
      </c>
      <c r="D471" s="133" t="s">
        <v>701</v>
      </c>
      <c r="E471" s="134">
        <v>7</v>
      </c>
      <c r="F471" s="81" t="s">
        <v>686</v>
      </c>
      <c r="G471" s="68" t="s">
        <v>682</v>
      </c>
      <c r="H471" s="68">
        <v>1</v>
      </c>
      <c r="I471" s="68">
        <v>115000</v>
      </c>
      <c r="J471" s="68">
        <v>115000</v>
      </c>
      <c r="K471" s="135"/>
      <c r="L471" s="135"/>
      <c r="M471" s="135"/>
      <c r="N471" s="136"/>
      <c r="O471" s="41">
        <v>6</v>
      </c>
      <c r="P471" s="159">
        <v>2014</v>
      </c>
    </row>
    <row r="472" spans="1:16">
      <c r="A472" s="131">
        <v>14</v>
      </c>
      <c r="B472" s="131" t="s">
        <v>684</v>
      </c>
      <c r="C472" s="132" t="s">
        <v>679</v>
      </c>
      <c r="D472" s="133" t="s">
        <v>701</v>
      </c>
      <c r="E472" s="134">
        <v>7</v>
      </c>
      <c r="G472" s="68"/>
      <c r="I472" s="68"/>
      <c r="J472" s="68"/>
      <c r="K472" s="135">
        <v>213000</v>
      </c>
      <c r="L472" s="135">
        <v>113000</v>
      </c>
      <c r="M472" s="135">
        <v>100000</v>
      </c>
      <c r="N472" s="136" t="s">
        <v>700</v>
      </c>
      <c r="O472" s="41">
        <v>6</v>
      </c>
      <c r="P472" s="159">
        <v>2014</v>
      </c>
    </row>
    <row r="473" spans="1:16">
      <c r="A473" s="137">
        <v>14</v>
      </c>
      <c r="B473" s="137" t="s">
        <v>684</v>
      </c>
      <c r="C473" s="138" t="s">
        <v>679</v>
      </c>
      <c r="D473" s="139" t="s">
        <v>701</v>
      </c>
      <c r="E473" s="140">
        <v>8</v>
      </c>
      <c r="F473" s="141"/>
      <c r="G473" s="142"/>
      <c r="H473" s="142"/>
      <c r="I473" s="142"/>
      <c r="J473" s="142"/>
      <c r="K473" s="143"/>
      <c r="L473" s="143"/>
      <c r="M473" s="143"/>
      <c r="N473" s="144"/>
      <c r="O473" s="41">
        <v>6</v>
      </c>
      <c r="P473" s="159">
        <v>2014</v>
      </c>
    </row>
    <row r="474" spans="1:16">
      <c r="A474" s="131">
        <v>14</v>
      </c>
      <c r="B474" s="131" t="s">
        <v>684</v>
      </c>
      <c r="C474" s="132" t="s">
        <v>679</v>
      </c>
      <c r="D474" s="133" t="s">
        <v>701</v>
      </c>
      <c r="E474" s="134">
        <v>8</v>
      </c>
      <c r="F474" s="81" t="s">
        <v>680</v>
      </c>
      <c r="G474" s="68" t="s">
        <v>651</v>
      </c>
      <c r="H474" s="68">
        <v>2</v>
      </c>
      <c r="I474" s="68">
        <v>98000</v>
      </c>
      <c r="J474" s="68">
        <v>196000</v>
      </c>
      <c r="K474" s="135"/>
      <c r="L474" s="135"/>
      <c r="M474" s="135"/>
      <c r="N474" s="136"/>
      <c r="O474" s="41">
        <v>6</v>
      </c>
      <c r="P474" s="159">
        <v>2014</v>
      </c>
    </row>
    <row r="475" spans="1:16">
      <c r="A475" s="131">
        <v>14</v>
      </c>
      <c r="B475" s="131" t="s">
        <v>684</v>
      </c>
      <c r="C475" s="132" t="s">
        <v>679</v>
      </c>
      <c r="D475" s="133" t="s">
        <v>701</v>
      </c>
      <c r="E475" s="134">
        <v>8</v>
      </c>
      <c r="F475" s="81" t="s">
        <v>686</v>
      </c>
      <c r="G475" s="68" t="s">
        <v>682</v>
      </c>
      <c r="H475" s="68">
        <v>2</v>
      </c>
      <c r="I475" s="68">
        <v>115000</v>
      </c>
      <c r="J475" s="68">
        <v>230000</v>
      </c>
      <c r="K475" s="135"/>
      <c r="L475" s="135"/>
      <c r="M475" s="135"/>
      <c r="N475" s="136"/>
      <c r="O475" s="41">
        <v>6</v>
      </c>
      <c r="P475" s="159">
        <v>2014</v>
      </c>
    </row>
    <row r="476" spans="1:16">
      <c r="A476" s="131">
        <v>14</v>
      </c>
      <c r="B476" s="131" t="s">
        <v>684</v>
      </c>
      <c r="C476" s="132" t="s">
        <v>679</v>
      </c>
      <c r="D476" s="133" t="s">
        <v>701</v>
      </c>
      <c r="E476" s="134">
        <v>8</v>
      </c>
      <c r="F476" s="81" t="s">
        <v>694</v>
      </c>
      <c r="G476" s="68" t="s">
        <v>652</v>
      </c>
      <c r="H476" s="68">
        <v>1</v>
      </c>
      <c r="I476" s="68">
        <v>98000</v>
      </c>
      <c r="J476" s="68">
        <v>98000</v>
      </c>
      <c r="K476" s="135"/>
      <c r="L476" s="135"/>
      <c r="M476" s="135"/>
      <c r="N476" s="136"/>
      <c r="O476" s="41">
        <v>6</v>
      </c>
      <c r="P476" s="159">
        <v>2014</v>
      </c>
    </row>
    <row r="477" spans="1:16">
      <c r="A477" s="131">
        <v>14</v>
      </c>
      <c r="B477" s="131" t="s">
        <v>684</v>
      </c>
      <c r="C477" s="132" t="s">
        <v>679</v>
      </c>
      <c r="D477" s="133" t="s">
        <v>701</v>
      </c>
      <c r="E477" s="134">
        <v>8</v>
      </c>
      <c r="G477" s="68"/>
      <c r="I477" s="68"/>
      <c r="J477" s="68"/>
      <c r="K477" s="135">
        <v>524000</v>
      </c>
      <c r="L477" s="135">
        <v>274000</v>
      </c>
      <c r="M477" s="135">
        <v>250000</v>
      </c>
      <c r="N477" s="136" t="s">
        <v>700</v>
      </c>
      <c r="O477" s="41">
        <v>6</v>
      </c>
      <c r="P477" s="159">
        <v>2014</v>
      </c>
    </row>
    <row r="478" spans="1:16">
      <c r="A478" s="137">
        <v>14</v>
      </c>
      <c r="B478" s="137" t="s">
        <v>684</v>
      </c>
      <c r="C478" s="138" t="s">
        <v>679</v>
      </c>
      <c r="D478" s="139" t="s">
        <v>701</v>
      </c>
      <c r="E478" s="140">
        <v>9</v>
      </c>
      <c r="F478" s="141"/>
      <c r="G478" s="142"/>
      <c r="H478" s="142"/>
      <c r="I478" s="142"/>
      <c r="J478" s="142"/>
      <c r="K478" s="143"/>
      <c r="L478" s="143"/>
      <c r="M478" s="143"/>
      <c r="N478" s="144"/>
      <c r="O478" s="41">
        <v>6</v>
      </c>
      <c r="P478" s="159">
        <v>2014</v>
      </c>
    </row>
    <row r="479" spans="1:16">
      <c r="A479" s="131">
        <v>14</v>
      </c>
      <c r="B479" s="131" t="s">
        <v>684</v>
      </c>
      <c r="C479" s="132" t="s">
        <v>679</v>
      </c>
      <c r="D479" s="133" t="s">
        <v>701</v>
      </c>
      <c r="E479" s="134">
        <v>9</v>
      </c>
      <c r="F479" s="81" t="s">
        <v>680</v>
      </c>
      <c r="G479" s="68" t="s">
        <v>651</v>
      </c>
      <c r="H479" s="68">
        <v>1</v>
      </c>
      <c r="I479" s="68">
        <v>98000</v>
      </c>
      <c r="J479" s="68">
        <v>98000</v>
      </c>
      <c r="K479" s="135"/>
      <c r="L479" s="135"/>
      <c r="M479" s="135"/>
      <c r="N479" s="136"/>
      <c r="O479" s="41">
        <v>6</v>
      </c>
      <c r="P479" s="159">
        <v>2014</v>
      </c>
    </row>
    <row r="480" spans="1:16">
      <c r="A480" s="131">
        <v>14</v>
      </c>
      <c r="B480" s="131" t="s">
        <v>684</v>
      </c>
      <c r="C480" s="132" t="s">
        <v>679</v>
      </c>
      <c r="D480" s="133" t="s">
        <v>701</v>
      </c>
      <c r="E480" s="134">
        <v>9</v>
      </c>
      <c r="F480" s="81" t="s">
        <v>694</v>
      </c>
      <c r="G480" s="68" t="s">
        <v>652</v>
      </c>
      <c r="H480" s="68">
        <v>1</v>
      </c>
      <c r="I480" s="68">
        <v>98000</v>
      </c>
      <c r="J480" s="68">
        <v>98000</v>
      </c>
      <c r="K480" s="135"/>
      <c r="L480" s="135"/>
      <c r="M480" s="135"/>
      <c r="N480" s="136"/>
      <c r="O480" s="41">
        <v>6</v>
      </c>
      <c r="P480" s="159">
        <v>2014</v>
      </c>
    </row>
    <row r="481" spans="1:16">
      <c r="A481" s="131">
        <v>14</v>
      </c>
      <c r="B481" s="131" t="s">
        <v>684</v>
      </c>
      <c r="C481" s="132" t="s">
        <v>679</v>
      </c>
      <c r="D481" s="133" t="s">
        <v>701</v>
      </c>
      <c r="E481" s="134">
        <v>9</v>
      </c>
      <c r="G481" s="68"/>
      <c r="I481" s="68"/>
      <c r="J481" s="68"/>
      <c r="K481" s="135">
        <v>196000</v>
      </c>
      <c r="L481" s="135">
        <v>96000</v>
      </c>
      <c r="M481" s="135">
        <v>100000</v>
      </c>
      <c r="N481" s="136" t="s">
        <v>700</v>
      </c>
      <c r="O481" s="41">
        <v>6</v>
      </c>
      <c r="P481" s="159">
        <v>2014</v>
      </c>
    </row>
    <row r="482" spans="1:16">
      <c r="A482" s="137">
        <v>14</v>
      </c>
      <c r="B482" s="137" t="s">
        <v>684</v>
      </c>
      <c r="C482" s="138" t="s">
        <v>679</v>
      </c>
      <c r="D482" s="139" t="s">
        <v>701</v>
      </c>
      <c r="E482" s="140">
        <v>10</v>
      </c>
      <c r="F482" s="141"/>
      <c r="G482" s="142"/>
      <c r="H482" s="142"/>
      <c r="I482" s="142"/>
      <c r="J482" s="142"/>
      <c r="K482" s="143"/>
      <c r="L482" s="143"/>
      <c r="M482" s="143"/>
      <c r="N482" s="144"/>
      <c r="O482" s="41">
        <v>6</v>
      </c>
      <c r="P482" s="159">
        <v>2014</v>
      </c>
    </row>
    <row r="483" spans="1:16">
      <c r="A483" s="131">
        <v>14</v>
      </c>
      <c r="B483" s="131" t="s">
        <v>684</v>
      </c>
      <c r="C483" s="132" t="s">
        <v>679</v>
      </c>
      <c r="D483" s="133" t="s">
        <v>701</v>
      </c>
      <c r="E483" s="134">
        <v>10</v>
      </c>
      <c r="F483" s="81" t="s">
        <v>686</v>
      </c>
      <c r="G483" s="68" t="s">
        <v>682</v>
      </c>
      <c r="H483" s="68">
        <v>1</v>
      </c>
      <c r="I483" s="68">
        <v>115000</v>
      </c>
      <c r="J483" s="68">
        <v>115000</v>
      </c>
      <c r="K483" s="135"/>
      <c r="L483" s="135"/>
      <c r="M483" s="135"/>
      <c r="N483" s="136"/>
      <c r="O483" s="41">
        <v>6</v>
      </c>
      <c r="P483" s="159">
        <v>2014</v>
      </c>
    </row>
    <row r="484" spans="1:16">
      <c r="A484" s="131">
        <v>14</v>
      </c>
      <c r="B484" s="131" t="s">
        <v>684</v>
      </c>
      <c r="C484" s="132" t="s">
        <v>679</v>
      </c>
      <c r="D484" s="133" t="s">
        <v>701</v>
      </c>
      <c r="E484" s="134">
        <v>10</v>
      </c>
      <c r="G484" s="68"/>
      <c r="I484" s="68"/>
      <c r="J484" s="68"/>
      <c r="K484" s="135">
        <v>115000</v>
      </c>
      <c r="L484" s="135">
        <v>65000</v>
      </c>
      <c r="M484" s="135">
        <v>50000</v>
      </c>
      <c r="N484" s="136" t="s">
        <v>700</v>
      </c>
      <c r="O484" s="41">
        <v>6</v>
      </c>
      <c r="P484" s="159">
        <v>2014</v>
      </c>
    </row>
    <row r="485" spans="1:16">
      <c r="A485" s="137">
        <v>14</v>
      </c>
      <c r="B485" s="137" t="s">
        <v>684</v>
      </c>
      <c r="C485" s="138" t="s">
        <v>679</v>
      </c>
      <c r="D485" s="139" t="s">
        <v>701</v>
      </c>
      <c r="E485" s="140">
        <v>11</v>
      </c>
      <c r="F485" s="141"/>
      <c r="G485" s="142"/>
      <c r="H485" s="142"/>
      <c r="I485" s="142"/>
      <c r="J485" s="142"/>
      <c r="K485" s="143"/>
      <c r="L485" s="143"/>
      <c r="M485" s="143"/>
      <c r="N485" s="144"/>
      <c r="O485" s="41">
        <v>6</v>
      </c>
      <c r="P485" s="159">
        <v>2014</v>
      </c>
    </row>
    <row r="486" spans="1:16">
      <c r="A486" s="131">
        <v>14</v>
      </c>
      <c r="B486" s="131" t="s">
        <v>684</v>
      </c>
      <c r="C486" s="132" t="s">
        <v>679</v>
      </c>
      <c r="D486" s="133" t="s">
        <v>701</v>
      </c>
      <c r="E486" s="134">
        <v>11</v>
      </c>
      <c r="F486" s="81" t="s">
        <v>686</v>
      </c>
      <c r="G486" s="68" t="s">
        <v>682</v>
      </c>
      <c r="H486" s="68">
        <v>1</v>
      </c>
      <c r="I486" s="68">
        <v>115000</v>
      </c>
      <c r="J486" s="68">
        <v>115000</v>
      </c>
      <c r="K486" s="135"/>
      <c r="L486" s="135"/>
      <c r="M486" s="135"/>
      <c r="N486" s="136"/>
      <c r="O486" s="41">
        <v>6</v>
      </c>
      <c r="P486" s="159">
        <v>2014</v>
      </c>
    </row>
    <row r="487" spans="1:16">
      <c r="A487" s="131">
        <v>14</v>
      </c>
      <c r="B487" s="131" t="s">
        <v>684</v>
      </c>
      <c r="C487" s="132" t="s">
        <v>679</v>
      </c>
      <c r="D487" s="133" t="s">
        <v>701</v>
      </c>
      <c r="E487" s="134">
        <v>11</v>
      </c>
      <c r="F487" s="81" t="s">
        <v>680</v>
      </c>
      <c r="G487" s="68" t="s">
        <v>651</v>
      </c>
      <c r="H487" s="68">
        <v>1</v>
      </c>
      <c r="I487" s="68">
        <v>98000</v>
      </c>
      <c r="J487" s="68">
        <v>98000</v>
      </c>
      <c r="K487" s="135"/>
      <c r="L487" s="135"/>
      <c r="M487" s="135"/>
      <c r="N487" s="136"/>
      <c r="O487" s="41">
        <v>6</v>
      </c>
      <c r="P487" s="159">
        <v>2014</v>
      </c>
    </row>
    <row r="488" spans="1:16">
      <c r="A488" s="131">
        <v>14</v>
      </c>
      <c r="B488" s="131" t="s">
        <v>684</v>
      </c>
      <c r="C488" s="132" t="s">
        <v>679</v>
      </c>
      <c r="D488" s="133" t="s">
        <v>701</v>
      </c>
      <c r="E488" s="134">
        <v>11</v>
      </c>
      <c r="G488" s="68"/>
      <c r="I488" s="68"/>
      <c r="J488" s="68"/>
      <c r="K488" s="135">
        <v>213000</v>
      </c>
      <c r="L488" s="135">
        <v>113000</v>
      </c>
      <c r="M488" s="135">
        <v>100000</v>
      </c>
      <c r="N488" s="136" t="s">
        <v>700</v>
      </c>
      <c r="O488" s="41">
        <v>6</v>
      </c>
      <c r="P488" s="159">
        <v>2014</v>
      </c>
    </row>
    <row r="489" spans="1:16">
      <c r="A489" s="137">
        <v>14</v>
      </c>
      <c r="B489" s="137" t="s">
        <v>684</v>
      </c>
      <c r="C489" s="138" t="s">
        <v>679</v>
      </c>
      <c r="D489" s="139" t="s">
        <v>701</v>
      </c>
      <c r="E489" s="140">
        <v>12</v>
      </c>
      <c r="F489" s="141"/>
      <c r="G489" s="142"/>
      <c r="H489" s="142"/>
      <c r="I489" s="142"/>
      <c r="J489" s="142"/>
      <c r="K489" s="143"/>
      <c r="L489" s="143"/>
      <c r="M489" s="143"/>
      <c r="N489" s="144"/>
      <c r="O489" s="41">
        <v>6</v>
      </c>
      <c r="P489" s="159">
        <v>2014</v>
      </c>
    </row>
    <row r="490" spans="1:16">
      <c r="A490" s="131">
        <v>14</v>
      </c>
      <c r="B490" s="131" t="s">
        <v>684</v>
      </c>
      <c r="C490" s="132" t="s">
        <v>679</v>
      </c>
      <c r="D490" s="133" t="s">
        <v>701</v>
      </c>
      <c r="E490" s="134">
        <v>12</v>
      </c>
      <c r="F490" s="81" t="s">
        <v>686</v>
      </c>
      <c r="G490" s="68" t="s">
        <v>682</v>
      </c>
      <c r="H490" s="68">
        <v>1</v>
      </c>
      <c r="I490" s="68">
        <v>115000</v>
      </c>
      <c r="J490" s="68">
        <v>115000</v>
      </c>
      <c r="K490" s="135"/>
      <c r="L490" s="135"/>
      <c r="M490" s="135"/>
      <c r="N490" s="136"/>
      <c r="O490" s="41">
        <v>6</v>
      </c>
      <c r="P490" s="159">
        <v>2014</v>
      </c>
    </row>
    <row r="491" spans="1:16">
      <c r="A491" s="131">
        <v>14</v>
      </c>
      <c r="B491" s="131" t="s">
        <v>684</v>
      </c>
      <c r="C491" s="132" t="s">
        <v>679</v>
      </c>
      <c r="D491" s="133" t="s">
        <v>701</v>
      </c>
      <c r="E491" s="134">
        <v>12</v>
      </c>
      <c r="F491" s="81" t="s">
        <v>680</v>
      </c>
      <c r="G491" s="68" t="s">
        <v>651</v>
      </c>
      <c r="H491" s="68">
        <v>1</v>
      </c>
      <c r="I491" s="68">
        <v>98000</v>
      </c>
      <c r="J491" s="68">
        <v>98000</v>
      </c>
      <c r="K491" s="135"/>
      <c r="L491" s="135"/>
      <c r="M491" s="135"/>
      <c r="N491" s="136"/>
      <c r="O491" s="41">
        <v>6</v>
      </c>
      <c r="P491" s="159">
        <v>2014</v>
      </c>
    </row>
    <row r="492" spans="1:16">
      <c r="A492" s="131">
        <v>14</v>
      </c>
      <c r="B492" s="131" t="s">
        <v>684</v>
      </c>
      <c r="C492" s="132" t="s">
        <v>679</v>
      </c>
      <c r="D492" s="133" t="s">
        <v>701</v>
      </c>
      <c r="E492" s="134">
        <v>12</v>
      </c>
      <c r="G492" s="68"/>
      <c r="I492" s="68"/>
      <c r="J492" s="68"/>
      <c r="K492" s="135">
        <v>213000</v>
      </c>
      <c r="L492" s="135">
        <v>113000</v>
      </c>
      <c r="M492" s="135">
        <v>100000</v>
      </c>
      <c r="N492" s="136" t="s">
        <v>700</v>
      </c>
      <c r="O492" s="41">
        <v>6</v>
      </c>
      <c r="P492" s="159">
        <v>2014</v>
      </c>
    </row>
    <row r="493" spans="1:16">
      <c r="A493" s="137">
        <v>14</v>
      </c>
      <c r="B493" s="137" t="s">
        <v>684</v>
      </c>
      <c r="C493" s="138" t="s">
        <v>679</v>
      </c>
      <c r="D493" s="139" t="s">
        <v>701</v>
      </c>
      <c r="E493" s="140">
        <v>13</v>
      </c>
      <c r="F493" s="141"/>
      <c r="G493" s="142"/>
      <c r="H493" s="142"/>
      <c r="I493" s="142"/>
      <c r="J493" s="142"/>
      <c r="K493" s="143"/>
      <c r="L493" s="143"/>
      <c r="M493" s="143"/>
      <c r="N493" s="144"/>
      <c r="O493" s="41">
        <v>6</v>
      </c>
      <c r="P493" s="159">
        <v>2014</v>
      </c>
    </row>
    <row r="494" spans="1:16">
      <c r="A494" s="131">
        <v>14</v>
      </c>
      <c r="B494" s="131" t="s">
        <v>684</v>
      </c>
      <c r="C494" s="132" t="s">
        <v>679</v>
      </c>
      <c r="D494" s="133" t="s">
        <v>701</v>
      </c>
      <c r="E494" s="134">
        <v>13</v>
      </c>
      <c r="F494" s="81" t="s">
        <v>699</v>
      </c>
      <c r="G494" s="68" t="s">
        <v>650</v>
      </c>
      <c r="H494" s="68">
        <v>1</v>
      </c>
      <c r="I494" s="68">
        <v>85000</v>
      </c>
      <c r="J494" s="68">
        <v>85000</v>
      </c>
      <c r="K494" s="135"/>
      <c r="L494" s="135"/>
      <c r="M494" s="135"/>
      <c r="N494" s="136"/>
      <c r="O494" s="41">
        <v>6</v>
      </c>
      <c r="P494" s="159">
        <v>2014</v>
      </c>
    </row>
    <row r="495" spans="1:16">
      <c r="A495" s="131">
        <v>14</v>
      </c>
      <c r="B495" s="131" t="s">
        <v>684</v>
      </c>
      <c r="C495" s="132" t="s">
        <v>679</v>
      </c>
      <c r="D495" s="133" t="s">
        <v>701</v>
      </c>
      <c r="E495" s="134">
        <v>13</v>
      </c>
      <c r="F495" s="81" t="s">
        <v>686</v>
      </c>
      <c r="G495" s="68" t="s">
        <v>682</v>
      </c>
      <c r="H495" s="68">
        <v>1</v>
      </c>
      <c r="I495" s="68">
        <v>115000</v>
      </c>
      <c r="J495" s="68">
        <v>115000</v>
      </c>
      <c r="K495" s="135"/>
      <c r="L495" s="135"/>
      <c r="M495" s="135"/>
      <c r="N495" s="136"/>
      <c r="O495" s="41">
        <v>6</v>
      </c>
      <c r="P495" s="159">
        <v>2014</v>
      </c>
    </row>
    <row r="496" spans="1:16">
      <c r="A496" s="131">
        <v>14</v>
      </c>
      <c r="B496" s="131" t="s">
        <v>684</v>
      </c>
      <c r="C496" s="132" t="s">
        <v>679</v>
      </c>
      <c r="D496" s="133" t="s">
        <v>701</v>
      </c>
      <c r="E496" s="134">
        <v>13</v>
      </c>
      <c r="G496" s="68"/>
      <c r="I496" s="68"/>
      <c r="J496" s="68"/>
      <c r="K496" s="135">
        <v>200000</v>
      </c>
      <c r="L496" s="135">
        <v>100000</v>
      </c>
      <c r="M496" s="135">
        <v>100000</v>
      </c>
      <c r="N496" s="136" t="s">
        <v>700</v>
      </c>
      <c r="O496" s="41">
        <v>6</v>
      </c>
      <c r="P496" s="159">
        <v>2014</v>
      </c>
    </row>
    <row r="497" spans="1:16">
      <c r="A497" s="137">
        <v>14</v>
      </c>
      <c r="B497" s="137" t="s">
        <v>684</v>
      </c>
      <c r="C497" s="138" t="s">
        <v>679</v>
      </c>
      <c r="D497" s="139" t="s">
        <v>701</v>
      </c>
      <c r="E497" s="140">
        <v>14</v>
      </c>
      <c r="F497" s="141"/>
      <c r="G497" s="142"/>
      <c r="H497" s="142"/>
      <c r="I497" s="142"/>
      <c r="J497" s="142"/>
      <c r="K497" s="143"/>
      <c r="L497" s="143"/>
      <c r="M497" s="143"/>
      <c r="N497" s="144"/>
      <c r="O497" s="41">
        <v>6</v>
      </c>
      <c r="P497" s="159">
        <v>2014</v>
      </c>
    </row>
    <row r="498" spans="1:16">
      <c r="A498" s="131">
        <v>14</v>
      </c>
      <c r="B498" s="131" t="s">
        <v>684</v>
      </c>
      <c r="C498" s="132" t="s">
        <v>679</v>
      </c>
      <c r="D498" s="133" t="s">
        <v>701</v>
      </c>
      <c r="E498" s="134">
        <v>14</v>
      </c>
      <c r="F498" s="81" t="s">
        <v>680</v>
      </c>
      <c r="G498" s="68" t="s">
        <v>651</v>
      </c>
      <c r="H498" s="68">
        <v>1</v>
      </c>
      <c r="I498" s="68">
        <v>98000</v>
      </c>
      <c r="J498" s="68">
        <v>98000</v>
      </c>
      <c r="K498" s="135"/>
      <c r="L498" s="135"/>
      <c r="M498" s="135"/>
      <c r="N498" s="136"/>
      <c r="O498" s="41">
        <v>6</v>
      </c>
      <c r="P498" s="159">
        <v>2014</v>
      </c>
    </row>
    <row r="499" spans="1:16">
      <c r="A499" s="131">
        <v>14</v>
      </c>
      <c r="B499" s="131" t="s">
        <v>684</v>
      </c>
      <c r="C499" s="132" t="s">
        <v>679</v>
      </c>
      <c r="D499" s="133" t="s">
        <v>701</v>
      </c>
      <c r="E499" s="134">
        <v>14</v>
      </c>
      <c r="G499" s="68"/>
      <c r="I499" s="68"/>
      <c r="J499" s="68"/>
      <c r="K499" s="135">
        <v>98000</v>
      </c>
      <c r="L499" s="135">
        <v>48000</v>
      </c>
      <c r="M499" s="135">
        <v>50000</v>
      </c>
      <c r="N499" s="136" t="s">
        <v>700</v>
      </c>
      <c r="O499" s="41">
        <v>6</v>
      </c>
      <c r="P499" s="159">
        <v>2014</v>
      </c>
    </row>
    <row r="500" spans="1:16">
      <c r="A500" s="137">
        <v>14</v>
      </c>
      <c r="B500" s="137" t="s">
        <v>684</v>
      </c>
      <c r="C500" s="138" t="s">
        <v>679</v>
      </c>
      <c r="D500" s="139" t="s">
        <v>701</v>
      </c>
      <c r="E500" s="140">
        <v>15</v>
      </c>
      <c r="F500" s="141"/>
      <c r="G500" s="142"/>
      <c r="H500" s="142"/>
      <c r="I500" s="142"/>
      <c r="J500" s="142"/>
      <c r="K500" s="143"/>
      <c r="L500" s="143"/>
      <c r="M500" s="143"/>
      <c r="N500" s="144"/>
      <c r="O500" s="41">
        <v>6</v>
      </c>
      <c r="P500" s="159">
        <v>2014</v>
      </c>
    </row>
    <row r="501" spans="1:16">
      <c r="A501" s="131">
        <v>14</v>
      </c>
      <c r="B501" s="131" t="s">
        <v>684</v>
      </c>
      <c r="C501" s="132" t="s">
        <v>679</v>
      </c>
      <c r="D501" s="133" t="s">
        <v>701</v>
      </c>
      <c r="E501" s="134">
        <v>15</v>
      </c>
      <c r="F501" s="81" t="s">
        <v>686</v>
      </c>
      <c r="G501" s="68" t="s">
        <v>682</v>
      </c>
      <c r="H501" s="68">
        <v>1</v>
      </c>
      <c r="I501" s="68">
        <v>115000</v>
      </c>
      <c r="J501" s="68">
        <v>115000</v>
      </c>
      <c r="K501" s="135"/>
      <c r="L501" s="135"/>
      <c r="M501" s="135"/>
      <c r="N501" s="136"/>
      <c r="O501" s="41">
        <v>6</v>
      </c>
      <c r="P501" s="159">
        <v>2014</v>
      </c>
    </row>
    <row r="502" spans="1:16">
      <c r="A502" s="131">
        <v>14</v>
      </c>
      <c r="B502" s="131" t="s">
        <v>684</v>
      </c>
      <c r="C502" s="132" t="s">
        <v>679</v>
      </c>
      <c r="D502" s="133" t="s">
        <v>701</v>
      </c>
      <c r="E502" s="134">
        <v>15</v>
      </c>
      <c r="F502" s="81" t="s">
        <v>680</v>
      </c>
      <c r="G502" s="68" t="s">
        <v>651</v>
      </c>
      <c r="H502" s="68">
        <v>1</v>
      </c>
      <c r="I502" s="68">
        <v>98000</v>
      </c>
      <c r="J502" s="68">
        <v>98000</v>
      </c>
      <c r="K502" s="135"/>
      <c r="L502" s="135"/>
      <c r="M502" s="135"/>
      <c r="N502" s="136"/>
      <c r="O502" s="41">
        <v>6</v>
      </c>
      <c r="P502" s="159">
        <v>2014</v>
      </c>
    </row>
    <row r="503" spans="1:16">
      <c r="A503" s="131">
        <v>14</v>
      </c>
      <c r="B503" s="131" t="s">
        <v>684</v>
      </c>
      <c r="C503" s="132" t="s">
        <v>679</v>
      </c>
      <c r="D503" s="133" t="s">
        <v>701</v>
      </c>
      <c r="E503" s="134">
        <v>15</v>
      </c>
      <c r="G503" s="68"/>
      <c r="I503" s="68"/>
      <c r="J503" s="68"/>
      <c r="K503" s="135">
        <v>213000</v>
      </c>
      <c r="L503" s="135">
        <v>113000</v>
      </c>
      <c r="M503" s="135">
        <v>100000</v>
      </c>
      <c r="N503" s="136" t="s">
        <v>700</v>
      </c>
      <c r="O503" s="41">
        <v>6</v>
      </c>
      <c r="P503" s="159">
        <v>2014</v>
      </c>
    </row>
    <row r="504" spans="1:16">
      <c r="A504" s="137">
        <v>14</v>
      </c>
      <c r="B504" s="137" t="s">
        <v>684</v>
      </c>
      <c r="C504" s="138" t="s">
        <v>679</v>
      </c>
      <c r="D504" s="139" t="s">
        <v>701</v>
      </c>
      <c r="E504" s="140">
        <v>16</v>
      </c>
      <c r="F504" s="141"/>
      <c r="G504" s="142"/>
      <c r="H504" s="142"/>
      <c r="I504" s="142"/>
      <c r="J504" s="142"/>
      <c r="K504" s="143"/>
      <c r="L504" s="143"/>
      <c r="M504" s="143"/>
      <c r="N504" s="144"/>
      <c r="O504" s="41">
        <v>6</v>
      </c>
      <c r="P504" s="159">
        <v>2014</v>
      </c>
    </row>
    <row r="505" spans="1:16">
      <c r="A505" s="131">
        <v>14</v>
      </c>
      <c r="B505" s="131" t="s">
        <v>684</v>
      </c>
      <c r="C505" s="132" t="s">
        <v>679</v>
      </c>
      <c r="D505" s="133" t="s">
        <v>701</v>
      </c>
      <c r="E505" s="134">
        <v>16</v>
      </c>
      <c r="F505" s="81" t="s">
        <v>680</v>
      </c>
      <c r="G505" s="68" t="s">
        <v>651</v>
      </c>
      <c r="H505" s="68">
        <v>1</v>
      </c>
      <c r="I505" s="68">
        <v>98000</v>
      </c>
      <c r="J505" s="68">
        <v>98000</v>
      </c>
      <c r="K505" s="135"/>
      <c r="L505" s="135"/>
      <c r="M505" s="135"/>
      <c r="N505" s="136"/>
      <c r="O505" s="41">
        <v>6</v>
      </c>
      <c r="P505" s="159">
        <v>2014</v>
      </c>
    </row>
    <row r="506" spans="1:16">
      <c r="A506" s="131">
        <v>14</v>
      </c>
      <c r="B506" s="131" t="s">
        <v>684</v>
      </c>
      <c r="C506" s="132" t="s">
        <v>679</v>
      </c>
      <c r="D506" s="133" t="s">
        <v>701</v>
      </c>
      <c r="E506" s="134">
        <v>16</v>
      </c>
      <c r="F506" s="81" t="s">
        <v>699</v>
      </c>
      <c r="G506" s="68" t="s">
        <v>650</v>
      </c>
      <c r="H506" s="68">
        <v>1</v>
      </c>
      <c r="I506" s="68">
        <v>85000</v>
      </c>
      <c r="J506" s="68">
        <v>85000</v>
      </c>
      <c r="K506" s="135"/>
      <c r="L506" s="135"/>
      <c r="M506" s="135"/>
      <c r="N506" s="136"/>
      <c r="O506" s="41">
        <v>6</v>
      </c>
      <c r="P506" s="159">
        <v>2014</v>
      </c>
    </row>
    <row r="507" spans="1:16">
      <c r="A507" s="131">
        <v>14</v>
      </c>
      <c r="B507" s="131" t="s">
        <v>684</v>
      </c>
      <c r="C507" s="132" t="s">
        <v>679</v>
      </c>
      <c r="D507" s="133" t="s">
        <v>701</v>
      </c>
      <c r="E507" s="134">
        <v>16</v>
      </c>
      <c r="G507" s="68"/>
      <c r="I507" s="68"/>
      <c r="J507" s="68"/>
      <c r="K507" s="135">
        <v>183000</v>
      </c>
      <c r="L507" s="135">
        <v>83000</v>
      </c>
      <c r="M507" s="135">
        <v>100000</v>
      </c>
      <c r="N507" s="136" t="s">
        <v>700</v>
      </c>
      <c r="O507" s="41">
        <v>6</v>
      </c>
      <c r="P507" s="159">
        <v>2014</v>
      </c>
    </row>
    <row r="508" spans="1:16">
      <c r="A508" s="137">
        <v>14</v>
      </c>
      <c r="B508" s="137" t="s">
        <v>684</v>
      </c>
      <c r="C508" s="138" t="s">
        <v>679</v>
      </c>
      <c r="D508" s="139" t="s">
        <v>701</v>
      </c>
      <c r="E508" s="140">
        <v>17</v>
      </c>
      <c r="F508" s="141"/>
      <c r="G508" s="142"/>
      <c r="H508" s="142"/>
      <c r="I508" s="142"/>
      <c r="J508" s="142"/>
      <c r="K508" s="143"/>
      <c r="L508" s="143"/>
      <c r="M508" s="143"/>
      <c r="N508" s="144"/>
      <c r="O508" s="41">
        <v>6</v>
      </c>
      <c r="P508" s="159">
        <v>2014</v>
      </c>
    </row>
    <row r="509" spans="1:16">
      <c r="A509" s="131">
        <v>14</v>
      </c>
      <c r="B509" s="131" t="s">
        <v>684</v>
      </c>
      <c r="C509" s="132" t="s">
        <v>679</v>
      </c>
      <c r="D509" s="133" t="s">
        <v>701</v>
      </c>
      <c r="E509" s="134">
        <v>17</v>
      </c>
      <c r="F509" s="81" t="s">
        <v>686</v>
      </c>
      <c r="G509" s="68" t="s">
        <v>682</v>
      </c>
      <c r="H509" s="68">
        <v>1</v>
      </c>
      <c r="I509" s="68">
        <v>115000</v>
      </c>
      <c r="J509" s="68">
        <v>115000</v>
      </c>
      <c r="K509" s="135"/>
      <c r="L509" s="135"/>
      <c r="M509" s="135"/>
      <c r="N509" s="136"/>
      <c r="O509" s="41">
        <v>6</v>
      </c>
      <c r="P509" s="159">
        <v>2014</v>
      </c>
    </row>
    <row r="510" spans="1:16">
      <c r="A510" s="131">
        <v>14</v>
      </c>
      <c r="B510" s="131" t="s">
        <v>684</v>
      </c>
      <c r="C510" s="132" t="s">
        <v>679</v>
      </c>
      <c r="D510" s="133" t="s">
        <v>701</v>
      </c>
      <c r="E510" s="134">
        <v>17</v>
      </c>
      <c r="G510" s="68"/>
      <c r="I510" s="68"/>
      <c r="J510" s="68"/>
      <c r="K510" s="135">
        <v>115000</v>
      </c>
      <c r="L510" s="135">
        <v>65000</v>
      </c>
      <c r="M510" s="135">
        <v>50000</v>
      </c>
      <c r="N510" s="136" t="s">
        <v>700</v>
      </c>
      <c r="O510" s="41">
        <v>6</v>
      </c>
      <c r="P510" s="159">
        <v>2014</v>
      </c>
    </row>
    <row r="511" spans="1:16">
      <c r="A511" s="137">
        <v>14</v>
      </c>
      <c r="B511" s="137" t="s">
        <v>684</v>
      </c>
      <c r="C511" s="138" t="s">
        <v>679</v>
      </c>
      <c r="D511" s="139" t="s">
        <v>701</v>
      </c>
      <c r="E511" s="140">
        <v>18</v>
      </c>
      <c r="F511" s="141"/>
      <c r="G511" s="142"/>
      <c r="H511" s="142"/>
      <c r="I511" s="142"/>
      <c r="J511" s="142"/>
      <c r="K511" s="143"/>
      <c r="L511" s="143"/>
      <c r="M511" s="143"/>
      <c r="N511" s="144"/>
      <c r="O511" s="41">
        <v>6</v>
      </c>
      <c r="P511" s="159">
        <v>2014</v>
      </c>
    </row>
    <row r="512" spans="1:16">
      <c r="A512" s="131">
        <v>14</v>
      </c>
      <c r="B512" s="131" t="s">
        <v>684</v>
      </c>
      <c r="C512" s="132" t="s">
        <v>679</v>
      </c>
      <c r="D512" s="133" t="s">
        <v>701</v>
      </c>
      <c r="E512" s="134">
        <v>18</v>
      </c>
      <c r="F512" s="81" t="s">
        <v>697</v>
      </c>
      <c r="G512" s="68" t="s">
        <v>698</v>
      </c>
      <c r="H512" s="68">
        <v>1</v>
      </c>
      <c r="I512" s="68">
        <v>195000</v>
      </c>
      <c r="J512" s="68">
        <v>195000</v>
      </c>
      <c r="K512" s="135"/>
      <c r="L512" s="135"/>
      <c r="M512" s="135"/>
      <c r="N512" s="136"/>
      <c r="O512" s="41">
        <v>6</v>
      </c>
      <c r="P512" s="159">
        <v>2014</v>
      </c>
    </row>
    <row r="513" spans="1:16">
      <c r="A513" s="131">
        <v>14</v>
      </c>
      <c r="B513" s="131" t="s">
        <v>684</v>
      </c>
      <c r="C513" s="132" t="s">
        <v>679</v>
      </c>
      <c r="D513" s="133" t="s">
        <v>701</v>
      </c>
      <c r="E513" s="134">
        <v>18</v>
      </c>
      <c r="G513" s="68"/>
      <c r="I513" s="68"/>
      <c r="J513" s="68"/>
      <c r="K513" s="135">
        <v>195000</v>
      </c>
      <c r="L513" s="135"/>
      <c r="M513" s="135">
        <v>195000</v>
      </c>
      <c r="N513" s="136"/>
      <c r="O513" s="41">
        <v>6</v>
      </c>
      <c r="P513" s="159">
        <v>2014</v>
      </c>
    </row>
    <row r="514" spans="1:16">
      <c r="A514" s="137">
        <v>14</v>
      </c>
      <c r="B514" s="137" t="s">
        <v>684</v>
      </c>
      <c r="C514" s="138" t="s">
        <v>679</v>
      </c>
      <c r="D514" s="139" t="s">
        <v>701</v>
      </c>
      <c r="E514" s="140">
        <v>19</v>
      </c>
      <c r="F514" s="141"/>
      <c r="G514" s="142"/>
      <c r="H514" s="142"/>
      <c r="I514" s="142"/>
      <c r="J514" s="142"/>
      <c r="K514" s="143"/>
      <c r="L514" s="143"/>
      <c r="M514" s="143"/>
      <c r="N514" s="144"/>
      <c r="O514" s="41">
        <v>6</v>
      </c>
      <c r="P514" s="159">
        <v>2014</v>
      </c>
    </row>
    <row r="515" spans="1:16">
      <c r="A515" s="131">
        <v>14</v>
      </c>
      <c r="B515" s="131" t="s">
        <v>684</v>
      </c>
      <c r="C515" s="132" t="s">
        <v>679</v>
      </c>
      <c r="D515" s="133" t="s">
        <v>701</v>
      </c>
      <c r="E515" s="134">
        <v>19</v>
      </c>
      <c r="F515" s="81" t="s">
        <v>686</v>
      </c>
      <c r="G515" s="68" t="s">
        <v>682</v>
      </c>
      <c r="H515" s="68">
        <v>1</v>
      </c>
      <c r="I515" s="68">
        <v>115000</v>
      </c>
      <c r="J515" s="68">
        <v>115000</v>
      </c>
      <c r="K515" s="135"/>
      <c r="L515" s="135"/>
      <c r="M515" s="135"/>
      <c r="N515" s="136"/>
      <c r="O515" s="41">
        <v>6</v>
      </c>
      <c r="P515" s="159">
        <v>2014</v>
      </c>
    </row>
    <row r="516" spans="1:16">
      <c r="A516" s="131">
        <v>14</v>
      </c>
      <c r="B516" s="131" t="s">
        <v>684</v>
      </c>
      <c r="C516" s="132" t="s">
        <v>679</v>
      </c>
      <c r="D516" s="133" t="s">
        <v>701</v>
      </c>
      <c r="E516" s="134">
        <v>19</v>
      </c>
      <c r="F516" s="81" t="s">
        <v>699</v>
      </c>
      <c r="G516" s="68" t="s">
        <v>650</v>
      </c>
      <c r="H516" s="68">
        <v>1</v>
      </c>
      <c r="I516" s="68">
        <v>85000</v>
      </c>
      <c r="J516" s="68">
        <v>85000</v>
      </c>
      <c r="K516" s="135"/>
      <c r="L516" s="135"/>
      <c r="M516" s="135"/>
      <c r="N516" s="136"/>
      <c r="O516" s="41">
        <v>6</v>
      </c>
      <c r="P516" s="159">
        <v>2014</v>
      </c>
    </row>
    <row r="517" spans="1:16">
      <c r="A517" s="131">
        <v>14</v>
      </c>
      <c r="B517" s="131" t="s">
        <v>684</v>
      </c>
      <c r="C517" s="132" t="s">
        <v>679</v>
      </c>
      <c r="D517" s="133" t="s">
        <v>701</v>
      </c>
      <c r="E517" s="134">
        <v>19</v>
      </c>
      <c r="G517" s="68"/>
      <c r="I517" s="68"/>
      <c r="J517" s="68"/>
      <c r="K517" s="135">
        <v>200000</v>
      </c>
      <c r="L517" s="135">
        <v>100000</v>
      </c>
      <c r="M517" s="135">
        <v>100000</v>
      </c>
      <c r="N517" s="136" t="s">
        <v>700</v>
      </c>
      <c r="O517" s="41">
        <v>6</v>
      </c>
      <c r="P517" s="159">
        <v>2014</v>
      </c>
    </row>
    <row r="518" spans="1:16">
      <c r="A518" s="137">
        <v>14</v>
      </c>
      <c r="B518" s="137" t="s">
        <v>684</v>
      </c>
      <c r="C518" s="138" t="s">
        <v>679</v>
      </c>
      <c r="D518" s="139" t="s">
        <v>701</v>
      </c>
      <c r="E518" s="140">
        <v>20</v>
      </c>
      <c r="F518" s="141"/>
      <c r="G518" s="142"/>
      <c r="H518" s="142"/>
      <c r="I518" s="142"/>
      <c r="J518" s="142"/>
      <c r="K518" s="143"/>
      <c r="L518" s="143"/>
      <c r="M518" s="143"/>
      <c r="N518" s="144"/>
      <c r="O518" s="41">
        <v>6</v>
      </c>
      <c r="P518" s="159">
        <v>2014</v>
      </c>
    </row>
    <row r="519" spans="1:16">
      <c r="A519" s="131">
        <v>14</v>
      </c>
      <c r="B519" s="131" t="s">
        <v>684</v>
      </c>
      <c r="C519" s="132" t="s">
        <v>679</v>
      </c>
      <c r="D519" s="133" t="s">
        <v>701</v>
      </c>
      <c r="E519" s="134">
        <v>20</v>
      </c>
      <c r="F519" s="81" t="s">
        <v>686</v>
      </c>
      <c r="G519" s="68" t="s">
        <v>682</v>
      </c>
      <c r="H519" s="68">
        <v>1</v>
      </c>
      <c r="I519" s="68">
        <v>115000</v>
      </c>
      <c r="J519" s="68">
        <v>115000</v>
      </c>
      <c r="K519" s="135"/>
      <c r="L519" s="135"/>
      <c r="M519" s="135"/>
      <c r="N519" s="136"/>
      <c r="O519" s="41">
        <v>6</v>
      </c>
      <c r="P519" s="159">
        <v>2014</v>
      </c>
    </row>
    <row r="520" spans="1:16">
      <c r="A520" s="131">
        <v>14</v>
      </c>
      <c r="B520" s="131" t="s">
        <v>684</v>
      </c>
      <c r="C520" s="132" t="s">
        <v>679</v>
      </c>
      <c r="D520" s="133" t="s">
        <v>701</v>
      </c>
      <c r="E520" s="134">
        <v>20</v>
      </c>
      <c r="F520" s="81" t="s">
        <v>680</v>
      </c>
      <c r="G520" s="68" t="s">
        <v>651</v>
      </c>
      <c r="H520" s="68">
        <v>2</v>
      </c>
      <c r="I520" s="68">
        <v>98000</v>
      </c>
      <c r="J520" s="68">
        <v>196000</v>
      </c>
      <c r="K520" s="135"/>
      <c r="L520" s="135"/>
      <c r="M520" s="135"/>
      <c r="N520" s="136"/>
      <c r="O520" s="41">
        <v>6</v>
      </c>
      <c r="P520" s="159">
        <v>2014</v>
      </c>
    </row>
    <row r="521" spans="1:16">
      <c r="A521" s="131">
        <v>14</v>
      </c>
      <c r="B521" s="131" t="s">
        <v>684</v>
      </c>
      <c r="C521" s="132" t="s">
        <v>679</v>
      </c>
      <c r="D521" s="133" t="s">
        <v>701</v>
      </c>
      <c r="E521" s="134">
        <v>20</v>
      </c>
      <c r="G521" s="68"/>
      <c r="I521" s="68"/>
      <c r="J521" s="68"/>
      <c r="K521" s="135">
        <v>311000</v>
      </c>
      <c r="L521" s="135">
        <v>161000</v>
      </c>
      <c r="M521" s="135">
        <v>150000</v>
      </c>
      <c r="N521" s="136" t="s">
        <v>700</v>
      </c>
      <c r="O521" s="41">
        <v>6</v>
      </c>
      <c r="P521" s="159">
        <v>2014</v>
      </c>
    </row>
    <row r="522" spans="1:16">
      <c r="A522" s="137">
        <v>14</v>
      </c>
      <c r="B522" s="137" t="s">
        <v>684</v>
      </c>
      <c r="C522" s="138" t="s">
        <v>679</v>
      </c>
      <c r="D522" s="139" t="s">
        <v>701</v>
      </c>
      <c r="E522" s="140">
        <v>21</v>
      </c>
      <c r="F522" s="141"/>
      <c r="G522" s="142"/>
      <c r="H522" s="142"/>
      <c r="I522" s="142"/>
      <c r="J522" s="142"/>
      <c r="K522" s="143"/>
      <c r="L522" s="143"/>
      <c r="M522" s="143"/>
      <c r="N522" s="144"/>
      <c r="O522" s="41">
        <v>6</v>
      </c>
      <c r="P522" s="159">
        <v>2014</v>
      </c>
    </row>
    <row r="523" spans="1:16">
      <c r="A523" s="131">
        <v>14</v>
      </c>
      <c r="B523" s="131" t="s">
        <v>684</v>
      </c>
      <c r="C523" s="132" t="s">
        <v>679</v>
      </c>
      <c r="D523" s="133" t="s">
        <v>701</v>
      </c>
      <c r="E523" s="134">
        <v>21</v>
      </c>
      <c r="F523" s="81" t="s">
        <v>680</v>
      </c>
      <c r="G523" s="68" t="s">
        <v>651</v>
      </c>
      <c r="H523" s="68">
        <v>1</v>
      </c>
      <c r="I523" s="68">
        <v>98000</v>
      </c>
      <c r="J523" s="68">
        <v>98000</v>
      </c>
      <c r="K523" s="135"/>
      <c r="L523" s="135"/>
      <c r="M523" s="135"/>
      <c r="N523" s="136"/>
      <c r="O523" s="41">
        <v>6</v>
      </c>
      <c r="P523" s="159">
        <v>2014</v>
      </c>
    </row>
    <row r="524" spans="1:16">
      <c r="A524" s="131">
        <v>14</v>
      </c>
      <c r="B524" s="131" t="s">
        <v>684</v>
      </c>
      <c r="C524" s="132" t="s">
        <v>679</v>
      </c>
      <c r="D524" s="133" t="s">
        <v>701</v>
      </c>
      <c r="E524" s="134">
        <v>21</v>
      </c>
      <c r="G524" s="68"/>
      <c r="I524" s="68"/>
      <c r="J524" s="68"/>
      <c r="K524" s="135">
        <v>98000</v>
      </c>
      <c r="L524" s="135">
        <v>48000</v>
      </c>
      <c r="M524" s="135">
        <v>50000</v>
      </c>
      <c r="N524" s="136" t="s">
        <v>700</v>
      </c>
      <c r="O524" s="41">
        <v>6</v>
      </c>
      <c r="P524" s="159">
        <v>2014</v>
      </c>
    </row>
    <row r="525" spans="1:16">
      <c r="A525" s="137">
        <v>14</v>
      </c>
      <c r="B525" s="137" t="s">
        <v>684</v>
      </c>
      <c r="C525" s="138" t="s">
        <v>679</v>
      </c>
      <c r="D525" s="139" t="s">
        <v>701</v>
      </c>
      <c r="E525" s="140">
        <v>22</v>
      </c>
      <c r="F525" s="141"/>
      <c r="G525" s="142"/>
      <c r="H525" s="142"/>
      <c r="I525" s="142"/>
      <c r="J525" s="142"/>
      <c r="K525" s="143"/>
      <c r="L525" s="143"/>
      <c r="M525" s="143"/>
      <c r="N525" s="144"/>
      <c r="O525" s="41">
        <v>6</v>
      </c>
      <c r="P525" s="159">
        <v>2014</v>
      </c>
    </row>
    <row r="526" spans="1:16">
      <c r="A526" s="131">
        <v>14</v>
      </c>
      <c r="B526" s="131" t="s">
        <v>684</v>
      </c>
      <c r="C526" s="132" t="s">
        <v>679</v>
      </c>
      <c r="D526" s="133" t="s">
        <v>701</v>
      </c>
      <c r="E526" s="134">
        <v>22</v>
      </c>
      <c r="F526" s="81" t="s">
        <v>680</v>
      </c>
      <c r="G526" s="68" t="s">
        <v>651</v>
      </c>
      <c r="H526" s="68">
        <v>1</v>
      </c>
      <c r="I526" s="68">
        <v>98000</v>
      </c>
      <c r="J526" s="68">
        <v>98000</v>
      </c>
      <c r="K526" s="135"/>
      <c r="L526" s="135"/>
      <c r="M526" s="135"/>
      <c r="N526" s="136"/>
      <c r="O526" s="41">
        <v>6</v>
      </c>
      <c r="P526" s="159">
        <v>2014</v>
      </c>
    </row>
    <row r="527" spans="1:16">
      <c r="A527" s="131">
        <v>14</v>
      </c>
      <c r="B527" s="131" t="s">
        <v>684</v>
      </c>
      <c r="C527" s="132" t="s">
        <v>679</v>
      </c>
      <c r="D527" s="133" t="s">
        <v>701</v>
      </c>
      <c r="E527" s="134">
        <v>22</v>
      </c>
      <c r="F527" s="81" t="s">
        <v>686</v>
      </c>
      <c r="G527" s="68" t="s">
        <v>682</v>
      </c>
      <c r="H527" s="68">
        <v>1</v>
      </c>
      <c r="I527" s="68">
        <v>115000</v>
      </c>
      <c r="J527" s="68">
        <v>115000</v>
      </c>
      <c r="K527" s="135"/>
      <c r="L527" s="135"/>
      <c r="M527" s="135"/>
      <c r="N527" s="136"/>
      <c r="O527" s="41">
        <v>6</v>
      </c>
      <c r="P527" s="159">
        <v>2014</v>
      </c>
    </row>
    <row r="528" spans="1:16">
      <c r="A528" s="131">
        <v>14</v>
      </c>
      <c r="B528" s="131" t="s">
        <v>684</v>
      </c>
      <c r="C528" s="132" t="s">
        <v>679</v>
      </c>
      <c r="D528" s="133" t="s">
        <v>701</v>
      </c>
      <c r="E528" s="134">
        <v>22</v>
      </c>
      <c r="G528" s="68"/>
      <c r="I528" s="68"/>
      <c r="J528" s="68"/>
      <c r="K528" s="135">
        <v>213000</v>
      </c>
      <c r="L528" s="135">
        <v>113000</v>
      </c>
      <c r="M528" s="135">
        <v>100000</v>
      </c>
      <c r="N528" s="136" t="s">
        <v>700</v>
      </c>
      <c r="O528" s="41">
        <v>6</v>
      </c>
      <c r="P528" s="159">
        <v>2014</v>
      </c>
    </row>
    <row r="529" spans="1:16">
      <c r="A529" s="137">
        <v>14</v>
      </c>
      <c r="B529" s="137" t="s">
        <v>684</v>
      </c>
      <c r="C529" s="138" t="s">
        <v>679</v>
      </c>
      <c r="D529" s="139" t="s">
        <v>701</v>
      </c>
      <c r="E529" s="140">
        <v>23</v>
      </c>
      <c r="F529" s="141"/>
      <c r="G529" s="142"/>
      <c r="H529" s="142"/>
      <c r="I529" s="142"/>
      <c r="J529" s="142"/>
      <c r="K529" s="143"/>
      <c r="L529" s="143"/>
      <c r="M529" s="143"/>
      <c r="N529" s="144"/>
      <c r="O529" s="41">
        <v>6</v>
      </c>
      <c r="P529" s="159">
        <v>2014</v>
      </c>
    </row>
    <row r="530" spans="1:16">
      <c r="A530" s="131">
        <v>14</v>
      </c>
      <c r="B530" s="131" t="s">
        <v>684</v>
      </c>
      <c r="C530" s="132" t="s">
        <v>679</v>
      </c>
      <c r="D530" s="133" t="s">
        <v>701</v>
      </c>
      <c r="E530" s="134">
        <v>23</v>
      </c>
      <c r="F530" s="81" t="s">
        <v>680</v>
      </c>
      <c r="G530" s="68" t="s">
        <v>651</v>
      </c>
      <c r="H530" s="68">
        <v>1</v>
      </c>
      <c r="I530" s="68">
        <v>98000</v>
      </c>
      <c r="J530" s="68">
        <v>98000</v>
      </c>
      <c r="K530" s="135"/>
      <c r="L530" s="135"/>
      <c r="M530" s="135"/>
      <c r="N530" s="136"/>
      <c r="O530" s="41">
        <v>6</v>
      </c>
      <c r="P530" s="159">
        <v>2014</v>
      </c>
    </row>
    <row r="531" spans="1:16">
      <c r="A531" s="131">
        <v>14</v>
      </c>
      <c r="B531" s="131" t="s">
        <v>684</v>
      </c>
      <c r="C531" s="132" t="s">
        <v>679</v>
      </c>
      <c r="D531" s="133" t="s">
        <v>701</v>
      </c>
      <c r="E531" s="134">
        <v>23</v>
      </c>
      <c r="G531" s="68"/>
      <c r="I531" s="68"/>
      <c r="J531" s="68"/>
      <c r="K531" s="135">
        <v>98000</v>
      </c>
      <c r="L531" s="135">
        <v>48000</v>
      </c>
      <c r="M531" s="135">
        <v>50000</v>
      </c>
      <c r="N531" s="136" t="s">
        <v>700</v>
      </c>
      <c r="O531" s="41">
        <v>6</v>
      </c>
      <c r="P531" s="159">
        <v>2014</v>
      </c>
    </row>
    <row r="532" spans="1:16">
      <c r="A532" s="137">
        <v>14</v>
      </c>
      <c r="B532" s="137" t="s">
        <v>684</v>
      </c>
      <c r="C532" s="138" t="s">
        <v>679</v>
      </c>
      <c r="D532" s="139" t="s">
        <v>701</v>
      </c>
      <c r="E532" s="140">
        <v>24</v>
      </c>
      <c r="F532" s="141"/>
      <c r="G532" s="142"/>
      <c r="H532" s="142"/>
      <c r="I532" s="142"/>
      <c r="J532" s="142"/>
      <c r="K532" s="143"/>
      <c r="L532" s="143"/>
      <c r="M532" s="143"/>
      <c r="N532" s="144"/>
      <c r="O532" s="41">
        <v>6</v>
      </c>
      <c r="P532" s="159">
        <v>2014</v>
      </c>
    </row>
    <row r="533" spans="1:16">
      <c r="A533" s="131">
        <v>14</v>
      </c>
      <c r="B533" s="131" t="s">
        <v>684</v>
      </c>
      <c r="C533" s="132" t="s">
        <v>679</v>
      </c>
      <c r="D533" s="133" t="s">
        <v>701</v>
      </c>
      <c r="E533" s="134">
        <v>24</v>
      </c>
      <c r="F533" s="81" t="s">
        <v>686</v>
      </c>
      <c r="G533" s="68" t="s">
        <v>682</v>
      </c>
      <c r="H533" s="68">
        <v>1</v>
      </c>
      <c r="I533" s="68">
        <v>115000</v>
      </c>
      <c r="J533" s="68">
        <v>115000</v>
      </c>
      <c r="K533" s="135"/>
      <c r="L533" s="135"/>
      <c r="M533" s="135"/>
      <c r="N533" s="136"/>
      <c r="O533" s="41">
        <v>6</v>
      </c>
      <c r="P533" s="159">
        <v>2014</v>
      </c>
    </row>
    <row r="534" spans="1:16">
      <c r="A534" s="131">
        <v>14</v>
      </c>
      <c r="B534" s="131" t="s">
        <v>684</v>
      </c>
      <c r="C534" s="132" t="s">
        <v>679</v>
      </c>
      <c r="D534" s="133" t="s">
        <v>701</v>
      </c>
      <c r="E534" s="134">
        <v>24</v>
      </c>
      <c r="F534" s="81" t="s">
        <v>680</v>
      </c>
      <c r="G534" s="68" t="s">
        <v>651</v>
      </c>
      <c r="H534" s="68">
        <v>1</v>
      </c>
      <c r="I534" s="68">
        <v>98000</v>
      </c>
      <c r="J534" s="68">
        <v>98000</v>
      </c>
      <c r="K534" s="135"/>
      <c r="L534" s="135"/>
      <c r="M534" s="135"/>
      <c r="N534" s="136"/>
      <c r="O534" s="41">
        <v>6</v>
      </c>
      <c r="P534" s="159">
        <v>2014</v>
      </c>
    </row>
    <row r="535" spans="1:16">
      <c r="A535" s="131">
        <v>14</v>
      </c>
      <c r="B535" s="131" t="s">
        <v>684</v>
      </c>
      <c r="C535" s="132" t="s">
        <v>679</v>
      </c>
      <c r="D535" s="133" t="s">
        <v>701</v>
      </c>
      <c r="E535" s="134">
        <v>24</v>
      </c>
      <c r="G535" s="68"/>
      <c r="I535" s="68"/>
      <c r="J535" s="68"/>
      <c r="K535" s="135">
        <v>213000</v>
      </c>
      <c r="L535" s="135">
        <v>113000</v>
      </c>
      <c r="M535" s="135">
        <v>100000</v>
      </c>
      <c r="N535" s="136" t="s">
        <v>700</v>
      </c>
      <c r="O535" s="41">
        <v>6</v>
      </c>
      <c r="P535" s="159">
        <v>2014</v>
      </c>
    </row>
    <row r="536" spans="1:16">
      <c r="A536" s="137">
        <v>14</v>
      </c>
      <c r="B536" s="137" t="s">
        <v>684</v>
      </c>
      <c r="C536" s="138" t="s">
        <v>679</v>
      </c>
      <c r="D536" s="139" t="s">
        <v>701</v>
      </c>
      <c r="E536" s="140">
        <v>25</v>
      </c>
      <c r="F536" s="141"/>
      <c r="G536" s="142"/>
      <c r="H536" s="142"/>
      <c r="I536" s="142"/>
      <c r="J536" s="142"/>
      <c r="K536" s="143"/>
      <c r="L536" s="143"/>
      <c r="M536" s="143"/>
      <c r="N536" s="144"/>
      <c r="O536" s="41">
        <v>6</v>
      </c>
      <c r="P536" s="159">
        <v>2014</v>
      </c>
    </row>
    <row r="537" spans="1:16">
      <c r="A537" s="131">
        <v>14</v>
      </c>
      <c r="B537" s="131" t="s">
        <v>684</v>
      </c>
      <c r="C537" s="132" t="s">
        <v>679</v>
      </c>
      <c r="D537" s="133" t="s">
        <v>701</v>
      </c>
      <c r="E537" s="134">
        <v>25</v>
      </c>
      <c r="F537" s="81" t="s">
        <v>686</v>
      </c>
      <c r="G537" s="68" t="s">
        <v>682</v>
      </c>
      <c r="H537" s="68">
        <v>1</v>
      </c>
      <c r="I537" s="68">
        <v>115000</v>
      </c>
      <c r="J537" s="68">
        <v>115000</v>
      </c>
      <c r="K537" s="135"/>
      <c r="L537" s="135"/>
      <c r="M537" s="135"/>
      <c r="N537" s="136"/>
      <c r="O537" s="41">
        <v>6</v>
      </c>
      <c r="P537" s="159">
        <v>2014</v>
      </c>
    </row>
    <row r="538" spans="1:16">
      <c r="A538" s="131">
        <v>14</v>
      </c>
      <c r="B538" s="131" t="s">
        <v>684</v>
      </c>
      <c r="C538" s="132" t="s">
        <v>679</v>
      </c>
      <c r="D538" s="133" t="s">
        <v>701</v>
      </c>
      <c r="E538" s="134">
        <v>25</v>
      </c>
      <c r="G538" s="68"/>
      <c r="I538" s="68"/>
      <c r="J538" s="68"/>
      <c r="K538" s="135">
        <v>115000</v>
      </c>
      <c r="L538" s="135">
        <v>65000</v>
      </c>
      <c r="M538" s="135">
        <v>50000</v>
      </c>
      <c r="N538" s="136" t="s">
        <v>700</v>
      </c>
      <c r="O538" s="41">
        <v>6</v>
      </c>
      <c r="P538" s="159">
        <v>2014</v>
      </c>
    </row>
    <row r="539" spans="1:16">
      <c r="A539" s="137">
        <v>14</v>
      </c>
      <c r="B539" s="137" t="s">
        <v>684</v>
      </c>
      <c r="C539" s="138" t="s">
        <v>679</v>
      </c>
      <c r="D539" s="139" t="s">
        <v>701</v>
      </c>
      <c r="E539" s="140">
        <v>26</v>
      </c>
      <c r="F539" s="141"/>
      <c r="G539" s="142"/>
      <c r="H539" s="142"/>
      <c r="I539" s="142"/>
      <c r="J539" s="142"/>
      <c r="K539" s="143"/>
      <c r="L539" s="143"/>
      <c r="M539" s="143"/>
      <c r="N539" s="144"/>
      <c r="O539" s="41">
        <v>6</v>
      </c>
      <c r="P539" s="159">
        <v>2014</v>
      </c>
    </row>
    <row r="540" spans="1:16">
      <c r="A540" s="131">
        <v>14</v>
      </c>
      <c r="B540" s="131" t="s">
        <v>684</v>
      </c>
      <c r="C540" s="132" t="s">
        <v>679</v>
      </c>
      <c r="D540" s="133" t="s">
        <v>701</v>
      </c>
      <c r="E540" s="134">
        <v>26</v>
      </c>
      <c r="F540" s="81" t="s">
        <v>680</v>
      </c>
      <c r="G540" s="68" t="s">
        <v>651</v>
      </c>
      <c r="H540" s="68">
        <v>1</v>
      </c>
      <c r="I540" s="68">
        <v>98000</v>
      </c>
      <c r="J540" s="68">
        <v>98000</v>
      </c>
      <c r="K540" s="135"/>
      <c r="L540" s="135"/>
      <c r="M540" s="135"/>
      <c r="N540" s="136"/>
      <c r="O540" s="41">
        <v>6</v>
      </c>
      <c r="P540" s="159">
        <v>2014</v>
      </c>
    </row>
    <row r="541" spans="1:16">
      <c r="A541" s="131">
        <v>14</v>
      </c>
      <c r="B541" s="131" t="s">
        <v>684</v>
      </c>
      <c r="C541" s="132" t="s">
        <v>679</v>
      </c>
      <c r="D541" s="133" t="s">
        <v>701</v>
      </c>
      <c r="E541" s="134">
        <v>26</v>
      </c>
      <c r="G541" s="68"/>
      <c r="I541" s="68"/>
      <c r="J541" s="68"/>
      <c r="K541" s="135">
        <v>98000</v>
      </c>
      <c r="L541" s="135">
        <v>48000</v>
      </c>
      <c r="M541" s="135">
        <v>50000</v>
      </c>
      <c r="N541" s="136" t="s">
        <v>700</v>
      </c>
      <c r="O541" s="41">
        <v>6</v>
      </c>
      <c r="P541" s="159">
        <v>2014</v>
      </c>
    </row>
    <row r="542" spans="1:16">
      <c r="A542" s="137">
        <v>14</v>
      </c>
      <c r="B542" s="137" t="s">
        <v>684</v>
      </c>
      <c r="C542" s="138" t="s">
        <v>679</v>
      </c>
      <c r="D542" s="139" t="s">
        <v>701</v>
      </c>
      <c r="E542" s="140">
        <v>27</v>
      </c>
      <c r="F542" s="141"/>
      <c r="G542" s="142"/>
      <c r="H542" s="142"/>
      <c r="I542" s="142"/>
      <c r="J542" s="142"/>
      <c r="K542" s="143"/>
      <c r="L542" s="143"/>
      <c r="M542" s="143"/>
      <c r="N542" s="144"/>
      <c r="O542" s="41">
        <v>6</v>
      </c>
      <c r="P542" s="159">
        <v>2014</v>
      </c>
    </row>
    <row r="543" spans="1:16">
      <c r="A543" s="131">
        <v>14</v>
      </c>
      <c r="B543" s="131" t="s">
        <v>684</v>
      </c>
      <c r="C543" s="132" t="s">
        <v>679</v>
      </c>
      <c r="D543" s="133" t="s">
        <v>701</v>
      </c>
      <c r="E543" s="134">
        <v>27</v>
      </c>
      <c r="F543" s="81" t="s">
        <v>680</v>
      </c>
      <c r="G543" s="68" t="s">
        <v>651</v>
      </c>
      <c r="H543" s="68">
        <v>1</v>
      </c>
      <c r="I543" s="68">
        <v>98000</v>
      </c>
      <c r="J543" s="68">
        <v>98000</v>
      </c>
      <c r="K543" s="135"/>
      <c r="L543" s="135"/>
      <c r="M543" s="135"/>
      <c r="N543" s="136"/>
      <c r="O543" s="41">
        <v>6</v>
      </c>
      <c r="P543" s="159">
        <v>2014</v>
      </c>
    </row>
    <row r="544" spans="1:16">
      <c r="A544" s="131">
        <v>14</v>
      </c>
      <c r="B544" s="131" t="s">
        <v>684</v>
      </c>
      <c r="C544" s="132" t="s">
        <v>679</v>
      </c>
      <c r="D544" s="133" t="s">
        <v>701</v>
      </c>
      <c r="E544" s="134">
        <v>27</v>
      </c>
      <c r="G544" s="68"/>
      <c r="I544" s="68"/>
      <c r="J544" s="68"/>
      <c r="K544" s="135">
        <v>98000</v>
      </c>
      <c r="L544" s="135">
        <v>48000</v>
      </c>
      <c r="M544" s="135">
        <v>50000</v>
      </c>
      <c r="N544" s="136" t="s">
        <v>700</v>
      </c>
      <c r="O544" s="41">
        <v>6</v>
      </c>
      <c r="P544" s="159">
        <v>2014</v>
      </c>
    </row>
    <row r="545" spans="1:16">
      <c r="A545" s="137">
        <v>14</v>
      </c>
      <c r="B545" s="137" t="s">
        <v>684</v>
      </c>
      <c r="C545" s="138" t="s">
        <v>679</v>
      </c>
      <c r="D545" s="139" t="s">
        <v>701</v>
      </c>
      <c r="E545" s="140">
        <v>28</v>
      </c>
      <c r="F545" s="141"/>
      <c r="G545" s="142"/>
      <c r="H545" s="142"/>
      <c r="I545" s="142"/>
      <c r="J545" s="142"/>
      <c r="K545" s="143"/>
      <c r="L545" s="143"/>
      <c r="M545" s="143"/>
      <c r="N545" s="144"/>
      <c r="O545" s="41">
        <v>6</v>
      </c>
      <c r="P545" s="159">
        <v>2014</v>
      </c>
    </row>
    <row r="546" spans="1:16">
      <c r="A546" s="131">
        <v>14</v>
      </c>
      <c r="B546" s="131" t="s">
        <v>684</v>
      </c>
      <c r="C546" s="132" t="s">
        <v>679</v>
      </c>
      <c r="D546" s="133" t="s">
        <v>701</v>
      </c>
      <c r="E546" s="134">
        <v>28</v>
      </c>
      <c r="F546" s="81" t="s">
        <v>699</v>
      </c>
      <c r="G546" s="68" t="s">
        <v>650</v>
      </c>
      <c r="H546" s="68">
        <v>1</v>
      </c>
      <c r="I546" s="68">
        <v>85000</v>
      </c>
      <c r="J546" s="68">
        <v>85000</v>
      </c>
      <c r="K546" s="135"/>
      <c r="L546" s="135"/>
      <c r="M546" s="135"/>
      <c r="N546" s="136"/>
      <c r="O546" s="41">
        <v>6</v>
      </c>
      <c r="P546" s="159">
        <v>2014</v>
      </c>
    </row>
    <row r="547" spans="1:16">
      <c r="A547" s="131">
        <v>14</v>
      </c>
      <c r="B547" s="131" t="s">
        <v>684</v>
      </c>
      <c r="C547" s="132" t="s">
        <v>679</v>
      </c>
      <c r="D547" s="133" t="s">
        <v>701</v>
      </c>
      <c r="E547" s="134">
        <v>28</v>
      </c>
      <c r="F547" s="81" t="s">
        <v>680</v>
      </c>
      <c r="G547" s="68" t="s">
        <v>651</v>
      </c>
      <c r="H547" s="68">
        <v>1</v>
      </c>
      <c r="I547" s="68">
        <v>98000</v>
      </c>
      <c r="J547" s="68">
        <v>98000</v>
      </c>
      <c r="K547" s="135"/>
      <c r="L547" s="135"/>
      <c r="M547" s="135"/>
      <c r="N547" s="136"/>
      <c r="O547" s="41">
        <v>6</v>
      </c>
      <c r="P547" s="159">
        <v>2014</v>
      </c>
    </row>
    <row r="548" spans="1:16">
      <c r="A548" s="131">
        <v>14</v>
      </c>
      <c r="B548" s="131" t="s">
        <v>684</v>
      </c>
      <c r="C548" s="132" t="s">
        <v>679</v>
      </c>
      <c r="D548" s="133" t="s">
        <v>701</v>
      </c>
      <c r="E548" s="134">
        <v>28</v>
      </c>
      <c r="G548" s="68"/>
      <c r="I548" s="68"/>
      <c r="J548" s="68"/>
      <c r="K548" s="135">
        <v>183000</v>
      </c>
      <c r="L548" s="135">
        <v>83000</v>
      </c>
      <c r="M548" s="135">
        <v>100000</v>
      </c>
      <c r="N548" s="136" t="s">
        <v>700</v>
      </c>
      <c r="O548" s="41">
        <v>6</v>
      </c>
      <c r="P548" s="159">
        <v>2014</v>
      </c>
    </row>
    <row r="549" spans="1:16">
      <c r="A549" s="137">
        <v>14</v>
      </c>
      <c r="B549" s="137" t="s">
        <v>684</v>
      </c>
      <c r="C549" s="138" t="s">
        <v>679</v>
      </c>
      <c r="D549" s="139" t="s">
        <v>701</v>
      </c>
      <c r="E549" s="140">
        <v>29</v>
      </c>
      <c r="F549" s="141"/>
      <c r="G549" s="142"/>
      <c r="H549" s="142"/>
      <c r="I549" s="142"/>
      <c r="J549" s="142"/>
      <c r="K549" s="143"/>
      <c r="L549" s="143"/>
      <c r="M549" s="143"/>
      <c r="N549" s="144"/>
      <c r="O549" s="41">
        <v>6</v>
      </c>
      <c r="P549" s="159">
        <v>2014</v>
      </c>
    </row>
    <row r="550" spans="1:16">
      <c r="A550" s="131">
        <v>14</v>
      </c>
      <c r="B550" s="131" t="s">
        <v>684</v>
      </c>
      <c r="C550" s="132" t="s">
        <v>679</v>
      </c>
      <c r="D550" s="133" t="s">
        <v>701</v>
      </c>
      <c r="E550" s="134">
        <v>29</v>
      </c>
      <c r="F550" s="81" t="s">
        <v>680</v>
      </c>
      <c r="G550" s="68" t="s">
        <v>651</v>
      </c>
      <c r="H550" s="68">
        <v>1</v>
      </c>
      <c r="I550" s="68">
        <v>98000</v>
      </c>
      <c r="J550" s="68">
        <v>98000</v>
      </c>
      <c r="K550" s="135"/>
      <c r="L550" s="135"/>
      <c r="M550" s="135"/>
      <c r="N550" s="136"/>
      <c r="O550" s="41">
        <v>6</v>
      </c>
      <c r="P550" s="159">
        <v>2014</v>
      </c>
    </row>
    <row r="551" spans="1:16">
      <c r="A551" s="131">
        <v>14</v>
      </c>
      <c r="B551" s="131" t="s">
        <v>684</v>
      </c>
      <c r="C551" s="132" t="s">
        <v>679</v>
      </c>
      <c r="D551" s="133" t="s">
        <v>701</v>
      </c>
      <c r="E551" s="134">
        <v>29</v>
      </c>
      <c r="G551" s="68"/>
      <c r="I551" s="68"/>
      <c r="J551" s="68"/>
      <c r="K551" s="135">
        <v>98000</v>
      </c>
      <c r="L551" s="135">
        <v>48000</v>
      </c>
      <c r="M551" s="135">
        <v>50000</v>
      </c>
      <c r="N551" s="136" t="s">
        <v>700</v>
      </c>
      <c r="O551" s="41">
        <v>6</v>
      </c>
      <c r="P551" s="159">
        <v>2014</v>
      </c>
    </row>
    <row r="552" spans="1:16">
      <c r="A552" s="137">
        <v>14</v>
      </c>
      <c r="B552" s="137" t="s">
        <v>684</v>
      </c>
      <c r="C552" s="138" t="s">
        <v>679</v>
      </c>
      <c r="D552" s="139" t="s">
        <v>701</v>
      </c>
      <c r="E552" s="140">
        <v>30</v>
      </c>
      <c r="F552" s="141"/>
      <c r="G552" s="142"/>
      <c r="H552" s="142"/>
      <c r="I552" s="142"/>
      <c r="J552" s="142"/>
      <c r="K552" s="143"/>
      <c r="L552" s="143"/>
      <c r="M552" s="143"/>
      <c r="N552" s="144"/>
      <c r="O552" s="41">
        <v>6</v>
      </c>
      <c r="P552" s="159">
        <v>2014</v>
      </c>
    </row>
    <row r="553" spans="1:16">
      <c r="A553" s="131">
        <v>14</v>
      </c>
      <c r="B553" s="131" t="s">
        <v>684</v>
      </c>
      <c r="C553" s="132" t="s">
        <v>679</v>
      </c>
      <c r="D553" s="133" t="s">
        <v>701</v>
      </c>
      <c r="E553" s="134">
        <v>30</v>
      </c>
      <c r="F553" s="81" t="s">
        <v>686</v>
      </c>
      <c r="G553" s="68" t="s">
        <v>682</v>
      </c>
      <c r="H553" s="68">
        <v>2</v>
      </c>
      <c r="I553" s="68">
        <v>115000</v>
      </c>
      <c r="J553" s="68">
        <v>230000</v>
      </c>
      <c r="K553" s="135"/>
      <c r="L553" s="135"/>
      <c r="M553" s="135"/>
      <c r="N553" s="136"/>
      <c r="O553" s="41">
        <v>6</v>
      </c>
      <c r="P553" s="159">
        <v>2014</v>
      </c>
    </row>
    <row r="554" spans="1:16">
      <c r="A554" s="131">
        <v>14</v>
      </c>
      <c r="B554" s="131" t="s">
        <v>684</v>
      </c>
      <c r="C554" s="132" t="s">
        <v>679</v>
      </c>
      <c r="D554" s="133" t="s">
        <v>701</v>
      </c>
      <c r="E554" s="134">
        <v>30</v>
      </c>
      <c r="F554" s="81" t="s">
        <v>680</v>
      </c>
      <c r="G554" s="68" t="s">
        <v>651</v>
      </c>
      <c r="H554" s="68">
        <v>1</v>
      </c>
      <c r="I554" s="68">
        <v>98000</v>
      </c>
      <c r="J554" s="68">
        <v>98000</v>
      </c>
      <c r="K554" s="135"/>
      <c r="L554" s="135"/>
      <c r="M554" s="135"/>
      <c r="N554" s="136"/>
      <c r="O554" s="41">
        <v>6</v>
      </c>
      <c r="P554" s="159">
        <v>2014</v>
      </c>
    </row>
    <row r="555" spans="1:16">
      <c r="A555" s="131">
        <v>14</v>
      </c>
      <c r="B555" s="131" t="s">
        <v>684</v>
      </c>
      <c r="C555" s="132" t="s">
        <v>679</v>
      </c>
      <c r="D555" s="133" t="s">
        <v>701</v>
      </c>
      <c r="E555" s="134">
        <v>30</v>
      </c>
      <c r="G555" s="68"/>
      <c r="I555" s="68"/>
      <c r="J555" s="68"/>
      <c r="K555" s="135">
        <v>328000</v>
      </c>
      <c r="L555" s="135">
        <v>178000</v>
      </c>
      <c r="M555" s="135">
        <v>150000</v>
      </c>
      <c r="N555" s="136" t="s">
        <v>700</v>
      </c>
      <c r="O555" s="41">
        <v>6</v>
      </c>
      <c r="P555" s="159">
        <v>2014</v>
      </c>
    </row>
    <row r="556" spans="1:16">
      <c r="A556" s="137">
        <v>14</v>
      </c>
      <c r="B556" s="137" t="s">
        <v>684</v>
      </c>
      <c r="C556" s="138" t="s">
        <v>679</v>
      </c>
      <c r="D556" s="139" t="s">
        <v>701</v>
      </c>
      <c r="E556" s="140">
        <v>31</v>
      </c>
      <c r="F556" s="141"/>
      <c r="G556" s="142"/>
      <c r="H556" s="142"/>
      <c r="I556" s="142"/>
      <c r="J556" s="142"/>
      <c r="K556" s="143"/>
      <c r="L556" s="143"/>
      <c r="M556" s="143"/>
      <c r="N556" s="144"/>
      <c r="O556" s="41">
        <v>6</v>
      </c>
      <c r="P556" s="159">
        <v>2014</v>
      </c>
    </row>
    <row r="557" spans="1:16">
      <c r="A557" s="131">
        <v>14</v>
      </c>
      <c r="B557" s="131" t="s">
        <v>684</v>
      </c>
      <c r="C557" s="132" t="s">
        <v>679</v>
      </c>
      <c r="D557" s="133" t="s">
        <v>701</v>
      </c>
      <c r="E557" s="134">
        <v>31</v>
      </c>
      <c r="F557" s="81" t="s">
        <v>686</v>
      </c>
      <c r="G557" s="68" t="s">
        <v>682</v>
      </c>
      <c r="H557" s="68">
        <v>2</v>
      </c>
      <c r="I557" s="68">
        <v>115000</v>
      </c>
      <c r="J557" s="68">
        <v>230000</v>
      </c>
      <c r="K557" s="135"/>
      <c r="L557" s="135"/>
      <c r="M557" s="135"/>
      <c r="N557" s="136"/>
      <c r="O557" s="41">
        <v>6</v>
      </c>
      <c r="P557" s="159">
        <v>2014</v>
      </c>
    </row>
    <row r="558" spans="1:16">
      <c r="A558" s="131">
        <v>14</v>
      </c>
      <c r="B558" s="131" t="s">
        <v>684</v>
      </c>
      <c r="C558" s="132" t="s">
        <v>679</v>
      </c>
      <c r="D558" s="133" t="s">
        <v>701</v>
      </c>
      <c r="E558" s="134">
        <v>31</v>
      </c>
      <c r="F558" s="81" t="s">
        <v>680</v>
      </c>
      <c r="G558" s="68" t="s">
        <v>651</v>
      </c>
      <c r="H558" s="68">
        <v>1</v>
      </c>
      <c r="I558" s="68">
        <v>98000</v>
      </c>
      <c r="J558" s="68">
        <v>98000</v>
      </c>
      <c r="K558" s="135"/>
      <c r="L558" s="135"/>
      <c r="M558" s="135"/>
      <c r="N558" s="136"/>
      <c r="O558" s="41">
        <v>6</v>
      </c>
      <c r="P558" s="159">
        <v>2014</v>
      </c>
    </row>
    <row r="559" spans="1:16">
      <c r="A559" s="131">
        <v>14</v>
      </c>
      <c r="B559" s="131" t="s">
        <v>684</v>
      </c>
      <c r="C559" s="132" t="s">
        <v>679</v>
      </c>
      <c r="D559" s="133" t="s">
        <v>701</v>
      </c>
      <c r="E559" s="134">
        <v>31</v>
      </c>
      <c r="G559" s="68"/>
      <c r="I559" s="68"/>
      <c r="J559" s="68"/>
      <c r="K559" s="135">
        <v>328000</v>
      </c>
      <c r="L559" s="135">
        <v>178000</v>
      </c>
      <c r="M559" s="135">
        <v>150000</v>
      </c>
      <c r="N559" s="136" t="s">
        <v>700</v>
      </c>
      <c r="O559" s="41">
        <v>6</v>
      </c>
      <c r="P559" s="159">
        <v>2014</v>
      </c>
    </row>
    <row r="560" spans="1:16">
      <c r="A560" s="137">
        <v>14</v>
      </c>
      <c r="B560" s="137" t="s">
        <v>684</v>
      </c>
      <c r="C560" s="138" t="s">
        <v>679</v>
      </c>
      <c r="D560" s="139" t="s">
        <v>701</v>
      </c>
      <c r="E560" s="140">
        <v>32</v>
      </c>
      <c r="F560" s="141"/>
      <c r="G560" s="142"/>
      <c r="H560" s="142"/>
      <c r="I560" s="142"/>
      <c r="J560" s="142"/>
      <c r="K560" s="143"/>
      <c r="L560" s="143"/>
      <c r="M560" s="143"/>
      <c r="N560" s="144"/>
      <c r="O560" s="41">
        <v>6</v>
      </c>
      <c r="P560" s="159">
        <v>2014</v>
      </c>
    </row>
    <row r="561" spans="1:16">
      <c r="A561" s="131">
        <v>14</v>
      </c>
      <c r="B561" s="131" t="s">
        <v>684</v>
      </c>
      <c r="C561" s="132" t="s">
        <v>679</v>
      </c>
      <c r="D561" s="133" t="s">
        <v>701</v>
      </c>
      <c r="E561" s="134">
        <v>32</v>
      </c>
      <c r="F561" s="81" t="s">
        <v>680</v>
      </c>
      <c r="G561" s="68" t="s">
        <v>651</v>
      </c>
      <c r="H561" s="68">
        <v>1</v>
      </c>
      <c r="I561" s="68">
        <v>98000</v>
      </c>
      <c r="J561" s="68">
        <v>98000</v>
      </c>
      <c r="K561" s="135"/>
      <c r="L561" s="135"/>
      <c r="M561" s="135"/>
      <c r="N561" s="136"/>
      <c r="O561" s="41">
        <v>6</v>
      </c>
      <c r="P561" s="159">
        <v>2014</v>
      </c>
    </row>
    <row r="562" spans="1:16">
      <c r="A562" s="131">
        <v>14</v>
      </c>
      <c r="B562" s="131" t="s">
        <v>684</v>
      </c>
      <c r="C562" s="132" t="s">
        <v>679</v>
      </c>
      <c r="D562" s="133" t="s">
        <v>701</v>
      </c>
      <c r="E562" s="134">
        <v>32</v>
      </c>
      <c r="F562" s="81" t="s">
        <v>699</v>
      </c>
      <c r="G562" s="68" t="s">
        <v>650</v>
      </c>
      <c r="H562" s="68">
        <v>1</v>
      </c>
      <c r="I562" s="68">
        <v>85000</v>
      </c>
      <c r="J562" s="68">
        <v>85000</v>
      </c>
      <c r="K562" s="135"/>
      <c r="L562" s="135"/>
      <c r="M562" s="135"/>
      <c r="N562" s="136"/>
      <c r="O562" s="41">
        <v>6</v>
      </c>
      <c r="P562" s="159">
        <v>2014</v>
      </c>
    </row>
    <row r="563" spans="1:16">
      <c r="A563" s="131">
        <v>14</v>
      </c>
      <c r="B563" s="131" t="s">
        <v>684</v>
      </c>
      <c r="C563" s="132" t="s">
        <v>679</v>
      </c>
      <c r="D563" s="133" t="s">
        <v>701</v>
      </c>
      <c r="E563" s="134">
        <v>32</v>
      </c>
      <c r="G563" s="68"/>
      <c r="I563" s="68"/>
      <c r="J563" s="68"/>
      <c r="K563" s="135">
        <v>183000</v>
      </c>
      <c r="L563" s="135">
        <v>83000</v>
      </c>
      <c r="M563" s="135">
        <v>100000</v>
      </c>
      <c r="N563" s="136" t="s">
        <v>700</v>
      </c>
      <c r="O563" s="41">
        <v>6</v>
      </c>
      <c r="P563" s="159">
        <v>2014</v>
      </c>
    </row>
    <row r="564" spans="1:16">
      <c r="A564" s="145">
        <v>12</v>
      </c>
      <c r="B564" s="145" t="s">
        <v>684</v>
      </c>
      <c r="C564" s="146" t="s">
        <v>687</v>
      </c>
      <c r="D564" s="147" t="s">
        <v>701</v>
      </c>
      <c r="E564" s="148">
        <v>1</v>
      </c>
      <c r="F564" s="141"/>
      <c r="G564" s="149"/>
      <c r="H564" s="142"/>
      <c r="I564" s="149"/>
      <c r="J564" s="149"/>
      <c r="K564" s="153"/>
      <c r="L564" s="153"/>
      <c r="M564" s="153"/>
      <c r="N564" s="151"/>
      <c r="O564" s="41">
        <v>6</v>
      </c>
      <c r="P564" s="159">
        <v>2014</v>
      </c>
    </row>
    <row r="565" spans="1:16">
      <c r="A565" s="43">
        <v>12</v>
      </c>
      <c r="B565" s="43" t="s">
        <v>684</v>
      </c>
      <c r="C565" s="52" t="s">
        <v>687</v>
      </c>
      <c r="D565" s="94" t="s">
        <v>701</v>
      </c>
      <c r="E565" s="89">
        <v>1</v>
      </c>
      <c r="F565" s="81" t="s">
        <v>699</v>
      </c>
      <c r="G565" t="s">
        <v>650</v>
      </c>
      <c r="H565" s="68">
        <v>3</v>
      </c>
      <c r="I565">
        <v>85000</v>
      </c>
      <c r="J565">
        <v>255000</v>
      </c>
      <c r="O565" s="41">
        <v>6</v>
      </c>
      <c r="P565" s="159">
        <v>2014</v>
      </c>
    </row>
    <row r="566" spans="1:16">
      <c r="A566" s="43">
        <v>12</v>
      </c>
      <c r="B566" s="43" t="s">
        <v>684</v>
      </c>
      <c r="C566" s="52" t="s">
        <v>687</v>
      </c>
      <c r="D566" s="94" t="s">
        <v>701</v>
      </c>
      <c r="E566" s="89">
        <v>1</v>
      </c>
      <c r="F566" s="81" t="s">
        <v>680</v>
      </c>
      <c r="G566" t="s">
        <v>651</v>
      </c>
      <c r="H566" s="68">
        <v>15</v>
      </c>
      <c r="I566">
        <v>98000</v>
      </c>
      <c r="J566">
        <v>1470000</v>
      </c>
      <c r="O566" s="41">
        <v>6</v>
      </c>
      <c r="P566" s="159">
        <v>2014</v>
      </c>
    </row>
    <row r="567" spans="1:16">
      <c r="A567" s="43">
        <v>12</v>
      </c>
      <c r="B567" s="43" t="s">
        <v>684</v>
      </c>
      <c r="C567" s="52" t="s">
        <v>687</v>
      </c>
      <c r="D567" s="94" t="s">
        <v>701</v>
      </c>
      <c r="E567" s="89">
        <v>1</v>
      </c>
      <c r="F567" s="81" t="s">
        <v>694</v>
      </c>
      <c r="G567" t="s">
        <v>652</v>
      </c>
      <c r="H567" s="68">
        <v>5</v>
      </c>
      <c r="I567">
        <v>98000</v>
      </c>
      <c r="J567">
        <v>490000</v>
      </c>
      <c r="O567" s="41">
        <v>6</v>
      </c>
      <c r="P567" s="159">
        <v>2014</v>
      </c>
    </row>
    <row r="568" spans="1:16">
      <c r="A568" s="43">
        <v>12</v>
      </c>
      <c r="B568" s="43" t="s">
        <v>684</v>
      </c>
      <c r="C568" s="52" t="s">
        <v>687</v>
      </c>
      <c r="D568" s="94" t="s">
        <v>701</v>
      </c>
      <c r="E568" s="89">
        <v>1</v>
      </c>
      <c r="F568" s="81" t="s">
        <v>686</v>
      </c>
      <c r="G568" t="s">
        <v>682</v>
      </c>
      <c r="H568" s="68">
        <v>20</v>
      </c>
      <c r="I568">
        <v>115000</v>
      </c>
      <c r="J568">
        <v>2300000</v>
      </c>
      <c r="O568" s="41">
        <v>6</v>
      </c>
      <c r="P568" s="159">
        <v>2014</v>
      </c>
    </row>
    <row r="569" spans="1:16">
      <c r="A569" s="43">
        <v>12</v>
      </c>
      <c r="B569" s="43" t="s">
        <v>684</v>
      </c>
      <c r="C569" s="52" t="s">
        <v>687</v>
      </c>
      <c r="D569" s="94" t="s">
        <v>701</v>
      </c>
      <c r="E569" s="89">
        <v>1</v>
      </c>
      <c r="K569" s="41">
        <v>4515000</v>
      </c>
      <c r="L569" s="41">
        <v>2365000</v>
      </c>
      <c r="M569" s="41">
        <v>2150000</v>
      </c>
      <c r="N569" s="40" t="s">
        <v>706</v>
      </c>
      <c r="O569" s="41">
        <v>6</v>
      </c>
      <c r="P569" s="159">
        <v>2014</v>
      </c>
    </row>
    <row r="570" spans="1:16">
      <c r="A570" s="145">
        <v>15</v>
      </c>
      <c r="B570" s="145" t="s">
        <v>681</v>
      </c>
      <c r="C570" s="146" t="s">
        <v>687</v>
      </c>
      <c r="D570" s="147" t="s">
        <v>701</v>
      </c>
      <c r="E570" s="148">
        <v>1</v>
      </c>
      <c r="F570" s="141"/>
      <c r="G570" s="149"/>
      <c r="H570" s="142"/>
      <c r="I570" s="149"/>
      <c r="J570" s="149"/>
      <c r="K570" s="153"/>
      <c r="L570" s="153"/>
      <c r="M570" s="153"/>
      <c r="N570" s="151"/>
      <c r="O570" s="41">
        <v>6</v>
      </c>
      <c r="P570" s="159">
        <v>2014</v>
      </c>
    </row>
    <row r="571" spans="1:16">
      <c r="A571" s="43">
        <v>15</v>
      </c>
      <c r="B571" s="43" t="s">
        <v>681</v>
      </c>
      <c r="C571" s="52" t="s">
        <v>687</v>
      </c>
      <c r="D571" s="94" t="s">
        <v>701</v>
      </c>
      <c r="E571" s="89">
        <v>1</v>
      </c>
      <c r="F571" s="81" t="s">
        <v>680</v>
      </c>
      <c r="G571" t="s">
        <v>651</v>
      </c>
      <c r="H571" s="68">
        <v>17</v>
      </c>
      <c r="I571">
        <v>98000</v>
      </c>
      <c r="J571">
        <v>1666000</v>
      </c>
      <c r="O571" s="41">
        <v>6</v>
      </c>
      <c r="P571" s="159">
        <v>2014</v>
      </c>
    </row>
    <row r="572" spans="1:16">
      <c r="A572" s="43">
        <v>15</v>
      </c>
      <c r="B572" s="43" t="s">
        <v>681</v>
      </c>
      <c r="C572" s="52" t="s">
        <v>687</v>
      </c>
      <c r="D572" s="94" t="s">
        <v>701</v>
      </c>
      <c r="E572" s="89">
        <v>1</v>
      </c>
      <c r="F572" s="81" t="s">
        <v>686</v>
      </c>
      <c r="G572" t="s">
        <v>682</v>
      </c>
      <c r="H572" s="68">
        <v>11</v>
      </c>
      <c r="I572">
        <v>115000</v>
      </c>
      <c r="J572">
        <v>1265000</v>
      </c>
      <c r="O572" s="41">
        <v>6</v>
      </c>
      <c r="P572" s="159">
        <v>2014</v>
      </c>
    </row>
    <row r="573" spans="1:16">
      <c r="A573" s="43">
        <v>15</v>
      </c>
      <c r="B573" s="43" t="s">
        <v>681</v>
      </c>
      <c r="C573" s="52" t="s">
        <v>687</v>
      </c>
      <c r="D573" s="94" t="s">
        <v>701</v>
      </c>
      <c r="E573" s="89">
        <v>1</v>
      </c>
      <c r="F573" s="81" t="s">
        <v>694</v>
      </c>
      <c r="G573" t="s">
        <v>652</v>
      </c>
      <c r="H573" s="68">
        <v>3</v>
      </c>
      <c r="I573">
        <v>98000</v>
      </c>
      <c r="J573">
        <v>294000</v>
      </c>
      <c r="O573" s="41">
        <v>6</v>
      </c>
      <c r="P573" s="159">
        <v>2014</v>
      </c>
    </row>
    <row r="574" spans="1:16">
      <c r="A574" s="43">
        <v>15</v>
      </c>
      <c r="B574" s="43" t="s">
        <v>681</v>
      </c>
      <c r="C574" s="52" t="s">
        <v>687</v>
      </c>
      <c r="D574" s="94" t="s">
        <v>701</v>
      </c>
      <c r="E574" s="89">
        <v>1</v>
      </c>
      <c r="F574" s="81" t="s">
        <v>699</v>
      </c>
      <c r="G574" t="s">
        <v>650</v>
      </c>
      <c r="H574" s="68">
        <v>3</v>
      </c>
      <c r="I574">
        <v>85000</v>
      </c>
      <c r="J574">
        <v>255000</v>
      </c>
      <c r="O574" s="41">
        <v>6</v>
      </c>
      <c r="P574" s="159">
        <v>2014</v>
      </c>
    </row>
    <row r="575" spans="1:16">
      <c r="A575" s="43">
        <v>15</v>
      </c>
      <c r="B575" s="43" t="s">
        <v>681</v>
      </c>
      <c r="C575" s="52" t="s">
        <v>687</v>
      </c>
      <c r="D575" s="94" t="s">
        <v>701</v>
      </c>
      <c r="E575" s="89">
        <v>1</v>
      </c>
      <c r="K575" s="41">
        <v>3480000</v>
      </c>
      <c r="L575" s="41">
        <v>1780000</v>
      </c>
      <c r="M575" s="41">
        <v>1700000</v>
      </c>
      <c r="N575" s="40" t="s">
        <v>700</v>
      </c>
      <c r="O575" s="41">
        <v>6</v>
      </c>
      <c r="P575" s="159">
        <v>2014</v>
      </c>
    </row>
    <row r="576" spans="1:16">
      <c r="A576" s="145">
        <v>15</v>
      </c>
      <c r="B576" s="145" t="s">
        <v>681</v>
      </c>
      <c r="C576" s="146" t="s">
        <v>687</v>
      </c>
      <c r="D576" s="147" t="s">
        <v>701</v>
      </c>
      <c r="E576" s="148">
        <v>2</v>
      </c>
      <c r="F576" s="141"/>
      <c r="G576" s="149"/>
      <c r="H576" s="142"/>
      <c r="I576" s="149"/>
      <c r="J576" s="149"/>
      <c r="K576" s="153"/>
      <c r="L576" s="153"/>
      <c r="M576" s="153"/>
      <c r="N576" s="151"/>
      <c r="O576" s="41">
        <v>6</v>
      </c>
      <c r="P576" s="159">
        <v>2014</v>
      </c>
    </row>
    <row r="577" spans="1:16">
      <c r="A577" s="43">
        <v>15</v>
      </c>
      <c r="B577" s="43" t="s">
        <v>681</v>
      </c>
      <c r="C577" s="52" t="s">
        <v>687</v>
      </c>
      <c r="D577" s="94" t="s">
        <v>701</v>
      </c>
      <c r="E577" s="89">
        <v>2</v>
      </c>
      <c r="F577" s="81" t="s">
        <v>711</v>
      </c>
      <c r="G577" t="s">
        <v>656</v>
      </c>
      <c r="H577" s="68">
        <v>1</v>
      </c>
      <c r="I577">
        <v>98000</v>
      </c>
      <c r="J577">
        <v>98000</v>
      </c>
      <c r="O577" s="41">
        <v>6</v>
      </c>
      <c r="P577" s="159">
        <v>2014</v>
      </c>
    </row>
    <row r="578" spans="1:16">
      <c r="A578" s="43">
        <v>15</v>
      </c>
      <c r="B578" s="43" t="s">
        <v>681</v>
      </c>
      <c r="C578" s="52" t="s">
        <v>687</v>
      </c>
      <c r="D578" s="94" t="s">
        <v>701</v>
      </c>
      <c r="E578" s="89">
        <v>2</v>
      </c>
      <c r="F578" s="81" t="s">
        <v>697</v>
      </c>
      <c r="G578" t="s">
        <v>698</v>
      </c>
      <c r="H578" s="68">
        <v>2</v>
      </c>
      <c r="I578">
        <v>195000</v>
      </c>
      <c r="J578">
        <v>390000</v>
      </c>
      <c r="O578" s="41">
        <v>6</v>
      </c>
      <c r="P578" s="159">
        <v>2014</v>
      </c>
    </row>
    <row r="579" spans="1:16">
      <c r="A579" s="43">
        <v>15</v>
      </c>
      <c r="B579" s="43" t="s">
        <v>681</v>
      </c>
      <c r="C579" s="52" t="s">
        <v>687</v>
      </c>
      <c r="D579" s="94" t="s">
        <v>701</v>
      </c>
      <c r="E579" s="89">
        <v>2</v>
      </c>
      <c r="K579" s="41">
        <v>488000</v>
      </c>
      <c r="M579" s="41">
        <v>488000</v>
      </c>
      <c r="O579" s="41">
        <v>6</v>
      </c>
      <c r="P579" s="159">
        <v>2014</v>
      </c>
    </row>
    <row r="580" spans="1:16">
      <c r="A580" s="145">
        <v>15</v>
      </c>
      <c r="B580" s="145" t="s">
        <v>684</v>
      </c>
      <c r="C580" s="146" t="s">
        <v>687</v>
      </c>
      <c r="D580" s="147" t="s">
        <v>701</v>
      </c>
      <c r="E580" s="148">
        <v>1</v>
      </c>
      <c r="F580" s="141"/>
      <c r="G580" s="149"/>
      <c r="H580" s="142"/>
      <c r="I580" s="149"/>
      <c r="J580" s="149"/>
      <c r="K580" s="153"/>
      <c r="L580" s="153"/>
      <c r="M580" s="153"/>
      <c r="N580" s="151"/>
      <c r="O580" s="41">
        <v>6</v>
      </c>
      <c r="P580" s="159">
        <v>2014</v>
      </c>
    </row>
    <row r="581" spans="1:16">
      <c r="A581" s="43">
        <v>15</v>
      </c>
      <c r="B581" s="43" t="s">
        <v>684</v>
      </c>
      <c r="C581" s="52" t="s">
        <v>687</v>
      </c>
      <c r="D581" s="94" t="s">
        <v>701</v>
      </c>
      <c r="E581" s="89">
        <v>1</v>
      </c>
      <c r="F581" s="81" t="s">
        <v>699</v>
      </c>
      <c r="G581" t="s">
        <v>650</v>
      </c>
      <c r="H581" s="68">
        <v>8</v>
      </c>
      <c r="I581">
        <v>85000</v>
      </c>
      <c r="J581">
        <v>680000</v>
      </c>
      <c r="O581" s="41">
        <v>6</v>
      </c>
      <c r="P581" s="159">
        <v>2014</v>
      </c>
    </row>
    <row r="582" spans="1:16">
      <c r="A582" s="43">
        <v>15</v>
      </c>
      <c r="B582" s="43" t="s">
        <v>684</v>
      </c>
      <c r="C582" s="52" t="s">
        <v>687</v>
      </c>
      <c r="D582" s="94" t="s">
        <v>701</v>
      </c>
      <c r="E582" s="89">
        <v>1</v>
      </c>
      <c r="F582" s="81" t="s">
        <v>680</v>
      </c>
      <c r="G582" t="s">
        <v>651</v>
      </c>
      <c r="H582" s="68">
        <v>18</v>
      </c>
      <c r="I582">
        <v>98000</v>
      </c>
      <c r="J582">
        <v>1764000</v>
      </c>
      <c r="O582" s="41">
        <v>6</v>
      </c>
      <c r="P582" s="159">
        <v>2014</v>
      </c>
    </row>
    <row r="583" spans="1:16">
      <c r="A583" s="43">
        <v>15</v>
      </c>
      <c r="B583" s="43" t="s">
        <v>684</v>
      </c>
      <c r="C583" s="52" t="s">
        <v>687</v>
      </c>
      <c r="D583" s="94" t="s">
        <v>701</v>
      </c>
      <c r="E583" s="89">
        <v>1</v>
      </c>
      <c r="F583" s="81" t="s">
        <v>686</v>
      </c>
      <c r="G583" t="s">
        <v>682</v>
      </c>
      <c r="H583" s="68">
        <v>15</v>
      </c>
      <c r="I583">
        <v>115000</v>
      </c>
      <c r="J583">
        <v>1725000</v>
      </c>
      <c r="O583" s="41">
        <v>6</v>
      </c>
      <c r="P583" s="159">
        <v>2014</v>
      </c>
    </row>
    <row r="584" spans="1:16">
      <c r="A584" s="43">
        <v>15</v>
      </c>
      <c r="B584" s="43" t="s">
        <v>684</v>
      </c>
      <c r="C584" s="52" t="s">
        <v>687</v>
      </c>
      <c r="D584" s="94" t="s">
        <v>701</v>
      </c>
      <c r="E584" s="89">
        <v>1</v>
      </c>
      <c r="F584" s="81" t="s">
        <v>694</v>
      </c>
      <c r="G584" t="s">
        <v>652</v>
      </c>
      <c r="H584" s="68">
        <v>1</v>
      </c>
      <c r="I584">
        <v>98000</v>
      </c>
      <c r="J584">
        <v>98000</v>
      </c>
      <c r="O584" s="41">
        <v>6</v>
      </c>
      <c r="P584" s="159">
        <v>2014</v>
      </c>
    </row>
    <row r="585" spans="1:16">
      <c r="A585" s="43">
        <v>15</v>
      </c>
      <c r="B585" s="43" t="s">
        <v>684</v>
      </c>
      <c r="C585" s="52" t="s">
        <v>687</v>
      </c>
      <c r="D585" s="94" t="s">
        <v>701</v>
      </c>
      <c r="E585" s="89">
        <v>1</v>
      </c>
      <c r="K585" s="41">
        <v>4267000</v>
      </c>
      <c r="L585" s="41">
        <v>2167000</v>
      </c>
      <c r="M585" s="41">
        <v>2100000</v>
      </c>
      <c r="N585" s="40" t="s">
        <v>700</v>
      </c>
      <c r="O585" s="41">
        <v>6</v>
      </c>
      <c r="P585" s="159">
        <v>2014</v>
      </c>
    </row>
    <row r="586" spans="1:16">
      <c r="A586" s="145">
        <v>15</v>
      </c>
      <c r="B586" s="145" t="s">
        <v>684</v>
      </c>
      <c r="C586" s="146" t="s">
        <v>687</v>
      </c>
      <c r="D586" s="147" t="s">
        <v>701</v>
      </c>
      <c r="E586" s="148">
        <v>2</v>
      </c>
      <c r="F586" s="141"/>
      <c r="G586" s="149"/>
      <c r="H586" s="142"/>
      <c r="I586" s="149"/>
      <c r="J586" s="149"/>
      <c r="K586" s="153"/>
      <c r="L586" s="153"/>
      <c r="M586" s="153"/>
      <c r="N586" s="151"/>
      <c r="O586" s="41">
        <v>6</v>
      </c>
      <c r="P586" s="159">
        <v>2014</v>
      </c>
    </row>
    <row r="587" spans="1:16">
      <c r="A587" s="43">
        <v>15</v>
      </c>
      <c r="B587" s="43" t="s">
        <v>684</v>
      </c>
      <c r="C587" s="52" t="s">
        <v>687</v>
      </c>
      <c r="D587" s="94" t="s">
        <v>701</v>
      </c>
      <c r="E587" s="89">
        <v>2</v>
      </c>
      <c r="F587" s="81" t="s">
        <v>707</v>
      </c>
      <c r="G587" t="s">
        <v>708</v>
      </c>
      <c r="H587" s="68">
        <v>2</v>
      </c>
      <c r="I587">
        <v>115000</v>
      </c>
      <c r="J587">
        <v>230000</v>
      </c>
      <c r="O587" s="41">
        <v>6</v>
      </c>
      <c r="P587" s="159">
        <v>2014</v>
      </c>
    </row>
    <row r="588" spans="1:16">
      <c r="A588" s="43">
        <v>15</v>
      </c>
      <c r="B588" s="43" t="s">
        <v>684</v>
      </c>
      <c r="C588" s="52" t="s">
        <v>687</v>
      </c>
      <c r="D588" s="94" t="s">
        <v>701</v>
      </c>
      <c r="E588" s="89">
        <v>2</v>
      </c>
      <c r="K588" s="41">
        <v>230000</v>
      </c>
      <c r="M588" s="41">
        <v>230000</v>
      </c>
      <c r="O588" s="41">
        <v>6</v>
      </c>
      <c r="P588" s="159">
        <v>2014</v>
      </c>
    </row>
    <row r="589" spans="1:16">
      <c r="A589" s="145">
        <v>16</v>
      </c>
      <c r="B589" s="145" t="s">
        <v>681</v>
      </c>
      <c r="C589" s="146" t="s">
        <v>687</v>
      </c>
      <c r="D589" s="147" t="s">
        <v>701</v>
      </c>
      <c r="E589" s="148">
        <v>1</v>
      </c>
      <c r="F589" s="141"/>
      <c r="G589" s="149"/>
      <c r="H589" s="142"/>
      <c r="I589" s="149"/>
      <c r="J589" s="149"/>
      <c r="K589" s="153"/>
      <c r="L589" s="153"/>
      <c r="M589" s="153"/>
      <c r="N589" s="151"/>
      <c r="O589" s="41">
        <v>6</v>
      </c>
      <c r="P589" s="159">
        <v>2014</v>
      </c>
    </row>
    <row r="590" spans="1:16">
      <c r="A590" s="43">
        <v>16</v>
      </c>
      <c r="B590" s="43" t="s">
        <v>681</v>
      </c>
      <c r="C590" s="52" t="s">
        <v>687</v>
      </c>
      <c r="D590" s="94" t="s">
        <v>701</v>
      </c>
      <c r="E590" s="89">
        <v>1</v>
      </c>
      <c r="F590" s="81" t="s">
        <v>695</v>
      </c>
      <c r="G590" t="s">
        <v>696</v>
      </c>
      <c r="H590" s="68">
        <v>2</v>
      </c>
      <c r="I590">
        <v>115000</v>
      </c>
      <c r="J590">
        <v>230000</v>
      </c>
      <c r="O590" s="41">
        <v>6</v>
      </c>
      <c r="P590" s="159">
        <v>2014</v>
      </c>
    </row>
    <row r="591" spans="1:16">
      <c r="A591" s="43">
        <v>16</v>
      </c>
      <c r="B591" s="43" t="s">
        <v>681</v>
      </c>
      <c r="C591" s="52" t="s">
        <v>687</v>
      </c>
      <c r="D591" s="94" t="s">
        <v>701</v>
      </c>
      <c r="E591" s="89">
        <v>1</v>
      </c>
      <c r="K591" s="41">
        <v>230000</v>
      </c>
      <c r="M591" s="41">
        <v>230000</v>
      </c>
      <c r="O591" s="41">
        <v>6</v>
      </c>
      <c r="P591" s="159">
        <v>2014</v>
      </c>
    </row>
    <row r="592" spans="1:16">
      <c r="A592" s="145">
        <v>16</v>
      </c>
      <c r="B592" s="145" t="s">
        <v>681</v>
      </c>
      <c r="C592" s="146" t="s">
        <v>687</v>
      </c>
      <c r="D592" s="147" t="s">
        <v>701</v>
      </c>
      <c r="E592" s="148">
        <v>2</v>
      </c>
      <c r="F592" s="141"/>
      <c r="G592" s="149"/>
      <c r="H592" s="142"/>
      <c r="I592" s="149"/>
      <c r="J592" s="149"/>
      <c r="K592" s="153"/>
      <c r="L592" s="153"/>
      <c r="M592" s="153"/>
      <c r="N592" s="151"/>
      <c r="O592" s="41">
        <v>6</v>
      </c>
      <c r="P592" s="159">
        <v>2014</v>
      </c>
    </row>
    <row r="593" spans="1:16">
      <c r="A593" s="43">
        <v>16</v>
      </c>
      <c r="B593" s="43" t="s">
        <v>681</v>
      </c>
      <c r="C593" s="52" t="s">
        <v>687</v>
      </c>
      <c r="D593" s="94" t="s">
        <v>701</v>
      </c>
      <c r="E593" s="89">
        <v>2</v>
      </c>
      <c r="F593" s="81" t="s">
        <v>699</v>
      </c>
      <c r="G593" t="s">
        <v>650</v>
      </c>
      <c r="H593" s="68">
        <v>2</v>
      </c>
      <c r="I593">
        <v>85000</v>
      </c>
      <c r="J593">
        <v>170000</v>
      </c>
      <c r="O593" s="41">
        <v>6</v>
      </c>
      <c r="P593" s="159">
        <v>2014</v>
      </c>
    </row>
    <row r="594" spans="1:16">
      <c r="A594" s="43">
        <v>16</v>
      </c>
      <c r="B594" s="43" t="s">
        <v>681</v>
      </c>
      <c r="C594" s="52" t="s">
        <v>687</v>
      </c>
      <c r="D594" s="94" t="s">
        <v>701</v>
      </c>
      <c r="E594" s="89">
        <v>2</v>
      </c>
      <c r="K594" s="41">
        <v>170000</v>
      </c>
      <c r="M594" s="41">
        <v>170000</v>
      </c>
      <c r="O594" s="41">
        <v>6</v>
      </c>
      <c r="P594" s="159">
        <v>2014</v>
      </c>
    </row>
    <row r="595" spans="1:16">
      <c r="A595" s="137">
        <v>17</v>
      </c>
      <c r="B595" s="137" t="s">
        <v>684</v>
      </c>
      <c r="C595" s="138" t="s">
        <v>679</v>
      </c>
      <c r="D595" s="139" t="s">
        <v>701</v>
      </c>
      <c r="E595" s="140">
        <v>1</v>
      </c>
      <c r="F595" s="141"/>
      <c r="G595" s="142"/>
      <c r="H595" s="142"/>
      <c r="I595" s="142"/>
      <c r="J595" s="142"/>
      <c r="K595" s="143"/>
      <c r="L595" s="143"/>
      <c r="M595" s="143"/>
      <c r="N595" s="144"/>
      <c r="O595" s="41">
        <v>6</v>
      </c>
      <c r="P595" s="159">
        <v>2014</v>
      </c>
    </row>
    <row r="596" spans="1:16">
      <c r="A596" s="131">
        <v>17</v>
      </c>
      <c r="B596" s="131" t="s">
        <v>684</v>
      </c>
      <c r="C596" s="132" t="s">
        <v>679</v>
      </c>
      <c r="D596" s="133" t="s">
        <v>701</v>
      </c>
      <c r="E596" s="134">
        <v>1</v>
      </c>
      <c r="F596" s="81" t="s">
        <v>699</v>
      </c>
      <c r="G596" s="68" t="s">
        <v>650</v>
      </c>
      <c r="H596" s="68">
        <v>1</v>
      </c>
      <c r="I596" s="68">
        <v>85000</v>
      </c>
      <c r="J596" s="68">
        <v>85000</v>
      </c>
      <c r="K596" s="135"/>
      <c r="L596" s="135"/>
      <c r="M596" s="135"/>
      <c r="N596" s="136"/>
      <c r="O596" s="41">
        <v>6</v>
      </c>
      <c r="P596" s="159">
        <v>2014</v>
      </c>
    </row>
    <row r="597" spans="1:16">
      <c r="A597" s="131">
        <v>17</v>
      </c>
      <c r="B597" s="131" t="s">
        <v>684</v>
      </c>
      <c r="C597" s="132" t="s">
        <v>679</v>
      </c>
      <c r="D597" s="133" t="s">
        <v>701</v>
      </c>
      <c r="E597" s="134">
        <v>1</v>
      </c>
      <c r="F597" s="81" t="s">
        <v>680</v>
      </c>
      <c r="G597" s="68" t="s">
        <v>651</v>
      </c>
      <c r="H597" s="68">
        <v>1</v>
      </c>
      <c r="I597" s="68">
        <v>98000</v>
      </c>
      <c r="J597" s="68">
        <v>98000</v>
      </c>
      <c r="K597" s="135"/>
      <c r="L597" s="135"/>
      <c r="M597" s="135"/>
      <c r="N597" s="136"/>
      <c r="O597" s="41">
        <v>6</v>
      </c>
      <c r="P597" s="159">
        <v>2014</v>
      </c>
    </row>
    <row r="598" spans="1:16">
      <c r="A598" s="131">
        <v>17</v>
      </c>
      <c r="B598" s="131" t="s">
        <v>684</v>
      </c>
      <c r="C598" s="132" t="s">
        <v>679</v>
      </c>
      <c r="D598" s="133" t="s">
        <v>701</v>
      </c>
      <c r="E598" s="134">
        <v>1</v>
      </c>
      <c r="G598" s="68"/>
      <c r="I598" s="68"/>
      <c r="J598" s="68"/>
      <c r="K598" s="135">
        <v>183000</v>
      </c>
      <c r="L598" s="135"/>
      <c r="M598" s="135">
        <v>183000</v>
      </c>
      <c r="N598" s="136"/>
      <c r="O598" s="41">
        <v>6</v>
      </c>
      <c r="P598" s="159">
        <v>2014</v>
      </c>
    </row>
    <row r="599" spans="1:16">
      <c r="A599" s="137">
        <v>17</v>
      </c>
      <c r="B599" s="137" t="s">
        <v>684</v>
      </c>
      <c r="C599" s="138" t="s">
        <v>679</v>
      </c>
      <c r="D599" s="139" t="s">
        <v>701</v>
      </c>
      <c r="E599" s="140">
        <v>2</v>
      </c>
      <c r="F599" s="141"/>
      <c r="G599" s="142"/>
      <c r="H599" s="142"/>
      <c r="I599" s="142"/>
      <c r="J599" s="142"/>
      <c r="K599" s="143"/>
      <c r="L599" s="143"/>
      <c r="M599" s="143"/>
      <c r="N599" s="144"/>
      <c r="O599" s="41">
        <v>6</v>
      </c>
      <c r="P599" s="159">
        <v>2014</v>
      </c>
    </row>
    <row r="600" spans="1:16">
      <c r="A600" s="131">
        <v>17</v>
      </c>
      <c r="B600" s="131" t="s">
        <v>684</v>
      </c>
      <c r="C600" s="132" t="s">
        <v>679</v>
      </c>
      <c r="D600" s="133" t="s">
        <v>701</v>
      </c>
      <c r="E600" s="134">
        <v>2</v>
      </c>
      <c r="F600" s="81" t="s">
        <v>695</v>
      </c>
      <c r="G600" s="68" t="s">
        <v>696</v>
      </c>
      <c r="H600" s="68">
        <v>1</v>
      </c>
      <c r="I600" s="68">
        <v>115000</v>
      </c>
      <c r="J600" s="68">
        <v>115000</v>
      </c>
      <c r="K600" s="135"/>
      <c r="L600" s="135"/>
      <c r="M600" s="135"/>
      <c r="N600" s="136"/>
      <c r="O600" s="41">
        <v>6</v>
      </c>
      <c r="P600" s="159">
        <v>2014</v>
      </c>
    </row>
    <row r="601" spans="1:16">
      <c r="A601" s="131">
        <v>17</v>
      </c>
      <c r="B601" s="131" t="s">
        <v>684</v>
      </c>
      <c r="C601" s="132" t="s">
        <v>679</v>
      </c>
      <c r="D601" s="133" t="s">
        <v>701</v>
      </c>
      <c r="E601" s="134">
        <v>2</v>
      </c>
      <c r="G601" s="68"/>
      <c r="I601" s="68"/>
      <c r="J601" s="68"/>
      <c r="K601" s="135">
        <v>115000</v>
      </c>
      <c r="L601" s="135"/>
      <c r="M601" s="135">
        <v>115000</v>
      </c>
      <c r="N601" s="136"/>
      <c r="O601" s="41">
        <v>6</v>
      </c>
      <c r="P601" s="159">
        <v>2014</v>
      </c>
    </row>
    <row r="602" spans="1:16">
      <c r="A602" s="137">
        <v>17</v>
      </c>
      <c r="B602" s="137" t="s">
        <v>684</v>
      </c>
      <c r="C602" s="138" t="s">
        <v>679</v>
      </c>
      <c r="D602" s="139" t="s">
        <v>701</v>
      </c>
      <c r="E602" s="140">
        <v>3</v>
      </c>
      <c r="F602" s="141"/>
      <c r="G602" s="142"/>
      <c r="H602" s="142"/>
      <c r="I602" s="142"/>
      <c r="J602" s="142"/>
      <c r="K602" s="143"/>
      <c r="L602" s="143"/>
      <c r="M602" s="143"/>
      <c r="N602" s="144"/>
      <c r="O602" s="41">
        <v>6</v>
      </c>
      <c r="P602" s="159">
        <v>2014</v>
      </c>
    </row>
    <row r="603" spans="1:16">
      <c r="A603" s="131">
        <v>17</v>
      </c>
      <c r="B603" s="131" t="s">
        <v>684</v>
      </c>
      <c r="C603" s="132" t="s">
        <v>679</v>
      </c>
      <c r="D603" s="133" t="s">
        <v>701</v>
      </c>
      <c r="E603" s="134">
        <v>3</v>
      </c>
      <c r="F603" s="81" t="s">
        <v>694</v>
      </c>
      <c r="G603" s="68" t="s">
        <v>652</v>
      </c>
      <c r="H603" s="68">
        <v>1</v>
      </c>
      <c r="I603" s="68">
        <v>98000</v>
      </c>
      <c r="J603" s="68">
        <v>98000</v>
      </c>
      <c r="K603" s="135"/>
      <c r="L603" s="135"/>
      <c r="M603" s="135"/>
      <c r="N603" s="136"/>
      <c r="O603" s="41">
        <v>6</v>
      </c>
      <c r="P603" s="159">
        <v>2014</v>
      </c>
    </row>
    <row r="604" spans="1:16">
      <c r="A604" s="131">
        <v>17</v>
      </c>
      <c r="B604" s="131" t="s">
        <v>684</v>
      </c>
      <c r="C604" s="132" t="s">
        <v>679</v>
      </c>
      <c r="D604" s="133" t="s">
        <v>701</v>
      </c>
      <c r="E604" s="134">
        <v>3</v>
      </c>
      <c r="G604" s="68"/>
      <c r="I604" s="68"/>
      <c r="J604" s="68"/>
      <c r="K604" s="135">
        <v>98000</v>
      </c>
      <c r="L604" s="135"/>
      <c r="M604" s="135">
        <v>98000</v>
      </c>
      <c r="N604" s="136"/>
      <c r="O604" s="41">
        <v>6</v>
      </c>
      <c r="P604" s="159">
        <v>2014</v>
      </c>
    </row>
    <row r="605" spans="1:16">
      <c r="A605" s="137">
        <v>17</v>
      </c>
      <c r="B605" s="137" t="s">
        <v>684</v>
      </c>
      <c r="C605" s="138" t="s">
        <v>679</v>
      </c>
      <c r="D605" s="139" t="s">
        <v>701</v>
      </c>
      <c r="E605" s="140">
        <v>4</v>
      </c>
      <c r="F605" s="141"/>
      <c r="G605" s="142"/>
      <c r="H605" s="142"/>
      <c r="I605" s="142"/>
      <c r="J605" s="142"/>
      <c r="K605" s="143"/>
      <c r="L605" s="143"/>
      <c r="M605" s="143"/>
      <c r="N605" s="144"/>
      <c r="O605" s="41">
        <v>6</v>
      </c>
      <c r="P605" s="159">
        <v>2014</v>
      </c>
    </row>
    <row r="606" spans="1:16">
      <c r="A606" s="131">
        <v>17</v>
      </c>
      <c r="B606" s="131" t="s">
        <v>684</v>
      </c>
      <c r="C606" s="132" t="s">
        <v>679</v>
      </c>
      <c r="D606" s="133" t="s">
        <v>701</v>
      </c>
      <c r="E606" s="134">
        <v>4</v>
      </c>
      <c r="F606" s="81" t="s">
        <v>707</v>
      </c>
      <c r="G606" s="68" t="s">
        <v>708</v>
      </c>
      <c r="H606" s="68">
        <v>1</v>
      </c>
      <c r="I606" s="68">
        <v>115000</v>
      </c>
      <c r="J606" s="68">
        <v>115000</v>
      </c>
      <c r="K606" s="135"/>
      <c r="L606" s="135"/>
      <c r="M606" s="135"/>
      <c r="N606" s="136"/>
      <c r="O606" s="41">
        <v>6</v>
      </c>
      <c r="P606" s="159">
        <v>2014</v>
      </c>
    </row>
    <row r="607" spans="1:16">
      <c r="A607" s="131">
        <v>17</v>
      </c>
      <c r="B607" s="131" t="s">
        <v>684</v>
      </c>
      <c r="C607" s="132" t="s">
        <v>679</v>
      </c>
      <c r="D607" s="133" t="s">
        <v>701</v>
      </c>
      <c r="E607" s="134">
        <v>4</v>
      </c>
      <c r="G607" s="68"/>
      <c r="I607" s="68"/>
      <c r="J607" s="68"/>
      <c r="K607" s="135">
        <v>115000</v>
      </c>
      <c r="L607" s="135"/>
      <c r="M607" s="135">
        <v>115000</v>
      </c>
      <c r="N607" s="136"/>
      <c r="O607" s="41">
        <v>6</v>
      </c>
      <c r="P607" s="159">
        <v>2014</v>
      </c>
    </row>
    <row r="608" spans="1:16">
      <c r="A608" s="137">
        <v>17</v>
      </c>
      <c r="B608" s="137" t="s">
        <v>684</v>
      </c>
      <c r="C608" s="138" t="s">
        <v>679</v>
      </c>
      <c r="D608" s="139" t="s">
        <v>701</v>
      </c>
      <c r="E608" s="140">
        <v>5</v>
      </c>
      <c r="F608" s="141"/>
      <c r="G608" s="142"/>
      <c r="H608" s="142"/>
      <c r="I608" s="142"/>
      <c r="J608" s="142"/>
      <c r="K608" s="143"/>
      <c r="L608" s="143"/>
      <c r="M608" s="143"/>
      <c r="N608" s="144"/>
      <c r="O608" s="41">
        <v>6</v>
      </c>
      <c r="P608" s="159">
        <v>2014</v>
      </c>
    </row>
    <row r="609" spans="1:16">
      <c r="A609" s="131">
        <v>17</v>
      </c>
      <c r="B609" s="131" t="s">
        <v>684</v>
      </c>
      <c r="C609" s="132" t="s">
        <v>679</v>
      </c>
      <c r="D609" s="133" t="s">
        <v>701</v>
      </c>
      <c r="E609" s="134">
        <v>5</v>
      </c>
      <c r="F609" s="81" t="s">
        <v>694</v>
      </c>
      <c r="G609" s="68" t="s">
        <v>652</v>
      </c>
      <c r="H609" s="68">
        <v>1</v>
      </c>
      <c r="I609" s="68">
        <v>98000</v>
      </c>
      <c r="J609" s="68">
        <v>98000</v>
      </c>
      <c r="K609" s="135"/>
      <c r="L609" s="135"/>
      <c r="M609" s="135"/>
      <c r="N609" s="136"/>
      <c r="O609" s="41">
        <v>6</v>
      </c>
      <c r="P609" s="159">
        <v>2014</v>
      </c>
    </row>
    <row r="610" spans="1:16">
      <c r="A610" s="131">
        <v>17</v>
      </c>
      <c r="B610" s="131" t="s">
        <v>684</v>
      </c>
      <c r="C610" s="132" t="s">
        <v>679</v>
      </c>
      <c r="D610" s="133" t="s">
        <v>701</v>
      </c>
      <c r="E610" s="134">
        <v>5</v>
      </c>
      <c r="G610" s="68"/>
      <c r="I610" s="68"/>
      <c r="J610" s="68"/>
      <c r="K610" s="135">
        <v>98000</v>
      </c>
      <c r="L610" s="135"/>
      <c r="M610" s="135">
        <v>98000</v>
      </c>
      <c r="N610" s="136"/>
      <c r="O610" s="41">
        <v>6</v>
      </c>
      <c r="P610" s="159">
        <v>2014</v>
      </c>
    </row>
    <row r="611" spans="1:16">
      <c r="A611" s="137">
        <v>17</v>
      </c>
      <c r="B611" s="137" t="s">
        <v>684</v>
      </c>
      <c r="C611" s="138" t="s">
        <v>679</v>
      </c>
      <c r="D611" s="139" t="s">
        <v>701</v>
      </c>
      <c r="E611" s="140">
        <v>6</v>
      </c>
      <c r="F611" s="141"/>
      <c r="G611" s="142"/>
      <c r="H611" s="142"/>
      <c r="I611" s="142"/>
      <c r="J611" s="142"/>
      <c r="K611" s="143"/>
      <c r="L611" s="143"/>
      <c r="M611" s="143"/>
      <c r="N611" s="144"/>
      <c r="O611" s="41">
        <v>6</v>
      </c>
      <c r="P611" s="159">
        <v>2014</v>
      </c>
    </row>
    <row r="612" spans="1:16">
      <c r="A612" s="131">
        <v>17</v>
      </c>
      <c r="B612" s="131" t="s">
        <v>684</v>
      </c>
      <c r="C612" s="132" t="s">
        <v>679</v>
      </c>
      <c r="D612" s="133" t="s">
        <v>701</v>
      </c>
      <c r="E612" s="134">
        <v>6</v>
      </c>
      <c r="F612" s="81" t="s">
        <v>694</v>
      </c>
      <c r="G612" s="68" t="s">
        <v>652</v>
      </c>
      <c r="H612" s="68">
        <v>1</v>
      </c>
      <c r="I612" s="68">
        <v>98000</v>
      </c>
      <c r="J612" s="68">
        <v>98000</v>
      </c>
      <c r="K612" s="135"/>
      <c r="L612" s="135"/>
      <c r="M612" s="135"/>
      <c r="N612" s="136"/>
      <c r="O612" s="41">
        <v>6</v>
      </c>
      <c r="P612" s="159">
        <v>2014</v>
      </c>
    </row>
    <row r="613" spans="1:16">
      <c r="A613" s="131">
        <v>17</v>
      </c>
      <c r="B613" s="131" t="s">
        <v>684</v>
      </c>
      <c r="C613" s="132" t="s">
        <v>679</v>
      </c>
      <c r="D613" s="133" t="s">
        <v>701</v>
      </c>
      <c r="E613" s="134">
        <v>6</v>
      </c>
      <c r="F613" s="81" t="s">
        <v>680</v>
      </c>
      <c r="G613" s="68" t="s">
        <v>651</v>
      </c>
      <c r="H613" s="68">
        <v>2</v>
      </c>
      <c r="I613" s="68">
        <v>98000</v>
      </c>
      <c r="J613" s="68">
        <v>196000</v>
      </c>
      <c r="K613" s="135"/>
      <c r="L613" s="135"/>
      <c r="M613" s="135"/>
      <c r="N613" s="136"/>
      <c r="O613" s="41">
        <v>6</v>
      </c>
      <c r="P613" s="159">
        <v>2014</v>
      </c>
    </row>
    <row r="614" spans="1:16">
      <c r="A614" s="131">
        <v>17</v>
      </c>
      <c r="B614" s="131" t="s">
        <v>684</v>
      </c>
      <c r="C614" s="132" t="s">
        <v>679</v>
      </c>
      <c r="D614" s="133" t="s">
        <v>701</v>
      </c>
      <c r="E614" s="134">
        <v>6</v>
      </c>
      <c r="G614" s="68"/>
      <c r="I614" s="68"/>
      <c r="J614" s="68"/>
      <c r="K614" s="135">
        <v>294000</v>
      </c>
      <c r="L614" s="135"/>
      <c r="M614" s="135">
        <v>294000</v>
      </c>
      <c r="N614" s="136"/>
      <c r="O614" s="41">
        <v>6</v>
      </c>
      <c r="P614" s="159">
        <v>2014</v>
      </c>
    </row>
    <row r="615" spans="1:16">
      <c r="A615" s="137">
        <v>17</v>
      </c>
      <c r="B615" s="137" t="s">
        <v>684</v>
      </c>
      <c r="C615" s="138" t="s">
        <v>679</v>
      </c>
      <c r="D615" s="139" t="s">
        <v>701</v>
      </c>
      <c r="E615" s="140">
        <v>7</v>
      </c>
      <c r="F615" s="141"/>
      <c r="G615" s="142"/>
      <c r="H615" s="142"/>
      <c r="I615" s="142"/>
      <c r="J615" s="142"/>
      <c r="K615" s="143"/>
      <c r="L615" s="143"/>
      <c r="M615" s="143"/>
      <c r="N615" s="144"/>
      <c r="O615" s="41">
        <v>6</v>
      </c>
      <c r="P615" s="159">
        <v>2014</v>
      </c>
    </row>
    <row r="616" spans="1:16">
      <c r="A616" s="131">
        <v>17</v>
      </c>
      <c r="B616" s="131" t="s">
        <v>684</v>
      </c>
      <c r="C616" s="132" t="s">
        <v>679</v>
      </c>
      <c r="D616" s="133" t="s">
        <v>701</v>
      </c>
      <c r="E616" s="134">
        <v>7</v>
      </c>
      <c r="F616" s="81" t="s">
        <v>680</v>
      </c>
      <c r="G616" s="68" t="s">
        <v>651</v>
      </c>
      <c r="H616" s="68">
        <v>1</v>
      </c>
      <c r="I616" s="68">
        <v>98000</v>
      </c>
      <c r="J616" s="68">
        <v>98000</v>
      </c>
      <c r="K616" s="135"/>
      <c r="L616" s="135"/>
      <c r="M616" s="135"/>
      <c r="N616" s="136"/>
      <c r="O616" s="41">
        <v>6</v>
      </c>
      <c r="P616" s="159">
        <v>2014</v>
      </c>
    </row>
    <row r="617" spans="1:16">
      <c r="A617" s="131">
        <v>17</v>
      </c>
      <c r="B617" s="131" t="s">
        <v>684</v>
      </c>
      <c r="C617" s="132" t="s">
        <v>679</v>
      </c>
      <c r="D617" s="133" t="s">
        <v>701</v>
      </c>
      <c r="E617" s="134">
        <v>7</v>
      </c>
      <c r="G617" s="68"/>
      <c r="I617" s="68"/>
      <c r="J617" s="68"/>
      <c r="K617" s="135">
        <v>98000</v>
      </c>
      <c r="L617" s="135"/>
      <c r="M617" s="135">
        <v>98000</v>
      </c>
      <c r="N617" s="136"/>
      <c r="O617" s="41">
        <v>6</v>
      </c>
      <c r="P617" s="159">
        <v>2014</v>
      </c>
    </row>
    <row r="618" spans="1:16">
      <c r="A618" s="145">
        <v>17</v>
      </c>
      <c r="B618" s="145" t="s">
        <v>681</v>
      </c>
      <c r="C618" s="146" t="s">
        <v>679</v>
      </c>
      <c r="D618" s="147" t="s">
        <v>701</v>
      </c>
      <c r="E618" s="148">
        <v>1</v>
      </c>
      <c r="F618" s="141"/>
      <c r="G618" s="149"/>
      <c r="H618" s="142"/>
      <c r="I618" s="149"/>
      <c r="J618" s="149"/>
      <c r="K618" s="150"/>
      <c r="L618" s="150"/>
      <c r="M618" s="150"/>
      <c r="N618" s="151"/>
      <c r="O618" s="41">
        <v>6</v>
      </c>
      <c r="P618" s="159">
        <v>2014</v>
      </c>
    </row>
    <row r="619" spans="1:16">
      <c r="A619" s="43">
        <v>17</v>
      </c>
      <c r="B619" s="43" t="s">
        <v>681</v>
      </c>
      <c r="C619" s="52" t="s">
        <v>679</v>
      </c>
      <c r="D619" s="94" t="s">
        <v>701</v>
      </c>
      <c r="E619" s="89">
        <v>1</v>
      </c>
      <c r="F619" s="81" t="s">
        <v>694</v>
      </c>
      <c r="G619" t="s">
        <v>652</v>
      </c>
      <c r="H619" s="68">
        <v>1</v>
      </c>
      <c r="I619">
        <v>98000</v>
      </c>
      <c r="J619">
        <v>98000</v>
      </c>
      <c r="O619" s="41">
        <v>6</v>
      </c>
      <c r="P619" s="159">
        <v>2014</v>
      </c>
    </row>
    <row r="620" spans="1:16">
      <c r="A620" s="43">
        <v>17</v>
      </c>
      <c r="B620" s="43" t="s">
        <v>681</v>
      </c>
      <c r="C620" s="52" t="s">
        <v>679</v>
      </c>
      <c r="D620" s="94" t="s">
        <v>701</v>
      </c>
      <c r="E620" s="89">
        <v>1</v>
      </c>
      <c r="F620" s="81" t="s">
        <v>686</v>
      </c>
      <c r="G620" t="s">
        <v>682</v>
      </c>
      <c r="H620" s="68">
        <v>1</v>
      </c>
      <c r="I620">
        <v>115000</v>
      </c>
      <c r="J620">
        <v>115000</v>
      </c>
      <c r="O620" s="41">
        <v>6</v>
      </c>
      <c r="P620" s="159">
        <v>2014</v>
      </c>
    </row>
    <row r="621" spans="1:16">
      <c r="A621" s="43">
        <v>17</v>
      </c>
      <c r="B621" s="43" t="s">
        <v>681</v>
      </c>
      <c r="C621" s="52" t="s">
        <v>679</v>
      </c>
      <c r="D621" s="94" t="s">
        <v>701</v>
      </c>
      <c r="E621" s="89">
        <v>1</v>
      </c>
      <c r="F621" s="81" t="s">
        <v>712</v>
      </c>
      <c r="G621" t="s">
        <v>713</v>
      </c>
      <c r="H621" s="68">
        <v>1</v>
      </c>
      <c r="I621">
        <v>115000</v>
      </c>
      <c r="J621">
        <v>115000</v>
      </c>
      <c r="O621" s="41">
        <v>6</v>
      </c>
      <c r="P621" s="159">
        <v>2014</v>
      </c>
    </row>
    <row r="622" spans="1:16">
      <c r="A622" s="43">
        <v>17</v>
      </c>
      <c r="B622" s="43" t="s">
        <v>681</v>
      </c>
      <c r="C622" s="52" t="s">
        <v>679</v>
      </c>
      <c r="D622" s="94" t="s">
        <v>701</v>
      </c>
      <c r="E622" s="89">
        <v>1</v>
      </c>
      <c r="F622" s="81" t="s">
        <v>680</v>
      </c>
      <c r="G622" t="s">
        <v>651</v>
      </c>
      <c r="H622" s="68">
        <v>2</v>
      </c>
      <c r="I622">
        <v>98000</v>
      </c>
      <c r="J622">
        <v>196000</v>
      </c>
      <c r="O622" s="41">
        <v>6</v>
      </c>
      <c r="P622" s="159">
        <v>2014</v>
      </c>
    </row>
    <row r="623" spans="1:16">
      <c r="A623" s="43">
        <v>17</v>
      </c>
      <c r="B623" s="43" t="s">
        <v>681</v>
      </c>
      <c r="C623" s="52" t="s">
        <v>679</v>
      </c>
      <c r="D623" s="94" t="s">
        <v>701</v>
      </c>
      <c r="E623" s="89">
        <v>1</v>
      </c>
      <c r="F623" s="81" t="s">
        <v>697</v>
      </c>
      <c r="G623" t="s">
        <v>698</v>
      </c>
      <c r="H623" s="68">
        <v>2</v>
      </c>
      <c r="I623">
        <v>195000</v>
      </c>
      <c r="J623">
        <v>390000</v>
      </c>
      <c r="O623" s="41">
        <v>6</v>
      </c>
      <c r="P623" s="159">
        <v>2014</v>
      </c>
    </row>
    <row r="624" spans="1:16">
      <c r="A624" s="43">
        <v>17</v>
      </c>
      <c r="B624" s="43" t="s">
        <v>681</v>
      </c>
      <c r="C624" s="52" t="s">
        <v>679</v>
      </c>
      <c r="D624" s="94" t="s">
        <v>701</v>
      </c>
      <c r="E624" s="89">
        <v>1</v>
      </c>
      <c r="F624" s="81" t="s">
        <v>707</v>
      </c>
      <c r="G624" t="s">
        <v>708</v>
      </c>
      <c r="H624" s="68">
        <v>1</v>
      </c>
      <c r="I624">
        <v>115000</v>
      </c>
      <c r="J624">
        <v>115000</v>
      </c>
      <c r="O624" s="41">
        <v>6</v>
      </c>
      <c r="P624" s="159">
        <v>2014</v>
      </c>
    </row>
    <row r="625" spans="1:16">
      <c r="A625" s="43">
        <v>17</v>
      </c>
      <c r="B625" s="43" t="s">
        <v>681</v>
      </c>
      <c r="C625" s="52" t="s">
        <v>679</v>
      </c>
      <c r="D625" s="94" t="s">
        <v>701</v>
      </c>
      <c r="E625" s="89">
        <v>1</v>
      </c>
      <c r="F625" s="81" t="s">
        <v>711</v>
      </c>
      <c r="G625" t="s">
        <v>656</v>
      </c>
      <c r="H625" s="68">
        <v>1</v>
      </c>
      <c r="I625">
        <v>98000</v>
      </c>
      <c r="J625">
        <v>98000</v>
      </c>
      <c r="O625" s="41">
        <v>6</v>
      </c>
      <c r="P625" s="159">
        <v>2014</v>
      </c>
    </row>
    <row r="626" spans="1:16">
      <c r="A626" s="43">
        <v>17</v>
      </c>
      <c r="B626" s="43" t="s">
        <v>681</v>
      </c>
      <c r="C626" s="52" t="s">
        <v>679</v>
      </c>
      <c r="D626" s="94" t="s">
        <v>701</v>
      </c>
      <c r="E626" s="89">
        <v>1</v>
      </c>
      <c r="F626" s="81" t="s">
        <v>691</v>
      </c>
      <c r="G626" t="s">
        <v>657</v>
      </c>
      <c r="H626" s="68">
        <v>1</v>
      </c>
      <c r="I626">
        <v>98000</v>
      </c>
      <c r="J626">
        <v>98000</v>
      </c>
      <c r="O626" s="41">
        <v>6</v>
      </c>
      <c r="P626" s="159">
        <v>2014</v>
      </c>
    </row>
    <row r="627" spans="1:16">
      <c r="A627" s="43">
        <v>17</v>
      </c>
      <c r="B627" s="43" t="s">
        <v>681</v>
      </c>
      <c r="C627" s="52" t="s">
        <v>679</v>
      </c>
      <c r="D627" s="94" t="s">
        <v>701</v>
      </c>
      <c r="E627" s="89">
        <v>1</v>
      </c>
      <c r="F627" s="81" t="s">
        <v>699</v>
      </c>
      <c r="G627" t="s">
        <v>650</v>
      </c>
      <c r="H627" s="68">
        <v>1</v>
      </c>
      <c r="I627">
        <v>85000</v>
      </c>
      <c r="J627">
        <v>85000</v>
      </c>
      <c r="O627" s="41">
        <v>6</v>
      </c>
      <c r="P627" s="159">
        <v>2014</v>
      </c>
    </row>
    <row r="628" spans="1:16">
      <c r="A628" s="43">
        <v>17</v>
      </c>
      <c r="B628" s="43" t="s">
        <v>681</v>
      </c>
      <c r="C628" s="52" t="s">
        <v>679</v>
      </c>
      <c r="D628" s="94" t="s">
        <v>701</v>
      </c>
      <c r="E628" s="89">
        <v>1</v>
      </c>
      <c r="K628" s="41">
        <v>1310000</v>
      </c>
      <c r="M628" s="41">
        <v>1310000</v>
      </c>
      <c r="O628" s="41">
        <v>6</v>
      </c>
      <c r="P628" s="159">
        <v>2014</v>
      </c>
    </row>
    <row r="629" spans="1:16">
      <c r="A629" s="137">
        <v>18</v>
      </c>
      <c r="B629" s="137" t="s">
        <v>681</v>
      </c>
      <c r="C629" s="138" t="s">
        <v>679</v>
      </c>
      <c r="D629" s="139" t="s">
        <v>701</v>
      </c>
      <c r="E629" s="140">
        <v>1</v>
      </c>
      <c r="F629" s="141"/>
      <c r="G629" s="142"/>
      <c r="H629" s="142"/>
      <c r="I629" s="142"/>
      <c r="J629" s="142"/>
      <c r="K629" s="143"/>
      <c r="L629" s="143"/>
      <c r="M629" s="143"/>
      <c r="N629" s="144"/>
      <c r="O629" s="41">
        <v>6</v>
      </c>
      <c r="P629" s="159">
        <v>2014</v>
      </c>
    </row>
    <row r="630" spans="1:16">
      <c r="A630" s="131">
        <v>18</v>
      </c>
      <c r="B630" s="131" t="s">
        <v>681</v>
      </c>
      <c r="C630" s="132" t="s">
        <v>679</v>
      </c>
      <c r="D630" s="133" t="s">
        <v>701</v>
      </c>
      <c r="E630" s="134">
        <v>1</v>
      </c>
      <c r="F630" s="81" t="s">
        <v>680</v>
      </c>
      <c r="G630" s="68" t="s">
        <v>651</v>
      </c>
      <c r="H630" s="68">
        <v>1</v>
      </c>
      <c r="I630" s="68">
        <v>98000</v>
      </c>
      <c r="J630" s="68">
        <v>98000</v>
      </c>
      <c r="K630" s="135"/>
      <c r="L630" s="135"/>
      <c r="M630" s="135"/>
      <c r="N630" s="136"/>
      <c r="O630" s="41">
        <v>6</v>
      </c>
      <c r="P630" s="159">
        <v>2014</v>
      </c>
    </row>
    <row r="631" spans="1:16">
      <c r="A631" s="131">
        <v>18</v>
      </c>
      <c r="B631" s="131" t="s">
        <v>681</v>
      </c>
      <c r="C631" s="132" t="s">
        <v>679</v>
      </c>
      <c r="D631" s="133" t="s">
        <v>701</v>
      </c>
      <c r="E631" s="134">
        <v>1</v>
      </c>
      <c r="F631" s="81" t="s">
        <v>694</v>
      </c>
      <c r="G631" s="68" t="s">
        <v>652</v>
      </c>
      <c r="H631" s="68">
        <v>1</v>
      </c>
      <c r="I631" s="68">
        <v>98000</v>
      </c>
      <c r="J631" s="68">
        <v>98000</v>
      </c>
      <c r="K631" s="135"/>
      <c r="L631" s="135"/>
      <c r="M631" s="135"/>
      <c r="N631" s="136"/>
      <c r="O631" s="41">
        <v>6</v>
      </c>
      <c r="P631" s="159">
        <v>2014</v>
      </c>
    </row>
    <row r="632" spans="1:16">
      <c r="A632" s="131">
        <v>18</v>
      </c>
      <c r="B632" s="131" t="s">
        <v>681</v>
      </c>
      <c r="C632" s="132" t="s">
        <v>679</v>
      </c>
      <c r="D632" s="133" t="s">
        <v>701</v>
      </c>
      <c r="E632" s="134">
        <v>1</v>
      </c>
      <c r="G632" s="68"/>
      <c r="I632" s="68"/>
      <c r="J632" s="68"/>
      <c r="K632" s="135">
        <v>196000</v>
      </c>
      <c r="L632" s="135"/>
      <c r="M632" s="135">
        <v>196000</v>
      </c>
      <c r="N632" s="136"/>
      <c r="O632" s="41">
        <v>6</v>
      </c>
      <c r="P632" s="159">
        <v>2014</v>
      </c>
    </row>
    <row r="633" spans="1:16">
      <c r="A633" s="137">
        <v>18</v>
      </c>
      <c r="B633" s="137" t="s">
        <v>681</v>
      </c>
      <c r="C633" s="138" t="s">
        <v>679</v>
      </c>
      <c r="D633" s="139" t="s">
        <v>701</v>
      </c>
      <c r="E633" s="140">
        <v>2</v>
      </c>
      <c r="F633" s="141"/>
      <c r="G633" s="142"/>
      <c r="H633" s="142"/>
      <c r="I633" s="142"/>
      <c r="J633" s="142"/>
      <c r="K633" s="143"/>
      <c r="L633" s="143"/>
      <c r="M633" s="143"/>
      <c r="N633" s="144"/>
      <c r="O633" s="41">
        <v>6</v>
      </c>
      <c r="P633" s="159">
        <v>2014</v>
      </c>
    </row>
    <row r="634" spans="1:16">
      <c r="A634" s="131">
        <v>18</v>
      </c>
      <c r="B634" s="131" t="s">
        <v>681</v>
      </c>
      <c r="C634" s="132" t="s">
        <v>679</v>
      </c>
      <c r="D634" s="133" t="s">
        <v>701</v>
      </c>
      <c r="E634" s="134">
        <v>2</v>
      </c>
      <c r="F634" s="81" t="s">
        <v>680</v>
      </c>
      <c r="G634" s="68" t="s">
        <v>651</v>
      </c>
      <c r="H634" s="68">
        <v>1</v>
      </c>
      <c r="I634" s="68">
        <v>98000</v>
      </c>
      <c r="J634" s="68">
        <v>98000</v>
      </c>
      <c r="K634" s="135"/>
      <c r="L634" s="135"/>
      <c r="M634" s="135"/>
      <c r="N634" s="136"/>
      <c r="O634" s="41">
        <v>6</v>
      </c>
      <c r="P634" s="159">
        <v>2014</v>
      </c>
    </row>
    <row r="635" spans="1:16">
      <c r="A635" s="131">
        <v>18</v>
      </c>
      <c r="B635" s="131" t="s">
        <v>681</v>
      </c>
      <c r="C635" s="132" t="s">
        <v>679</v>
      </c>
      <c r="D635" s="133" t="s">
        <v>701</v>
      </c>
      <c r="E635" s="134">
        <v>2</v>
      </c>
      <c r="G635" s="68"/>
      <c r="I635" s="68"/>
      <c r="J635" s="68"/>
      <c r="K635" s="135">
        <v>98000</v>
      </c>
      <c r="L635" s="135"/>
      <c r="M635" s="135">
        <v>98000</v>
      </c>
      <c r="N635" s="136"/>
      <c r="O635" s="41">
        <v>6</v>
      </c>
      <c r="P635" s="159">
        <v>2014</v>
      </c>
    </row>
    <row r="636" spans="1:16">
      <c r="A636" s="137">
        <v>18</v>
      </c>
      <c r="B636" s="137" t="s">
        <v>681</v>
      </c>
      <c r="C636" s="138" t="s">
        <v>679</v>
      </c>
      <c r="D636" s="139" t="s">
        <v>701</v>
      </c>
      <c r="E636" s="140">
        <v>3</v>
      </c>
      <c r="F636" s="141"/>
      <c r="G636" s="142"/>
      <c r="H636" s="142"/>
      <c r="I636" s="142"/>
      <c r="J636" s="142"/>
      <c r="K636" s="143"/>
      <c r="L636" s="143"/>
      <c r="M636" s="143"/>
      <c r="N636" s="144"/>
      <c r="O636" s="41">
        <v>6</v>
      </c>
      <c r="P636" s="159">
        <v>2014</v>
      </c>
    </row>
    <row r="637" spans="1:16">
      <c r="A637" s="131">
        <v>18</v>
      </c>
      <c r="B637" s="131" t="s">
        <v>681</v>
      </c>
      <c r="C637" s="132" t="s">
        <v>679</v>
      </c>
      <c r="D637" s="133" t="s">
        <v>701</v>
      </c>
      <c r="E637" s="134">
        <v>3</v>
      </c>
      <c r="F637" s="81" t="s">
        <v>680</v>
      </c>
      <c r="G637" s="68" t="s">
        <v>651</v>
      </c>
      <c r="H637" s="68">
        <v>2</v>
      </c>
      <c r="I637" s="68">
        <v>98000</v>
      </c>
      <c r="J637" s="68">
        <v>196000</v>
      </c>
      <c r="K637" s="135"/>
      <c r="L637" s="135"/>
      <c r="M637" s="135"/>
      <c r="N637" s="136"/>
      <c r="O637" s="41">
        <v>6</v>
      </c>
      <c r="P637" s="159">
        <v>2014</v>
      </c>
    </row>
    <row r="638" spans="1:16">
      <c r="A638" s="131">
        <v>18</v>
      </c>
      <c r="B638" s="131" t="s">
        <v>681</v>
      </c>
      <c r="C638" s="132" t="s">
        <v>679</v>
      </c>
      <c r="D638" s="133" t="s">
        <v>701</v>
      </c>
      <c r="E638" s="134">
        <v>3</v>
      </c>
      <c r="G638" s="68"/>
      <c r="I638" s="68"/>
      <c r="J638" s="68"/>
      <c r="K638" s="135">
        <v>196000</v>
      </c>
      <c r="L638" s="135"/>
      <c r="M638" s="135">
        <v>196000</v>
      </c>
      <c r="N638" s="136"/>
      <c r="O638" s="41">
        <v>6</v>
      </c>
      <c r="P638" s="159">
        <v>2014</v>
      </c>
    </row>
    <row r="639" spans="1:16">
      <c r="A639" s="145">
        <v>12</v>
      </c>
      <c r="B639" s="145" t="s">
        <v>681</v>
      </c>
      <c r="C639" s="146" t="s">
        <v>687</v>
      </c>
      <c r="D639" s="147" t="s">
        <v>701</v>
      </c>
      <c r="E639" s="148">
        <v>1</v>
      </c>
      <c r="F639" s="141"/>
      <c r="G639" s="149"/>
      <c r="H639" s="142"/>
      <c r="I639" s="149"/>
      <c r="J639" s="149"/>
      <c r="K639" s="150"/>
      <c r="L639" s="150"/>
      <c r="M639" s="150"/>
      <c r="N639" s="151"/>
      <c r="O639" s="41">
        <v>6</v>
      </c>
      <c r="P639" s="159">
        <v>2014</v>
      </c>
    </row>
    <row r="640" spans="1:16">
      <c r="A640" s="43">
        <v>12</v>
      </c>
      <c r="B640" s="43" t="s">
        <v>681</v>
      </c>
      <c r="C640" s="52" t="s">
        <v>687</v>
      </c>
      <c r="D640" s="94" t="s">
        <v>701</v>
      </c>
      <c r="E640" s="89">
        <v>1</v>
      </c>
      <c r="F640" s="81" t="s">
        <v>686</v>
      </c>
      <c r="G640" t="s">
        <v>682</v>
      </c>
      <c r="H640" s="68">
        <v>10</v>
      </c>
      <c r="I640">
        <v>115000</v>
      </c>
      <c r="J640">
        <v>1150000</v>
      </c>
      <c r="O640" s="41">
        <v>6</v>
      </c>
      <c r="P640" s="159">
        <v>2014</v>
      </c>
    </row>
    <row r="641" spans="1:16">
      <c r="A641" s="43">
        <v>12</v>
      </c>
      <c r="B641" s="43" t="s">
        <v>681</v>
      </c>
      <c r="C641" s="52" t="s">
        <v>687</v>
      </c>
      <c r="D641" s="94" t="s">
        <v>701</v>
      </c>
      <c r="E641" s="89">
        <v>1</v>
      </c>
      <c r="F641" s="81" t="s">
        <v>680</v>
      </c>
      <c r="G641" t="s">
        <v>651</v>
      </c>
      <c r="H641" s="68">
        <v>13</v>
      </c>
      <c r="I641">
        <v>98000</v>
      </c>
      <c r="J641">
        <v>1274000</v>
      </c>
      <c r="O641" s="41">
        <v>6</v>
      </c>
      <c r="P641" s="159">
        <v>2014</v>
      </c>
    </row>
    <row r="642" spans="1:16">
      <c r="A642" s="43">
        <v>12</v>
      </c>
      <c r="B642" s="43" t="s">
        <v>681</v>
      </c>
      <c r="C642" s="52" t="s">
        <v>687</v>
      </c>
      <c r="D642" s="94" t="s">
        <v>701</v>
      </c>
      <c r="E642" s="89">
        <v>1</v>
      </c>
      <c r="F642" s="81" t="s">
        <v>699</v>
      </c>
      <c r="G642" t="s">
        <v>650</v>
      </c>
      <c r="H642" s="68">
        <v>5</v>
      </c>
      <c r="I642">
        <v>85000</v>
      </c>
      <c r="J642">
        <v>425000</v>
      </c>
      <c r="O642" s="41">
        <v>6</v>
      </c>
      <c r="P642" s="159">
        <v>2014</v>
      </c>
    </row>
    <row r="643" spans="1:16">
      <c r="A643" s="43">
        <v>12</v>
      </c>
      <c r="B643" s="43" t="s">
        <v>681</v>
      </c>
      <c r="C643" s="52" t="s">
        <v>687</v>
      </c>
      <c r="D643" s="94" t="s">
        <v>701</v>
      </c>
      <c r="E643" s="89">
        <v>1</v>
      </c>
      <c r="F643" s="81" t="s">
        <v>694</v>
      </c>
      <c r="G643" t="s">
        <v>652</v>
      </c>
      <c r="H643" s="68">
        <v>3</v>
      </c>
      <c r="I643">
        <v>98000</v>
      </c>
      <c r="J643">
        <v>294000</v>
      </c>
      <c r="O643" s="41">
        <v>6</v>
      </c>
      <c r="P643" s="159">
        <v>2014</v>
      </c>
    </row>
    <row r="644" spans="1:16">
      <c r="A644" s="43">
        <v>12</v>
      </c>
      <c r="B644" s="43" t="s">
        <v>681</v>
      </c>
      <c r="C644" s="52" t="s">
        <v>687</v>
      </c>
      <c r="D644" s="94" t="s">
        <v>701</v>
      </c>
      <c r="E644" s="89">
        <v>1</v>
      </c>
      <c r="K644" s="41">
        <v>3143000</v>
      </c>
      <c r="L644" s="41">
        <v>1593000</v>
      </c>
      <c r="M644" s="41">
        <v>1550000</v>
      </c>
      <c r="N644" s="40" t="s">
        <v>700</v>
      </c>
      <c r="O644" s="41">
        <v>6</v>
      </c>
      <c r="P644" s="159">
        <v>2014</v>
      </c>
    </row>
    <row r="645" spans="1:16">
      <c r="A645" s="137">
        <v>20</v>
      </c>
      <c r="B645" s="137" t="s">
        <v>681</v>
      </c>
      <c r="C645" s="138" t="s">
        <v>679</v>
      </c>
      <c r="D645" s="139" t="s">
        <v>701</v>
      </c>
      <c r="E645" s="140">
        <v>1</v>
      </c>
      <c r="F645" s="141"/>
      <c r="G645" s="142"/>
      <c r="H645" s="142"/>
      <c r="I645" s="142"/>
      <c r="J645" s="142"/>
      <c r="K645" s="143"/>
      <c r="L645" s="143"/>
      <c r="M645" s="143"/>
      <c r="N645" s="144"/>
      <c r="O645" s="41">
        <v>6</v>
      </c>
      <c r="P645" s="159">
        <v>2014</v>
      </c>
    </row>
    <row r="646" spans="1:16">
      <c r="A646" s="131">
        <v>20</v>
      </c>
      <c r="B646" s="131" t="s">
        <v>681</v>
      </c>
      <c r="C646" s="132" t="s">
        <v>679</v>
      </c>
      <c r="D646" s="133" t="s">
        <v>701</v>
      </c>
      <c r="E646" s="134">
        <v>1</v>
      </c>
      <c r="F646" s="81" t="s">
        <v>707</v>
      </c>
      <c r="G646" s="68" t="s">
        <v>708</v>
      </c>
      <c r="H646" s="68">
        <v>1</v>
      </c>
      <c r="I646" s="68">
        <v>115000</v>
      </c>
      <c r="J646" s="68">
        <v>115000</v>
      </c>
      <c r="K646" s="135"/>
      <c r="L646" s="135"/>
      <c r="M646" s="135"/>
      <c r="N646" s="136"/>
      <c r="O646" s="41">
        <v>6</v>
      </c>
      <c r="P646" s="159">
        <v>2014</v>
      </c>
    </row>
    <row r="647" spans="1:16">
      <c r="A647" s="131">
        <v>20</v>
      </c>
      <c r="B647" s="131" t="s">
        <v>681</v>
      </c>
      <c r="C647" s="132" t="s">
        <v>679</v>
      </c>
      <c r="D647" s="133" t="s">
        <v>701</v>
      </c>
      <c r="E647" s="134">
        <v>1</v>
      </c>
      <c r="G647" s="68"/>
      <c r="I647" s="68"/>
      <c r="J647" s="68"/>
      <c r="K647" s="135">
        <v>115000</v>
      </c>
      <c r="L647" s="135"/>
      <c r="M647" s="135">
        <v>115000</v>
      </c>
      <c r="N647" s="136"/>
      <c r="O647" s="41">
        <v>6</v>
      </c>
      <c r="P647" s="159">
        <v>2014</v>
      </c>
    </row>
    <row r="648" spans="1:16">
      <c r="A648" s="137">
        <v>20</v>
      </c>
      <c r="B648" s="137" t="s">
        <v>681</v>
      </c>
      <c r="C648" s="138" t="s">
        <v>679</v>
      </c>
      <c r="D648" s="139" t="s">
        <v>701</v>
      </c>
      <c r="E648" s="140">
        <v>2</v>
      </c>
      <c r="F648" s="141"/>
      <c r="G648" s="142"/>
      <c r="H648" s="142"/>
      <c r="I648" s="142"/>
      <c r="J648" s="142"/>
      <c r="K648" s="143"/>
      <c r="L648" s="143"/>
      <c r="M648" s="143"/>
      <c r="N648" s="144"/>
      <c r="O648" s="41">
        <v>6</v>
      </c>
      <c r="P648" s="159">
        <v>2014</v>
      </c>
    </row>
    <row r="649" spans="1:16">
      <c r="A649" s="131">
        <v>20</v>
      </c>
      <c r="B649" s="131" t="s">
        <v>681</v>
      </c>
      <c r="C649" s="132" t="s">
        <v>679</v>
      </c>
      <c r="D649" s="133" t="s">
        <v>701</v>
      </c>
      <c r="E649" s="134">
        <v>2</v>
      </c>
      <c r="F649" s="81" t="s">
        <v>689</v>
      </c>
      <c r="G649" s="68" t="s">
        <v>690</v>
      </c>
      <c r="H649" s="68">
        <v>1</v>
      </c>
      <c r="I649" s="68">
        <v>85000</v>
      </c>
      <c r="J649" s="68">
        <v>85000</v>
      </c>
      <c r="K649" s="135"/>
      <c r="L649" s="135"/>
      <c r="M649" s="135"/>
      <c r="N649" s="136"/>
      <c r="O649" s="41">
        <v>6</v>
      </c>
      <c r="P649" s="159">
        <v>2014</v>
      </c>
    </row>
    <row r="650" spans="1:16">
      <c r="A650" s="131">
        <v>20</v>
      </c>
      <c r="B650" s="131" t="s">
        <v>681</v>
      </c>
      <c r="C650" s="132" t="s">
        <v>679</v>
      </c>
      <c r="D650" s="133" t="s">
        <v>701</v>
      </c>
      <c r="E650" s="134">
        <v>2</v>
      </c>
      <c r="G650" s="68"/>
      <c r="I650" s="68"/>
      <c r="J650" s="68"/>
      <c r="K650" s="135">
        <v>85000</v>
      </c>
      <c r="L650" s="135"/>
      <c r="M650" s="135">
        <v>85000</v>
      </c>
      <c r="N650" s="136"/>
      <c r="O650" s="41">
        <v>6</v>
      </c>
      <c r="P650" s="159">
        <v>2014</v>
      </c>
    </row>
    <row r="651" spans="1:16">
      <c r="A651" s="137">
        <v>20</v>
      </c>
      <c r="B651" s="137" t="s">
        <v>681</v>
      </c>
      <c r="C651" s="138" t="s">
        <v>679</v>
      </c>
      <c r="D651" s="139" t="s">
        <v>701</v>
      </c>
      <c r="E651" s="140">
        <v>3</v>
      </c>
      <c r="F651" s="141"/>
      <c r="G651" s="142"/>
      <c r="H651" s="142"/>
      <c r="I651" s="142"/>
      <c r="J651" s="142"/>
      <c r="K651" s="143"/>
      <c r="L651" s="143"/>
      <c r="M651" s="143"/>
      <c r="N651" s="144"/>
      <c r="O651" s="41">
        <v>6</v>
      </c>
      <c r="P651" s="159">
        <v>2014</v>
      </c>
    </row>
    <row r="652" spans="1:16">
      <c r="A652" s="131">
        <v>20</v>
      </c>
      <c r="B652" s="131" t="s">
        <v>681</v>
      </c>
      <c r="C652" s="132" t="s">
        <v>679</v>
      </c>
      <c r="D652" s="133" t="s">
        <v>701</v>
      </c>
      <c r="E652" s="134">
        <v>3</v>
      </c>
      <c r="F652" s="81" t="s">
        <v>695</v>
      </c>
      <c r="G652" s="68" t="s">
        <v>696</v>
      </c>
      <c r="H652" s="68">
        <v>1</v>
      </c>
      <c r="I652" s="68">
        <v>115000</v>
      </c>
      <c r="J652" s="68">
        <v>115000</v>
      </c>
      <c r="K652" s="135"/>
      <c r="L652" s="135"/>
      <c r="M652" s="135"/>
      <c r="N652" s="136"/>
      <c r="O652" s="41">
        <v>6</v>
      </c>
      <c r="P652" s="159">
        <v>2014</v>
      </c>
    </row>
    <row r="653" spans="1:16">
      <c r="A653" s="131">
        <v>20</v>
      </c>
      <c r="B653" s="131" t="s">
        <v>681</v>
      </c>
      <c r="C653" s="132" t="s">
        <v>679</v>
      </c>
      <c r="D653" s="133" t="s">
        <v>701</v>
      </c>
      <c r="E653" s="134">
        <v>3</v>
      </c>
      <c r="G653" s="68"/>
      <c r="I653" s="68"/>
      <c r="J653" s="68"/>
      <c r="K653" s="135">
        <v>115000</v>
      </c>
      <c r="L653" s="135"/>
      <c r="M653" s="135">
        <v>115000</v>
      </c>
      <c r="N653" s="136"/>
      <c r="O653" s="41">
        <v>6</v>
      </c>
      <c r="P653" s="159">
        <v>2014</v>
      </c>
    </row>
    <row r="654" spans="1:16">
      <c r="A654" s="137">
        <v>20</v>
      </c>
      <c r="B654" s="137" t="s">
        <v>681</v>
      </c>
      <c r="C654" s="138" t="s">
        <v>679</v>
      </c>
      <c r="D654" s="139" t="s">
        <v>701</v>
      </c>
      <c r="E654" s="140">
        <v>4</v>
      </c>
      <c r="F654" s="141"/>
      <c r="G654" s="142"/>
      <c r="H654" s="142"/>
      <c r="I654" s="142"/>
      <c r="J654" s="142"/>
      <c r="K654" s="143"/>
      <c r="L654" s="143"/>
      <c r="M654" s="143"/>
      <c r="N654" s="144"/>
      <c r="O654" s="41">
        <v>6</v>
      </c>
      <c r="P654" s="159">
        <v>2014</v>
      </c>
    </row>
    <row r="655" spans="1:16">
      <c r="A655" s="131">
        <v>20</v>
      </c>
      <c r="B655" s="131" t="s">
        <v>681</v>
      </c>
      <c r="C655" s="132" t="s">
        <v>679</v>
      </c>
      <c r="D655" s="133" t="s">
        <v>701</v>
      </c>
      <c r="E655" s="134">
        <v>4</v>
      </c>
      <c r="F655" s="81" t="s">
        <v>695</v>
      </c>
      <c r="G655" s="68" t="s">
        <v>696</v>
      </c>
      <c r="H655" s="68">
        <v>1</v>
      </c>
      <c r="I655" s="68">
        <v>115000</v>
      </c>
      <c r="J655" s="68">
        <v>115000</v>
      </c>
      <c r="K655" s="135"/>
      <c r="L655" s="135"/>
      <c r="M655" s="135"/>
      <c r="N655" s="136"/>
      <c r="O655" s="41">
        <v>6</v>
      </c>
      <c r="P655" s="159">
        <v>2014</v>
      </c>
    </row>
    <row r="656" spans="1:16">
      <c r="A656" s="131">
        <v>20</v>
      </c>
      <c r="B656" s="131" t="s">
        <v>681</v>
      </c>
      <c r="C656" s="132" t="s">
        <v>679</v>
      </c>
      <c r="D656" s="133" t="s">
        <v>701</v>
      </c>
      <c r="E656" s="134">
        <v>4</v>
      </c>
      <c r="G656" s="68"/>
      <c r="I656" s="68"/>
      <c r="J656" s="68"/>
      <c r="K656" s="135">
        <v>115000</v>
      </c>
      <c r="L656" s="135"/>
      <c r="M656" s="135">
        <v>115000</v>
      </c>
      <c r="N656" s="136"/>
      <c r="O656" s="41">
        <v>6</v>
      </c>
      <c r="P656" s="159">
        <v>2014</v>
      </c>
    </row>
    <row r="657" spans="1:16">
      <c r="A657" s="137">
        <v>20</v>
      </c>
      <c r="B657" s="137" t="s">
        <v>681</v>
      </c>
      <c r="C657" s="138" t="s">
        <v>679</v>
      </c>
      <c r="D657" s="139" t="s">
        <v>701</v>
      </c>
      <c r="E657" s="140">
        <v>5</v>
      </c>
      <c r="F657" s="141"/>
      <c r="G657" s="142"/>
      <c r="H657" s="142"/>
      <c r="I657" s="142"/>
      <c r="J657" s="142"/>
      <c r="K657" s="143"/>
      <c r="L657" s="143"/>
      <c r="M657" s="143"/>
      <c r="N657" s="144"/>
      <c r="O657" s="41">
        <v>6</v>
      </c>
      <c r="P657" s="159">
        <v>2014</v>
      </c>
    </row>
    <row r="658" spans="1:16">
      <c r="A658" s="131">
        <v>20</v>
      </c>
      <c r="B658" s="131" t="s">
        <v>681</v>
      </c>
      <c r="C658" s="132" t="s">
        <v>679</v>
      </c>
      <c r="D658" s="133" t="s">
        <v>701</v>
      </c>
      <c r="E658" s="134">
        <v>5</v>
      </c>
      <c r="F658" s="81" t="s">
        <v>686</v>
      </c>
      <c r="G658" s="68" t="s">
        <v>682</v>
      </c>
      <c r="H658" s="68">
        <v>1</v>
      </c>
      <c r="I658" s="68">
        <v>115000</v>
      </c>
      <c r="J658" s="68">
        <v>115000</v>
      </c>
      <c r="K658" s="135"/>
      <c r="L658" s="135"/>
      <c r="M658" s="135"/>
      <c r="N658" s="136"/>
      <c r="O658" s="41">
        <v>6</v>
      </c>
      <c r="P658" s="159">
        <v>2014</v>
      </c>
    </row>
    <row r="659" spans="1:16">
      <c r="A659" s="131">
        <v>20</v>
      </c>
      <c r="B659" s="131" t="s">
        <v>681</v>
      </c>
      <c r="C659" s="132" t="s">
        <v>679</v>
      </c>
      <c r="D659" s="133" t="s">
        <v>701</v>
      </c>
      <c r="E659" s="134">
        <v>5</v>
      </c>
      <c r="F659" s="81" t="s">
        <v>695</v>
      </c>
      <c r="G659" s="68" t="s">
        <v>696</v>
      </c>
      <c r="H659" s="68">
        <v>1</v>
      </c>
      <c r="I659" s="68">
        <v>115000</v>
      </c>
      <c r="J659" s="68">
        <v>115000</v>
      </c>
      <c r="K659" s="135"/>
      <c r="L659" s="135"/>
      <c r="M659" s="135"/>
      <c r="N659" s="136"/>
      <c r="O659" s="41">
        <v>6</v>
      </c>
      <c r="P659" s="159">
        <v>2014</v>
      </c>
    </row>
    <row r="660" spans="1:16">
      <c r="A660" s="131">
        <v>20</v>
      </c>
      <c r="B660" s="131" t="s">
        <v>681</v>
      </c>
      <c r="C660" s="132" t="s">
        <v>679</v>
      </c>
      <c r="D660" s="133" t="s">
        <v>701</v>
      </c>
      <c r="E660" s="134">
        <v>5</v>
      </c>
      <c r="G660" s="68"/>
      <c r="I660" s="68"/>
      <c r="J660" s="68"/>
      <c r="K660" s="135">
        <v>230000</v>
      </c>
      <c r="L660" s="135"/>
      <c r="M660" s="135">
        <v>230000</v>
      </c>
      <c r="N660" s="136"/>
      <c r="O660" s="41">
        <v>6</v>
      </c>
      <c r="P660" s="159">
        <v>2014</v>
      </c>
    </row>
    <row r="661" spans="1:16">
      <c r="A661" s="137">
        <v>20</v>
      </c>
      <c r="B661" s="137" t="s">
        <v>684</v>
      </c>
      <c r="C661" s="138" t="s">
        <v>679</v>
      </c>
      <c r="D661" s="139" t="s">
        <v>701</v>
      </c>
      <c r="E661" s="140">
        <v>1</v>
      </c>
      <c r="F661" s="141"/>
      <c r="G661" s="142"/>
      <c r="H661" s="142"/>
      <c r="I661" s="142"/>
      <c r="J661" s="142"/>
      <c r="K661" s="143"/>
      <c r="L661" s="143"/>
      <c r="M661" s="143"/>
      <c r="N661" s="144"/>
      <c r="O661" s="41">
        <v>6</v>
      </c>
      <c r="P661" s="159">
        <v>2014</v>
      </c>
    </row>
    <row r="662" spans="1:16">
      <c r="A662" s="131">
        <v>20</v>
      </c>
      <c r="B662" s="131" t="s">
        <v>684</v>
      </c>
      <c r="C662" s="132" t="s">
        <v>679</v>
      </c>
      <c r="D662" s="133" t="s">
        <v>701</v>
      </c>
      <c r="E662" s="134">
        <v>1</v>
      </c>
      <c r="F662" s="81" t="s">
        <v>699</v>
      </c>
      <c r="G662" s="68" t="s">
        <v>650</v>
      </c>
      <c r="H662" s="68">
        <v>1</v>
      </c>
      <c r="I662" s="68">
        <v>85000</v>
      </c>
      <c r="J662" s="68">
        <v>85000</v>
      </c>
      <c r="K662" s="135"/>
      <c r="L662" s="135"/>
      <c r="M662" s="135"/>
      <c r="N662" s="136"/>
      <c r="O662" s="41">
        <v>6</v>
      </c>
      <c r="P662" s="159">
        <v>2014</v>
      </c>
    </row>
    <row r="663" spans="1:16">
      <c r="A663" s="131">
        <v>20</v>
      </c>
      <c r="B663" s="131" t="s">
        <v>684</v>
      </c>
      <c r="C663" s="132" t="s">
        <v>679</v>
      </c>
      <c r="D663" s="133" t="s">
        <v>701</v>
      </c>
      <c r="E663" s="134">
        <v>1</v>
      </c>
      <c r="F663" s="81" t="s">
        <v>680</v>
      </c>
      <c r="G663" s="68" t="s">
        <v>651</v>
      </c>
      <c r="H663" s="68">
        <v>1</v>
      </c>
      <c r="I663" s="68">
        <v>98000</v>
      </c>
      <c r="J663" s="68">
        <v>98000</v>
      </c>
      <c r="K663" s="135"/>
      <c r="L663" s="135"/>
      <c r="M663" s="135"/>
      <c r="N663" s="136"/>
      <c r="O663" s="41">
        <v>6</v>
      </c>
      <c r="P663" s="159">
        <v>2014</v>
      </c>
    </row>
    <row r="664" spans="1:16">
      <c r="A664" s="131">
        <v>20</v>
      </c>
      <c r="B664" s="131" t="s">
        <v>684</v>
      </c>
      <c r="C664" s="132" t="s">
        <v>679</v>
      </c>
      <c r="D664" s="133" t="s">
        <v>701</v>
      </c>
      <c r="E664" s="134">
        <v>1</v>
      </c>
      <c r="G664" s="68"/>
      <c r="I664" s="68"/>
      <c r="J664" s="68"/>
      <c r="K664" s="135">
        <v>183000</v>
      </c>
      <c r="L664" s="135"/>
      <c r="M664" s="135">
        <v>183000</v>
      </c>
      <c r="N664" s="136"/>
      <c r="O664" s="41">
        <v>6</v>
      </c>
      <c r="P664" s="159">
        <v>2014</v>
      </c>
    </row>
    <row r="665" spans="1:16">
      <c r="A665" s="137">
        <v>21</v>
      </c>
      <c r="B665" s="137" t="s">
        <v>684</v>
      </c>
      <c r="C665" s="138" t="s">
        <v>702</v>
      </c>
      <c r="D665" s="139" t="s">
        <v>701</v>
      </c>
      <c r="E665" s="140">
        <v>1</v>
      </c>
      <c r="F665" s="141"/>
      <c r="G665" s="142"/>
      <c r="H665" s="142"/>
      <c r="I665" s="142"/>
      <c r="J665" s="142"/>
      <c r="K665" s="143"/>
      <c r="L665" s="143"/>
      <c r="M665" s="143"/>
      <c r="N665" s="144"/>
      <c r="O665" s="41">
        <v>6</v>
      </c>
      <c r="P665" s="159">
        <v>2014</v>
      </c>
    </row>
    <row r="666" spans="1:16">
      <c r="A666" s="131">
        <v>21</v>
      </c>
      <c r="B666" s="131" t="s">
        <v>684</v>
      </c>
      <c r="C666" s="132" t="s">
        <v>702</v>
      </c>
      <c r="D666" s="133" t="s">
        <v>701</v>
      </c>
      <c r="E666" s="134">
        <v>1</v>
      </c>
      <c r="F666" s="81" t="s">
        <v>670</v>
      </c>
      <c r="G666" s="68" t="s">
        <v>690</v>
      </c>
      <c r="H666" s="68">
        <v>1</v>
      </c>
      <c r="I666" s="68">
        <v>85000</v>
      </c>
      <c r="J666" s="68">
        <v>85000</v>
      </c>
      <c r="K666" s="152"/>
      <c r="L666" s="152"/>
      <c r="M666" s="152"/>
      <c r="N666" s="136"/>
      <c r="O666" s="41">
        <v>6</v>
      </c>
      <c r="P666" s="159">
        <v>2014</v>
      </c>
    </row>
    <row r="667" spans="1:16">
      <c r="A667" s="131">
        <v>21</v>
      </c>
      <c r="B667" s="131" t="s">
        <v>684</v>
      </c>
      <c r="C667" s="132" t="s">
        <v>702</v>
      </c>
      <c r="D667" s="133" t="s">
        <v>701</v>
      </c>
      <c r="E667" s="134">
        <v>1</v>
      </c>
      <c r="F667" s="81" t="s">
        <v>666</v>
      </c>
      <c r="G667" s="68" t="s">
        <v>651</v>
      </c>
      <c r="H667" s="68">
        <v>1</v>
      </c>
      <c r="I667" s="68">
        <v>98000</v>
      </c>
      <c r="J667" s="68">
        <v>98000</v>
      </c>
      <c r="K667" s="152"/>
      <c r="L667" s="152"/>
      <c r="M667" s="152"/>
      <c r="N667" s="136"/>
      <c r="O667" s="41">
        <v>6</v>
      </c>
      <c r="P667" s="159">
        <v>2014</v>
      </c>
    </row>
    <row r="668" spans="1:16">
      <c r="A668" s="131">
        <v>21</v>
      </c>
      <c r="B668" s="131" t="s">
        <v>684</v>
      </c>
      <c r="C668" s="132" t="s">
        <v>702</v>
      </c>
      <c r="D668" s="133" t="s">
        <v>701</v>
      </c>
      <c r="E668" s="134">
        <v>1</v>
      </c>
      <c r="G668" s="68"/>
      <c r="I668" s="68"/>
      <c r="J668" s="68"/>
      <c r="K668" s="152">
        <v>183000</v>
      </c>
      <c r="L668" s="152"/>
      <c r="M668" s="152">
        <v>183000</v>
      </c>
      <c r="N668" s="136"/>
      <c r="O668" s="41">
        <v>6</v>
      </c>
      <c r="P668" s="159">
        <v>2014</v>
      </c>
    </row>
    <row r="669" spans="1:16">
      <c r="A669" s="137">
        <v>21</v>
      </c>
      <c r="B669" s="137" t="s">
        <v>684</v>
      </c>
      <c r="C669" s="138" t="s">
        <v>702</v>
      </c>
      <c r="D669" s="139" t="s">
        <v>701</v>
      </c>
      <c r="E669" s="140">
        <v>2</v>
      </c>
      <c r="F669" s="141"/>
      <c r="G669" s="142"/>
      <c r="H669" s="142"/>
      <c r="I669" s="142"/>
      <c r="J669" s="142"/>
      <c r="K669" s="143"/>
      <c r="L669" s="143"/>
      <c r="M669" s="143"/>
      <c r="N669" s="144"/>
      <c r="O669" s="41">
        <v>6</v>
      </c>
      <c r="P669" s="159">
        <v>2014</v>
      </c>
    </row>
    <row r="670" spans="1:16">
      <c r="A670" s="131">
        <v>21</v>
      </c>
      <c r="B670" s="131" t="s">
        <v>684</v>
      </c>
      <c r="C670" s="132" t="s">
        <v>702</v>
      </c>
      <c r="D670" s="133" t="s">
        <v>701</v>
      </c>
      <c r="E670" s="134">
        <v>2</v>
      </c>
      <c r="F670" s="81" t="s">
        <v>678</v>
      </c>
      <c r="G670" s="68" t="s">
        <v>698</v>
      </c>
      <c r="H670" s="68">
        <v>1</v>
      </c>
      <c r="I670" s="68">
        <v>195000</v>
      </c>
      <c r="J670" s="68">
        <v>195000</v>
      </c>
      <c r="K670" s="152"/>
      <c r="L670" s="152"/>
      <c r="M670" s="152"/>
      <c r="N670" s="136"/>
      <c r="O670" s="41">
        <v>6</v>
      </c>
      <c r="P670" s="159">
        <v>2014</v>
      </c>
    </row>
    <row r="671" spans="1:16">
      <c r="A671" s="131">
        <v>21</v>
      </c>
      <c r="B671" s="131" t="s">
        <v>684</v>
      </c>
      <c r="C671" s="132" t="s">
        <v>702</v>
      </c>
      <c r="D671" s="133" t="s">
        <v>701</v>
      </c>
      <c r="E671" s="134">
        <v>2</v>
      </c>
      <c r="G671" s="68"/>
      <c r="I671" s="68"/>
      <c r="J671" s="68"/>
      <c r="K671" s="152">
        <v>195000</v>
      </c>
      <c r="L671" s="152"/>
      <c r="M671" s="152">
        <v>195000</v>
      </c>
      <c r="N671" s="136"/>
      <c r="O671" s="41">
        <v>6</v>
      </c>
      <c r="P671" s="159">
        <v>2014</v>
      </c>
    </row>
    <row r="672" spans="1:16">
      <c r="A672" s="137">
        <v>21</v>
      </c>
      <c r="B672" s="137" t="s">
        <v>684</v>
      </c>
      <c r="C672" s="138" t="s">
        <v>702</v>
      </c>
      <c r="D672" s="139" t="s">
        <v>701</v>
      </c>
      <c r="E672" s="140">
        <v>3</v>
      </c>
      <c r="F672" s="141"/>
      <c r="G672" s="142"/>
      <c r="H672" s="142"/>
      <c r="I672" s="142"/>
      <c r="J672" s="142"/>
      <c r="K672" s="143"/>
      <c r="L672" s="143"/>
      <c r="M672" s="143"/>
      <c r="N672" s="144"/>
      <c r="O672" s="41">
        <v>6</v>
      </c>
      <c r="P672" s="159">
        <v>2014</v>
      </c>
    </row>
    <row r="673" spans="1:16">
      <c r="A673" s="131">
        <v>21</v>
      </c>
      <c r="B673" s="131" t="s">
        <v>684</v>
      </c>
      <c r="C673" s="132" t="s">
        <v>702</v>
      </c>
      <c r="D673" s="133" t="s">
        <v>701</v>
      </c>
      <c r="E673" s="134">
        <v>3</v>
      </c>
      <c r="F673" s="81" t="s">
        <v>678</v>
      </c>
      <c r="G673" s="68" t="s">
        <v>698</v>
      </c>
      <c r="H673" s="68">
        <v>2</v>
      </c>
      <c r="I673" s="68">
        <v>195000</v>
      </c>
      <c r="J673" s="68">
        <v>390000</v>
      </c>
      <c r="K673" s="152"/>
      <c r="L673" s="152"/>
      <c r="M673" s="152"/>
      <c r="N673" s="136"/>
      <c r="O673" s="41">
        <v>6</v>
      </c>
      <c r="P673" s="159">
        <v>2014</v>
      </c>
    </row>
    <row r="674" spans="1:16">
      <c r="A674" s="131">
        <v>21</v>
      </c>
      <c r="B674" s="131" t="s">
        <v>684</v>
      </c>
      <c r="C674" s="132" t="s">
        <v>702</v>
      </c>
      <c r="D674" s="133" t="s">
        <v>701</v>
      </c>
      <c r="E674" s="134">
        <v>3</v>
      </c>
      <c r="G674" s="68"/>
      <c r="I674" s="68"/>
      <c r="J674" s="68"/>
      <c r="K674" s="152">
        <v>390000</v>
      </c>
      <c r="L674" s="152"/>
      <c r="M674" s="152">
        <v>390000</v>
      </c>
      <c r="N674" s="136"/>
      <c r="O674" s="41">
        <v>6</v>
      </c>
      <c r="P674" s="159">
        <v>2014</v>
      </c>
    </row>
    <row r="675" spans="1:16">
      <c r="A675" s="145">
        <v>21</v>
      </c>
      <c r="B675" s="145" t="s">
        <v>681</v>
      </c>
      <c r="C675" s="146" t="s">
        <v>687</v>
      </c>
      <c r="D675" s="147" t="s">
        <v>701</v>
      </c>
      <c r="E675" s="148">
        <v>1</v>
      </c>
      <c r="F675" s="141"/>
      <c r="G675" s="149"/>
      <c r="H675" s="142"/>
      <c r="I675" s="149"/>
      <c r="J675" s="149"/>
      <c r="K675" s="150"/>
      <c r="L675" s="150"/>
      <c r="M675" s="150"/>
      <c r="N675" s="151"/>
      <c r="O675" s="41">
        <v>6</v>
      </c>
      <c r="P675" s="159">
        <v>2014</v>
      </c>
    </row>
    <row r="676" spans="1:16">
      <c r="A676" s="43">
        <v>21</v>
      </c>
      <c r="B676" s="43" t="s">
        <v>681</v>
      </c>
      <c r="C676" s="52" t="s">
        <v>687</v>
      </c>
      <c r="D676" s="94" t="s">
        <v>701</v>
      </c>
      <c r="E676" s="89">
        <v>1</v>
      </c>
      <c r="F676" s="81" t="s">
        <v>686</v>
      </c>
      <c r="G676" t="s">
        <v>682</v>
      </c>
      <c r="H676" s="68">
        <v>1</v>
      </c>
      <c r="I676">
        <v>115000</v>
      </c>
      <c r="J676">
        <v>115000</v>
      </c>
      <c r="O676" s="41">
        <v>6</v>
      </c>
      <c r="P676" s="159">
        <v>2014</v>
      </c>
    </row>
    <row r="677" spans="1:16">
      <c r="A677" s="43">
        <v>21</v>
      </c>
      <c r="B677" s="43" t="s">
        <v>681</v>
      </c>
      <c r="C677" s="52" t="s">
        <v>687</v>
      </c>
      <c r="D677" s="94" t="s">
        <v>701</v>
      </c>
      <c r="E677" s="89">
        <v>1</v>
      </c>
      <c r="F677" s="81" t="s">
        <v>691</v>
      </c>
      <c r="G677" t="s">
        <v>714</v>
      </c>
      <c r="H677" s="68">
        <v>1</v>
      </c>
      <c r="I677">
        <v>115000</v>
      </c>
      <c r="J677">
        <v>115000</v>
      </c>
      <c r="O677" s="41">
        <v>6</v>
      </c>
      <c r="P677" s="159">
        <v>2014</v>
      </c>
    </row>
    <row r="678" spans="1:16">
      <c r="A678" s="43">
        <v>21</v>
      </c>
      <c r="B678" s="43" t="s">
        <v>681</v>
      </c>
      <c r="C678" s="52" t="s">
        <v>687</v>
      </c>
      <c r="D678" s="94" t="s">
        <v>701</v>
      </c>
      <c r="E678" s="89">
        <v>1</v>
      </c>
      <c r="F678" s="81" t="s">
        <v>707</v>
      </c>
      <c r="G678" t="s">
        <v>708</v>
      </c>
      <c r="H678" s="68">
        <v>1</v>
      </c>
      <c r="I678">
        <v>115000</v>
      </c>
      <c r="J678">
        <v>115000</v>
      </c>
      <c r="O678" s="41">
        <v>6</v>
      </c>
      <c r="P678" s="159">
        <v>2014</v>
      </c>
    </row>
    <row r="679" spans="1:16">
      <c r="A679" s="43">
        <v>21</v>
      </c>
      <c r="B679" s="43" t="s">
        <v>681</v>
      </c>
      <c r="C679" s="52" t="s">
        <v>687</v>
      </c>
      <c r="D679" s="94" t="s">
        <v>701</v>
      </c>
      <c r="E679" s="89">
        <v>1</v>
      </c>
      <c r="K679" s="41">
        <v>345000</v>
      </c>
      <c r="M679" s="41">
        <v>345000</v>
      </c>
      <c r="O679" s="41">
        <v>6</v>
      </c>
      <c r="P679" s="159">
        <v>2014</v>
      </c>
    </row>
    <row r="680" spans="1:16">
      <c r="A680" s="145">
        <v>22</v>
      </c>
      <c r="B680" s="145" t="s">
        <v>681</v>
      </c>
      <c r="C680" s="146" t="s">
        <v>687</v>
      </c>
      <c r="D680" s="147" t="s">
        <v>701</v>
      </c>
      <c r="E680" s="148">
        <v>1</v>
      </c>
      <c r="F680" s="141"/>
      <c r="G680" s="149"/>
      <c r="H680" s="142"/>
      <c r="I680" s="149"/>
      <c r="J680" s="149"/>
      <c r="K680" s="150"/>
      <c r="L680" s="150"/>
      <c r="M680" s="150"/>
      <c r="N680" s="151"/>
      <c r="O680" s="41">
        <v>6</v>
      </c>
      <c r="P680" s="159">
        <v>2014</v>
      </c>
    </row>
    <row r="681" spans="1:16">
      <c r="A681" s="43">
        <v>22</v>
      </c>
      <c r="B681" s="43" t="s">
        <v>681</v>
      </c>
      <c r="C681" s="52" t="s">
        <v>687</v>
      </c>
      <c r="D681" s="94" t="s">
        <v>701</v>
      </c>
      <c r="E681" s="89">
        <v>1</v>
      </c>
      <c r="F681" s="81" t="s">
        <v>697</v>
      </c>
      <c r="G681" t="s">
        <v>698</v>
      </c>
      <c r="H681" s="68">
        <v>1</v>
      </c>
      <c r="I681">
        <v>195000</v>
      </c>
      <c r="J681">
        <v>195000</v>
      </c>
      <c r="O681" s="41">
        <v>6</v>
      </c>
      <c r="P681" s="159">
        <v>2014</v>
      </c>
    </row>
    <row r="682" spans="1:16">
      <c r="A682" s="43">
        <v>22</v>
      </c>
      <c r="B682" s="43" t="s">
        <v>681</v>
      </c>
      <c r="C682" s="52" t="s">
        <v>687</v>
      </c>
      <c r="D682" s="94" t="s">
        <v>701</v>
      </c>
      <c r="E682" s="89">
        <v>1</v>
      </c>
      <c r="F682" s="81" t="s">
        <v>694</v>
      </c>
      <c r="G682" t="s">
        <v>652</v>
      </c>
      <c r="H682" s="68">
        <v>2</v>
      </c>
      <c r="I682">
        <v>98000</v>
      </c>
      <c r="J682">
        <v>196000</v>
      </c>
      <c r="O682" s="41">
        <v>6</v>
      </c>
      <c r="P682" s="159">
        <v>2014</v>
      </c>
    </row>
    <row r="683" spans="1:16">
      <c r="A683" s="43">
        <v>22</v>
      </c>
      <c r="B683" s="43" t="s">
        <v>681</v>
      </c>
      <c r="C683" s="52" t="s">
        <v>687</v>
      </c>
      <c r="D683" s="94" t="s">
        <v>701</v>
      </c>
      <c r="E683" s="89">
        <v>1</v>
      </c>
      <c r="F683" s="81" t="s">
        <v>695</v>
      </c>
      <c r="G683" t="s">
        <v>696</v>
      </c>
      <c r="H683" s="68">
        <v>1</v>
      </c>
      <c r="I683">
        <v>115000</v>
      </c>
      <c r="J683">
        <v>115000</v>
      </c>
      <c r="O683" s="41">
        <v>6</v>
      </c>
      <c r="P683" s="159">
        <v>2014</v>
      </c>
    </row>
    <row r="684" spans="1:16">
      <c r="A684" s="43">
        <v>22</v>
      </c>
      <c r="B684" s="43" t="s">
        <v>681</v>
      </c>
      <c r="C684" s="52" t="s">
        <v>687</v>
      </c>
      <c r="D684" s="94" t="s">
        <v>701</v>
      </c>
      <c r="E684" s="89">
        <v>1</v>
      </c>
      <c r="F684" s="81" t="s">
        <v>709</v>
      </c>
      <c r="G684" t="s">
        <v>710</v>
      </c>
      <c r="H684" s="68">
        <v>1</v>
      </c>
      <c r="I684">
        <v>155000</v>
      </c>
      <c r="J684">
        <v>155000</v>
      </c>
      <c r="O684" s="41">
        <v>6</v>
      </c>
      <c r="P684" s="159">
        <v>2014</v>
      </c>
    </row>
    <row r="685" spans="1:16">
      <c r="A685" s="43">
        <v>22</v>
      </c>
      <c r="B685" s="43" t="s">
        <v>681</v>
      </c>
      <c r="C685" s="52" t="s">
        <v>687</v>
      </c>
      <c r="D685" s="94" t="s">
        <v>701</v>
      </c>
      <c r="E685" s="89">
        <v>1</v>
      </c>
      <c r="F685" s="81" t="s">
        <v>691</v>
      </c>
      <c r="G685" t="s">
        <v>657</v>
      </c>
      <c r="H685" s="68">
        <v>1</v>
      </c>
      <c r="I685">
        <v>98000</v>
      </c>
      <c r="J685">
        <v>98000</v>
      </c>
      <c r="O685" s="41">
        <v>6</v>
      </c>
      <c r="P685" s="159">
        <v>2014</v>
      </c>
    </row>
    <row r="686" spans="1:16">
      <c r="A686" s="43">
        <v>22</v>
      </c>
      <c r="B686" s="43" t="s">
        <v>681</v>
      </c>
      <c r="C686" s="52" t="s">
        <v>687</v>
      </c>
      <c r="D686" s="94" t="s">
        <v>701</v>
      </c>
      <c r="E686" s="89">
        <v>1</v>
      </c>
      <c r="K686" s="41">
        <v>759000</v>
      </c>
      <c r="M686" s="41">
        <v>759000</v>
      </c>
      <c r="O686" s="41">
        <v>6</v>
      </c>
      <c r="P686" s="159">
        <v>2014</v>
      </c>
    </row>
    <row r="687" spans="1:16">
      <c r="A687" s="145">
        <v>16</v>
      </c>
      <c r="B687" s="145" t="s">
        <v>684</v>
      </c>
      <c r="C687" s="146" t="s">
        <v>685</v>
      </c>
      <c r="D687" s="147" t="s">
        <v>701</v>
      </c>
      <c r="E687" s="148">
        <v>1</v>
      </c>
      <c r="F687" s="141"/>
      <c r="G687" s="149"/>
      <c r="H687" s="142"/>
      <c r="I687" s="149"/>
      <c r="J687" s="149"/>
      <c r="K687" s="153"/>
      <c r="L687" s="153"/>
      <c r="M687" s="153"/>
      <c r="N687" s="151"/>
      <c r="O687" s="41">
        <v>6</v>
      </c>
      <c r="P687" s="159">
        <v>2014</v>
      </c>
    </row>
    <row r="688" spans="1:16">
      <c r="A688" s="43">
        <v>16</v>
      </c>
      <c r="B688" s="43" t="s">
        <v>684</v>
      </c>
      <c r="C688" s="52" t="s">
        <v>685</v>
      </c>
      <c r="D688" s="94" t="s">
        <v>701</v>
      </c>
      <c r="E688" s="89">
        <v>1</v>
      </c>
      <c r="F688" s="81" t="s">
        <v>699</v>
      </c>
      <c r="G688" t="s">
        <v>650</v>
      </c>
      <c r="H688" s="68">
        <v>1</v>
      </c>
      <c r="I688">
        <v>98000</v>
      </c>
      <c r="J688">
        <v>98000</v>
      </c>
      <c r="O688" s="41">
        <v>6</v>
      </c>
      <c r="P688" s="159">
        <v>2014</v>
      </c>
    </row>
    <row r="689" spans="1:16">
      <c r="A689" s="43">
        <v>16</v>
      </c>
      <c r="B689" s="43" t="s">
        <v>684</v>
      </c>
      <c r="C689" s="52" t="s">
        <v>685</v>
      </c>
      <c r="D689" s="94" t="s">
        <v>701</v>
      </c>
      <c r="E689" s="89">
        <v>1</v>
      </c>
      <c r="K689" s="41">
        <v>98000</v>
      </c>
      <c r="M689" s="41">
        <v>98000</v>
      </c>
      <c r="N689" s="40" t="s">
        <v>715</v>
      </c>
      <c r="O689" s="41">
        <v>6</v>
      </c>
      <c r="P689" s="159">
        <v>2014</v>
      </c>
    </row>
    <row r="690" spans="1:16">
      <c r="A690" s="145">
        <v>16</v>
      </c>
      <c r="B690" s="145" t="s">
        <v>684</v>
      </c>
      <c r="C690" s="146" t="s">
        <v>685</v>
      </c>
      <c r="D690" s="147" t="s">
        <v>701</v>
      </c>
      <c r="E690" s="148">
        <v>2</v>
      </c>
      <c r="F690" s="141"/>
      <c r="G690" s="149"/>
      <c r="H690" s="142"/>
      <c r="I690" s="149"/>
      <c r="J690" s="149"/>
      <c r="K690" s="153"/>
      <c r="L690" s="153"/>
      <c r="M690" s="153"/>
      <c r="N690" s="151"/>
      <c r="O690" s="41">
        <v>6</v>
      </c>
      <c r="P690" s="159">
        <v>2014</v>
      </c>
    </row>
    <row r="691" spans="1:16">
      <c r="A691" s="43">
        <v>16</v>
      </c>
      <c r="B691" s="43" t="s">
        <v>684</v>
      </c>
      <c r="C691" s="52" t="s">
        <v>685</v>
      </c>
      <c r="D691" s="94" t="s">
        <v>701</v>
      </c>
      <c r="E691" s="89">
        <v>2</v>
      </c>
      <c r="F691" s="81" t="s">
        <v>686</v>
      </c>
      <c r="G691" t="s">
        <v>682</v>
      </c>
      <c r="H691" s="68">
        <v>1</v>
      </c>
      <c r="I691">
        <v>115000</v>
      </c>
      <c r="J691">
        <v>115000</v>
      </c>
      <c r="O691" s="41">
        <v>6</v>
      </c>
      <c r="P691" s="159">
        <v>2014</v>
      </c>
    </row>
    <row r="692" spans="1:16">
      <c r="A692" s="43">
        <v>16</v>
      </c>
      <c r="B692" s="43" t="s">
        <v>684</v>
      </c>
      <c r="C692" s="52" t="s">
        <v>685</v>
      </c>
      <c r="D692" s="94" t="s">
        <v>701</v>
      </c>
      <c r="E692" s="89">
        <v>2</v>
      </c>
      <c r="K692" s="41">
        <v>115000</v>
      </c>
      <c r="M692" s="41">
        <v>115000</v>
      </c>
      <c r="O692" s="41">
        <v>6</v>
      </c>
      <c r="P692" s="159">
        <v>2014</v>
      </c>
    </row>
    <row r="693" spans="1:16">
      <c r="A693" s="145">
        <v>16</v>
      </c>
      <c r="B693" s="145" t="s">
        <v>684</v>
      </c>
      <c r="C693" s="146" t="s">
        <v>685</v>
      </c>
      <c r="D693" s="147" t="s">
        <v>701</v>
      </c>
      <c r="E693" s="148">
        <v>3</v>
      </c>
      <c r="F693" s="141"/>
      <c r="G693" s="149"/>
      <c r="H693" s="142"/>
      <c r="I693" s="149"/>
      <c r="J693" s="149"/>
      <c r="K693" s="153"/>
      <c r="L693" s="153"/>
      <c r="M693" s="153"/>
      <c r="N693" s="151"/>
      <c r="O693" s="41">
        <v>6</v>
      </c>
      <c r="P693" s="159">
        <v>2014</v>
      </c>
    </row>
    <row r="694" spans="1:16">
      <c r="A694" s="43">
        <v>16</v>
      </c>
      <c r="B694" s="43" t="s">
        <v>684</v>
      </c>
      <c r="C694" s="52" t="s">
        <v>685</v>
      </c>
      <c r="D694" s="94" t="s">
        <v>701</v>
      </c>
      <c r="E694" s="89">
        <v>3</v>
      </c>
      <c r="F694" s="81" t="s">
        <v>680</v>
      </c>
      <c r="G694" t="s">
        <v>651</v>
      </c>
      <c r="H694" s="68">
        <v>1</v>
      </c>
      <c r="I694">
        <v>98000</v>
      </c>
      <c r="J694">
        <v>98000</v>
      </c>
      <c r="O694" s="41">
        <v>6</v>
      </c>
      <c r="P694" s="159">
        <v>2014</v>
      </c>
    </row>
    <row r="695" spans="1:16">
      <c r="A695" s="43">
        <v>16</v>
      </c>
      <c r="B695" s="43" t="s">
        <v>684</v>
      </c>
      <c r="C695" s="52" t="s">
        <v>685</v>
      </c>
      <c r="D695" s="94" t="s">
        <v>701</v>
      </c>
      <c r="E695" s="89">
        <v>3</v>
      </c>
      <c r="K695" s="41">
        <v>98000</v>
      </c>
      <c r="M695" s="41">
        <v>98000</v>
      </c>
      <c r="O695" s="41">
        <v>6</v>
      </c>
      <c r="P695" s="159">
        <v>2014</v>
      </c>
    </row>
    <row r="696" spans="1:16">
      <c r="A696" s="145">
        <v>16</v>
      </c>
      <c r="B696" s="145" t="s">
        <v>684</v>
      </c>
      <c r="C696" s="146" t="s">
        <v>685</v>
      </c>
      <c r="D696" s="147" t="s">
        <v>701</v>
      </c>
      <c r="E696" s="148">
        <v>4</v>
      </c>
      <c r="F696" s="141"/>
      <c r="G696" s="149"/>
      <c r="H696" s="142"/>
      <c r="I696" s="149"/>
      <c r="J696" s="149"/>
      <c r="K696" s="153"/>
      <c r="L696" s="153"/>
      <c r="M696" s="153"/>
      <c r="N696" s="151"/>
      <c r="O696" s="41">
        <v>6</v>
      </c>
      <c r="P696" s="159">
        <v>2014</v>
      </c>
    </row>
    <row r="697" spans="1:16">
      <c r="A697" s="43">
        <v>16</v>
      </c>
      <c r="B697" s="43" t="s">
        <v>684</v>
      </c>
      <c r="C697" s="52" t="s">
        <v>685</v>
      </c>
      <c r="D697" s="94" t="s">
        <v>701</v>
      </c>
      <c r="E697" s="89">
        <v>4</v>
      </c>
      <c r="F697" s="81" t="s">
        <v>689</v>
      </c>
      <c r="G697" t="s">
        <v>690</v>
      </c>
      <c r="H697" s="68">
        <v>1</v>
      </c>
      <c r="I697">
        <v>85000</v>
      </c>
      <c r="J697">
        <v>85000</v>
      </c>
      <c r="O697" s="41">
        <v>6</v>
      </c>
      <c r="P697" s="159">
        <v>2014</v>
      </c>
    </row>
    <row r="698" spans="1:16">
      <c r="A698" s="43">
        <v>16</v>
      </c>
      <c r="B698" s="43" t="s">
        <v>684</v>
      </c>
      <c r="C698" s="52" t="s">
        <v>685</v>
      </c>
      <c r="D698" s="94" t="s">
        <v>701</v>
      </c>
      <c r="E698" s="89">
        <v>4</v>
      </c>
      <c r="F698" s="81" t="s">
        <v>699</v>
      </c>
      <c r="G698" t="s">
        <v>650</v>
      </c>
      <c r="H698" s="68">
        <v>1</v>
      </c>
      <c r="I698">
        <v>98000</v>
      </c>
      <c r="J698">
        <v>98000</v>
      </c>
      <c r="O698" s="41">
        <v>6</v>
      </c>
      <c r="P698" s="159">
        <v>2014</v>
      </c>
    </row>
    <row r="699" spans="1:16">
      <c r="A699" s="43">
        <v>16</v>
      </c>
      <c r="B699" s="43" t="s">
        <v>684</v>
      </c>
      <c r="C699" s="52" t="s">
        <v>685</v>
      </c>
      <c r="D699" s="94" t="s">
        <v>701</v>
      </c>
      <c r="E699" s="89">
        <v>4</v>
      </c>
      <c r="K699" s="41">
        <v>183000</v>
      </c>
      <c r="M699" s="41">
        <v>183000</v>
      </c>
      <c r="O699" s="41">
        <v>6</v>
      </c>
      <c r="P699" s="159">
        <v>2014</v>
      </c>
    </row>
    <row r="700" spans="1:16">
      <c r="A700" s="145">
        <v>16</v>
      </c>
      <c r="B700" s="145" t="s">
        <v>684</v>
      </c>
      <c r="C700" s="146" t="s">
        <v>685</v>
      </c>
      <c r="D700" s="147" t="s">
        <v>701</v>
      </c>
      <c r="E700" s="148">
        <v>5</v>
      </c>
      <c r="F700" s="141"/>
      <c r="G700" s="149"/>
      <c r="H700" s="142"/>
      <c r="I700" s="149"/>
      <c r="J700" s="149"/>
      <c r="K700" s="153"/>
      <c r="L700" s="153"/>
      <c r="M700" s="153"/>
      <c r="N700" s="151"/>
      <c r="O700" s="41">
        <v>6</v>
      </c>
      <c r="P700" s="159">
        <v>2014</v>
      </c>
    </row>
    <row r="701" spans="1:16">
      <c r="A701" s="43">
        <v>16</v>
      </c>
      <c r="B701" s="43" t="s">
        <v>684</v>
      </c>
      <c r="C701" s="52" t="s">
        <v>685</v>
      </c>
      <c r="D701" s="94" t="s">
        <v>701</v>
      </c>
      <c r="E701" s="89">
        <v>5</v>
      </c>
      <c r="F701" s="81" t="s">
        <v>697</v>
      </c>
      <c r="G701" t="s">
        <v>698</v>
      </c>
      <c r="H701" s="68">
        <v>1</v>
      </c>
      <c r="I701">
        <v>195000</v>
      </c>
      <c r="J701">
        <v>195000</v>
      </c>
      <c r="O701" s="41">
        <v>6</v>
      </c>
      <c r="P701" s="159">
        <v>2014</v>
      </c>
    </row>
    <row r="702" spans="1:16">
      <c r="A702" s="43">
        <v>16</v>
      </c>
      <c r="B702" s="43" t="s">
        <v>684</v>
      </c>
      <c r="C702" s="52" t="s">
        <v>685</v>
      </c>
      <c r="D702" s="94" t="s">
        <v>701</v>
      </c>
      <c r="E702" s="89">
        <v>5</v>
      </c>
      <c r="K702" s="41">
        <v>195000</v>
      </c>
      <c r="M702" s="41">
        <v>195000</v>
      </c>
      <c r="O702" s="41">
        <v>6</v>
      </c>
      <c r="P702" s="159">
        <v>2014</v>
      </c>
    </row>
    <row r="703" spans="1:16">
      <c r="A703" s="145">
        <v>16</v>
      </c>
      <c r="B703" s="145" t="s">
        <v>684</v>
      </c>
      <c r="C703" s="146" t="s">
        <v>685</v>
      </c>
      <c r="D703" s="147" t="s">
        <v>701</v>
      </c>
      <c r="E703" s="148">
        <v>6</v>
      </c>
      <c r="F703" s="141"/>
      <c r="G703" s="149"/>
      <c r="H703" s="142"/>
      <c r="I703" s="149"/>
      <c r="J703" s="149"/>
      <c r="K703" s="153"/>
      <c r="L703" s="153"/>
      <c r="M703" s="153"/>
      <c r="N703" s="151"/>
      <c r="O703" s="41">
        <v>6</v>
      </c>
      <c r="P703" s="159">
        <v>2014</v>
      </c>
    </row>
    <row r="704" spans="1:16">
      <c r="A704" s="43">
        <v>16</v>
      </c>
      <c r="B704" s="43" t="s">
        <v>684</v>
      </c>
      <c r="C704" s="52" t="s">
        <v>685</v>
      </c>
      <c r="D704" s="94" t="s">
        <v>701</v>
      </c>
      <c r="E704" s="89">
        <v>6</v>
      </c>
      <c r="F704" s="81" t="s">
        <v>689</v>
      </c>
      <c r="G704" t="s">
        <v>690</v>
      </c>
      <c r="H704" s="68">
        <v>1</v>
      </c>
      <c r="I704">
        <v>85000</v>
      </c>
      <c r="J704">
        <v>85000</v>
      </c>
      <c r="O704" s="41">
        <v>6</v>
      </c>
      <c r="P704" s="159">
        <v>2014</v>
      </c>
    </row>
    <row r="705" spans="1:16">
      <c r="A705" s="43">
        <v>16</v>
      </c>
      <c r="B705" s="43" t="s">
        <v>684</v>
      </c>
      <c r="C705" s="52" t="s">
        <v>685</v>
      </c>
      <c r="D705" s="94" t="s">
        <v>701</v>
      </c>
      <c r="E705" s="89">
        <v>6</v>
      </c>
      <c r="K705" s="41">
        <v>85000</v>
      </c>
      <c r="M705" s="41">
        <v>85000</v>
      </c>
      <c r="O705" s="41">
        <v>6</v>
      </c>
      <c r="P705" s="159">
        <v>2014</v>
      </c>
    </row>
    <row r="706" spans="1:16">
      <c r="A706" s="145">
        <v>16</v>
      </c>
      <c r="B706" s="145" t="s">
        <v>684</v>
      </c>
      <c r="C706" s="146" t="s">
        <v>685</v>
      </c>
      <c r="D706" s="147" t="s">
        <v>701</v>
      </c>
      <c r="E706" s="148">
        <v>7</v>
      </c>
      <c r="F706" s="141"/>
      <c r="G706" s="149"/>
      <c r="H706" s="142"/>
      <c r="I706" s="149"/>
      <c r="J706" s="149"/>
      <c r="K706" s="153"/>
      <c r="L706" s="153"/>
      <c r="M706" s="153"/>
      <c r="N706" s="151"/>
      <c r="O706" s="41">
        <v>6</v>
      </c>
      <c r="P706" s="159">
        <v>2014</v>
      </c>
    </row>
    <row r="707" spans="1:16">
      <c r="A707" s="43">
        <v>16</v>
      </c>
      <c r="B707" s="43" t="s">
        <v>684</v>
      </c>
      <c r="C707" s="52" t="s">
        <v>685</v>
      </c>
      <c r="D707" s="94" t="s">
        <v>701</v>
      </c>
      <c r="E707" s="89">
        <v>7</v>
      </c>
      <c r="F707" s="81" t="s">
        <v>707</v>
      </c>
      <c r="G707" t="s">
        <v>708</v>
      </c>
      <c r="H707" s="68">
        <v>1</v>
      </c>
      <c r="I707">
        <v>115000</v>
      </c>
      <c r="J707">
        <v>115000</v>
      </c>
      <c r="O707" s="41">
        <v>6</v>
      </c>
      <c r="P707" s="159">
        <v>2014</v>
      </c>
    </row>
    <row r="708" spans="1:16">
      <c r="A708" s="43">
        <v>16</v>
      </c>
      <c r="B708" s="43" t="s">
        <v>684</v>
      </c>
      <c r="C708" s="52" t="s">
        <v>685</v>
      </c>
      <c r="D708" s="94" t="s">
        <v>701</v>
      </c>
      <c r="E708" s="89">
        <v>7</v>
      </c>
      <c r="K708" s="41">
        <v>115000</v>
      </c>
      <c r="M708" s="41">
        <v>115000</v>
      </c>
      <c r="O708" s="41">
        <v>6</v>
      </c>
      <c r="P708" s="159">
        <v>2014</v>
      </c>
    </row>
    <row r="709" spans="1:16">
      <c r="A709" s="145">
        <v>18</v>
      </c>
      <c r="B709" s="145" t="s">
        <v>684</v>
      </c>
      <c r="C709" s="146" t="s">
        <v>685</v>
      </c>
      <c r="D709" s="147" t="s">
        <v>701</v>
      </c>
      <c r="E709" s="148">
        <v>1</v>
      </c>
      <c r="F709" s="141"/>
      <c r="G709" s="149"/>
      <c r="H709" s="142"/>
      <c r="I709" s="149"/>
      <c r="J709" s="149"/>
      <c r="K709" s="153"/>
      <c r="L709" s="153"/>
      <c r="M709" s="153"/>
      <c r="N709" s="151"/>
      <c r="O709" s="41">
        <v>6</v>
      </c>
      <c r="P709" s="159">
        <v>2014</v>
      </c>
    </row>
    <row r="710" spans="1:16">
      <c r="A710" s="43">
        <v>18</v>
      </c>
      <c r="B710" s="43" t="s">
        <v>684</v>
      </c>
      <c r="C710" s="52" t="s">
        <v>685</v>
      </c>
      <c r="D710" s="94" t="s">
        <v>701</v>
      </c>
      <c r="E710" s="89">
        <v>1</v>
      </c>
      <c r="F710" s="81" t="s">
        <v>699</v>
      </c>
      <c r="G710" t="s">
        <v>650</v>
      </c>
      <c r="H710" s="68">
        <v>1</v>
      </c>
      <c r="I710">
        <v>85000</v>
      </c>
      <c r="J710">
        <v>85000</v>
      </c>
      <c r="O710" s="41">
        <v>6</v>
      </c>
      <c r="P710" s="159">
        <v>2014</v>
      </c>
    </row>
    <row r="711" spans="1:16">
      <c r="A711" s="43">
        <v>18</v>
      </c>
      <c r="B711" s="43" t="s">
        <v>684</v>
      </c>
      <c r="C711" s="52" t="s">
        <v>685</v>
      </c>
      <c r="D711" s="94" t="s">
        <v>701</v>
      </c>
      <c r="E711" s="89">
        <v>1</v>
      </c>
      <c r="F711" s="81" t="s">
        <v>680</v>
      </c>
      <c r="G711" t="s">
        <v>651</v>
      </c>
      <c r="H711" s="68">
        <v>1</v>
      </c>
      <c r="I711">
        <v>98000</v>
      </c>
      <c r="J711">
        <v>98000</v>
      </c>
      <c r="O711" s="41">
        <v>6</v>
      </c>
      <c r="P711" s="159">
        <v>2014</v>
      </c>
    </row>
    <row r="712" spans="1:16">
      <c r="A712" s="43">
        <v>18</v>
      </c>
      <c r="B712" s="43" t="s">
        <v>684</v>
      </c>
      <c r="C712" s="52" t="s">
        <v>685</v>
      </c>
      <c r="D712" s="94" t="s">
        <v>701</v>
      </c>
      <c r="E712" s="89">
        <v>1</v>
      </c>
      <c r="K712" s="41">
        <v>183000</v>
      </c>
      <c r="M712" s="41">
        <v>183000</v>
      </c>
      <c r="O712" s="41">
        <v>6</v>
      </c>
      <c r="P712" s="159">
        <v>2014</v>
      </c>
    </row>
    <row r="713" spans="1:16">
      <c r="A713" s="145">
        <v>18</v>
      </c>
      <c r="B713" s="145" t="s">
        <v>684</v>
      </c>
      <c r="C713" s="146" t="s">
        <v>685</v>
      </c>
      <c r="D713" s="147" t="s">
        <v>701</v>
      </c>
      <c r="E713" s="148">
        <v>2</v>
      </c>
      <c r="F713" s="141"/>
      <c r="G713" s="149"/>
      <c r="H713" s="142"/>
      <c r="I713" s="149"/>
      <c r="J713" s="149"/>
      <c r="K713" s="153"/>
      <c r="L713" s="153"/>
      <c r="M713" s="153"/>
      <c r="N713" s="151"/>
      <c r="O713" s="41">
        <v>6</v>
      </c>
      <c r="P713" s="159">
        <v>2014</v>
      </c>
    </row>
    <row r="714" spans="1:16">
      <c r="A714" s="43">
        <v>18</v>
      </c>
      <c r="B714" s="43" t="s">
        <v>684</v>
      </c>
      <c r="C714" s="52" t="s">
        <v>685</v>
      </c>
      <c r="D714" s="94" t="s">
        <v>701</v>
      </c>
      <c r="E714" s="89">
        <v>2</v>
      </c>
      <c r="F714" s="81" t="s">
        <v>680</v>
      </c>
      <c r="G714" t="s">
        <v>651</v>
      </c>
      <c r="H714" s="68">
        <v>1</v>
      </c>
      <c r="I714">
        <v>98000</v>
      </c>
      <c r="J714">
        <v>98000</v>
      </c>
      <c r="O714" s="41">
        <v>6</v>
      </c>
      <c r="P714" s="159">
        <v>2014</v>
      </c>
    </row>
    <row r="715" spans="1:16">
      <c r="A715" s="43">
        <v>18</v>
      </c>
      <c r="B715" s="43" t="s">
        <v>684</v>
      </c>
      <c r="C715" s="52" t="s">
        <v>685</v>
      </c>
      <c r="D715" s="94" t="s">
        <v>701</v>
      </c>
      <c r="E715" s="89">
        <v>2</v>
      </c>
      <c r="K715" s="41">
        <v>98000</v>
      </c>
      <c r="M715" s="41">
        <v>98000</v>
      </c>
      <c r="O715" s="41">
        <v>6</v>
      </c>
      <c r="P715" s="159">
        <v>2014</v>
      </c>
    </row>
    <row r="716" spans="1:16">
      <c r="A716" s="145">
        <v>18</v>
      </c>
      <c r="B716" s="145" t="s">
        <v>684</v>
      </c>
      <c r="C716" s="146" t="s">
        <v>685</v>
      </c>
      <c r="D716" s="147" t="s">
        <v>701</v>
      </c>
      <c r="E716" s="148">
        <v>3</v>
      </c>
      <c r="F716" s="141"/>
      <c r="G716" s="149"/>
      <c r="H716" s="142"/>
      <c r="I716" s="149"/>
      <c r="J716" s="149"/>
      <c r="K716" s="153"/>
      <c r="L716" s="153"/>
      <c r="M716" s="153"/>
      <c r="N716" s="151"/>
      <c r="O716" s="41">
        <v>6</v>
      </c>
      <c r="P716" s="159">
        <v>2014</v>
      </c>
    </row>
    <row r="717" spans="1:16">
      <c r="A717" s="43">
        <v>18</v>
      </c>
      <c r="B717" s="43" t="s">
        <v>684</v>
      </c>
      <c r="C717" s="52" t="s">
        <v>685</v>
      </c>
      <c r="D717" s="94" t="s">
        <v>701</v>
      </c>
      <c r="E717" s="89">
        <v>3</v>
      </c>
      <c r="F717" s="81" t="s">
        <v>707</v>
      </c>
      <c r="G717" t="s">
        <v>708</v>
      </c>
      <c r="H717" s="68">
        <v>1</v>
      </c>
      <c r="I717">
        <v>115000</v>
      </c>
      <c r="J717">
        <v>115000</v>
      </c>
      <c r="O717" s="41">
        <v>6</v>
      </c>
      <c r="P717" s="159">
        <v>2014</v>
      </c>
    </row>
    <row r="718" spans="1:16">
      <c r="A718" s="43">
        <v>18</v>
      </c>
      <c r="B718" s="43" t="s">
        <v>684</v>
      </c>
      <c r="C718" s="52" t="s">
        <v>685</v>
      </c>
      <c r="D718" s="94" t="s">
        <v>701</v>
      </c>
      <c r="E718" s="89">
        <v>3</v>
      </c>
      <c r="F718" s="81" t="s">
        <v>695</v>
      </c>
      <c r="G718" t="s">
        <v>696</v>
      </c>
      <c r="H718" s="68">
        <v>1</v>
      </c>
      <c r="I718">
        <v>115000</v>
      </c>
      <c r="J718">
        <v>115000</v>
      </c>
      <c r="O718" s="41">
        <v>6</v>
      </c>
      <c r="P718" s="159">
        <v>2014</v>
      </c>
    </row>
    <row r="719" spans="1:16">
      <c r="A719" s="43">
        <v>18</v>
      </c>
      <c r="B719" s="43" t="s">
        <v>684</v>
      </c>
      <c r="C719" s="52" t="s">
        <v>685</v>
      </c>
      <c r="D719" s="94" t="s">
        <v>701</v>
      </c>
      <c r="E719" s="89">
        <v>3</v>
      </c>
      <c r="K719" s="41">
        <v>230000</v>
      </c>
      <c r="M719" s="41">
        <v>230000</v>
      </c>
      <c r="O719" s="41">
        <v>6</v>
      </c>
      <c r="P719" s="159">
        <v>2014</v>
      </c>
    </row>
    <row r="720" spans="1:16">
      <c r="A720" s="145">
        <v>18</v>
      </c>
      <c r="B720" s="145" t="s">
        <v>684</v>
      </c>
      <c r="C720" s="146" t="s">
        <v>685</v>
      </c>
      <c r="D720" s="147" t="s">
        <v>701</v>
      </c>
      <c r="E720" s="148">
        <v>4</v>
      </c>
      <c r="F720" s="141"/>
      <c r="G720" s="149"/>
      <c r="H720" s="142"/>
      <c r="I720" s="149"/>
      <c r="J720" s="149"/>
      <c r="K720" s="153"/>
      <c r="L720" s="153"/>
      <c r="M720" s="153"/>
      <c r="N720" s="151"/>
      <c r="O720" s="41">
        <v>6</v>
      </c>
      <c r="P720" s="159">
        <v>2014</v>
      </c>
    </row>
    <row r="721" spans="1:16">
      <c r="A721" s="43">
        <v>18</v>
      </c>
      <c r="B721" s="43" t="s">
        <v>684</v>
      </c>
      <c r="C721" s="52" t="s">
        <v>685</v>
      </c>
      <c r="D721" s="94" t="s">
        <v>701</v>
      </c>
      <c r="E721" s="89">
        <v>4</v>
      </c>
      <c r="F721" s="81" t="s">
        <v>695</v>
      </c>
      <c r="G721" t="s">
        <v>696</v>
      </c>
      <c r="H721" s="68">
        <v>1</v>
      </c>
      <c r="I721">
        <v>115000</v>
      </c>
      <c r="J721">
        <v>115000</v>
      </c>
      <c r="O721" s="41">
        <v>6</v>
      </c>
      <c r="P721" s="159">
        <v>2014</v>
      </c>
    </row>
    <row r="722" spans="1:16">
      <c r="A722" s="43">
        <v>18</v>
      </c>
      <c r="B722" s="43" t="s">
        <v>684</v>
      </c>
      <c r="C722" s="52" t="s">
        <v>685</v>
      </c>
      <c r="D722" s="94" t="s">
        <v>701</v>
      </c>
      <c r="E722" s="89">
        <v>4</v>
      </c>
      <c r="K722" s="41">
        <v>115000</v>
      </c>
      <c r="M722" s="41">
        <v>115000</v>
      </c>
      <c r="O722" s="41">
        <v>6</v>
      </c>
      <c r="P722" s="159">
        <v>2014</v>
      </c>
    </row>
    <row r="723" spans="1:16">
      <c r="A723" s="145">
        <v>19</v>
      </c>
      <c r="B723" s="145" t="s">
        <v>684</v>
      </c>
      <c r="C723" s="146" t="s">
        <v>685</v>
      </c>
      <c r="D723" s="147" t="s">
        <v>701</v>
      </c>
      <c r="E723" s="148">
        <v>1</v>
      </c>
      <c r="F723" s="141"/>
      <c r="G723" s="149"/>
      <c r="H723" s="142"/>
      <c r="I723" s="149"/>
      <c r="J723" s="149"/>
      <c r="K723" s="153"/>
      <c r="L723" s="153"/>
      <c r="M723" s="153"/>
      <c r="N723" s="151"/>
      <c r="O723" s="41">
        <v>6</v>
      </c>
      <c r="P723" s="159">
        <v>2014</v>
      </c>
    </row>
    <row r="724" spans="1:16">
      <c r="A724" s="43">
        <v>19</v>
      </c>
      <c r="B724" s="43" t="s">
        <v>684</v>
      </c>
      <c r="C724" s="52" t="s">
        <v>685</v>
      </c>
      <c r="D724" s="94" t="s">
        <v>701</v>
      </c>
      <c r="E724" s="89">
        <v>1</v>
      </c>
      <c r="F724" s="81" t="s">
        <v>707</v>
      </c>
      <c r="G724" t="s">
        <v>708</v>
      </c>
      <c r="H724" s="68">
        <v>1</v>
      </c>
      <c r="I724">
        <v>115000</v>
      </c>
      <c r="J724">
        <v>115000</v>
      </c>
      <c r="O724" s="41">
        <v>6</v>
      </c>
      <c r="P724" s="159">
        <v>2014</v>
      </c>
    </row>
    <row r="725" spans="1:16">
      <c r="A725" s="43">
        <v>19</v>
      </c>
      <c r="B725" s="43" t="s">
        <v>684</v>
      </c>
      <c r="C725" s="52" t="s">
        <v>685</v>
      </c>
      <c r="D725" s="94" t="s">
        <v>701</v>
      </c>
      <c r="E725" s="89">
        <v>1</v>
      </c>
      <c r="F725" s="81" t="s">
        <v>686</v>
      </c>
      <c r="G725" t="s">
        <v>682</v>
      </c>
      <c r="H725" s="68">
        <v>1</v>
      </c>
      <c r="I725">
        <v>115000</v>
      </c>
      <c r="J725">
        <v>115000</v>
      </c>
      <c r="O725" s="41">
        <v>6</v>
      </c>
      <c r="P725" s="159">
        <v>2014</v>
      </c>
    </row>
    <row r="726" spans="1:16">
      <c r="A726" s="43">
        <v>19</v>
      </c>
      <c r="B726" s="43" t="s">
        <v>684</v>
      </c>
      <c r="C726" s="52" t="s">
        <v>685</v>
      </c>
      <c r="D726" s="94" t="s">
        <v>701</v>
      </c>
      <c r="E726" s="89">
        <v>1</v>
      </c>
      <c r="K726" s="41">
        <v>230000</v>
      </c>
      <c r="L726" s="41">
        <v>17000</v>
      </c>
      <c r="M726" s="41">
        <v>213000</v>
      </c>
      <c r="N726" s="40" t="s">
        <v>716</v>
      </c>
      <c r="O726" s="41">
        <v>6</v>
      </c>
      <c r="P726" s="159">
        <v>2014</v>
      </c>
    </row>
    <row r="727" spans="1:16">
      <c r="A727" s="145">
        <v>19</v>
      </c>
      <c r="B727" s="145" t="s">
        <v>684</v>
      </c>
      <c r="C727" s="146" t="s">
        <v>685</v>
      </c>
      <c r="D727" s="147" t="s">
        <v>701</v>
      </c>
      <c r="E727" s="148">
        <v>2</v>
      </c>
      <c r="F727" s="141"/>
      <c r="G727" s="149"/>
      <c r="H727" s="142"/>
      <c r="I727" s="149"/>
      <c r="J727" s="149"/>
      <c r="K727" s="153"/>
      <c r="L727" s="153"/>
      <c r="M727" s="153"/>
      <c r="N727" s="151"/>
      <c r="O727" s="41">
        <v>6</v>
      </c>
      <c r="P727" s="159">
        <v>2014</v>
      </c>
    </row>
    <row r="728" spans="1:16">
      <c r="A728" s="43">
        <v>19</v>
      </c>
      <c r="B728" s="43" t="s">
        <v>684</v>
      </c>
      <c r="C728" s="52" t="s">
        <v>685</v>
      </c>
      <c r="D728" s="94" t="s">
        <v>701</v>
      </c>
      <c r="E728" s="89">
        <v>2</v>
      </c>
      <c r="F728" s="81" t="s">
        <v>688</v>
      </c>
      <c r="G728" t="s">
        <v>649</v>
      </c>
      <c r="H728" s="68">
        <v>1</v>
      </c>
      <c r="I728">
        <v>85000</v>
      </c>
      <c r="J728">
        <v>85000</v>
      </c>
      <c r="O728" s="41">
        <v>6</v>
      </c>
      <c r="P728" s="159">
        <v>2014</v>
      </c>
    </row>
    <row r="729" spans="1:16">
      <c r="A729" s="43">
        <v>19</v>
      </c>
      <c r="B729" s="43" t="s">
        <v>684</v>
      </c>
      <c r="C729" s="52" t="s">
        <v>685</v>
      </c>
      <c r="D729" s="94" t="s">
        <v>701</v>
      </c>
      <c r="E729" s="89">
        <v>2</v>
      </c>
      <c r="F729" s="81" t="s">
        <v>711</v>
      </c>
      <c r="G729" t="s">
        <v>656</v>
      </c>
      <c r="H729" s="68">
        <v>1</v>
      </c>
      <c r="I729">
        <v>98000</v>
      </c>
      <c r="J729">
        <v>98000</v>
      </c>
      <c r="O729" s="41">
        <v>6</v>
      </c>
      <c r="P729" s="159">
        <v>2014</v>
      </c>
    </row>
    <row r="730" spans="1:16">
      <c r="A730" s="43">
        <v>19</v>
      </c>
      <c r="B730" s="43" t="s">
        <v>684</v>
      </c>
      <c r="C730" s="52" t="s">
        <v>685</v>
      </c>
      <c r="D730" s="94" t="s">
        <v>701</v>
      </c>
      <c r="E730" s="89">
        <v>2</v>
      </c>
      <c r="F730" s="81" t="s">
        <v>712</v>
      </c>
      <c r="G730" t="s">
        <v>713</v>
      </c>
      <c r="H730" s="68">
        <v>1</v>
      </c>
      <c r="I730">
        <v>115000</v>
      </c>
      <c r="J730">
        <v>115000</v>
      </c>
      <c r="O730" s="41">
        <v>6</v>
      </c>
      <c r="P730" s="159">
        <v>2014</v>
      </c>
    </row>
    <row r="731" spans="1:16">
      <c r="A731" s="43">
        <v>19</v>
      </c>
      <c r="B731" s="43" t="s">
        <v>684</v>
      </c>
      <c r="C731" s="52" t="s">
        <v>685</v>
      </c>
      <c r="D731" s="94" t="s">
        <v>701</v>
      </c>
      <c r="E731" s="89">
        <v>2</v>
      </c>
      <c r="K731" s="41">
        <v>298000</v>
      </c>
      <c r="L731" s="41">
        <v>10000</v>
      </c>
      <c r="M731" s="41">
        <v>288000</v>
      </c>
      <c r="N731" s="40" t="s">
        <v>717</v>
      </c>
      <c r="O731" s="41">
        <v>6</v>
      </c>
      <c r="P731" s="159">
        <v>2014</v>
      </c>
    </row>
    <row r="732" spans="1:16">
      <c r="A732" s="145">
        <v>19</v>
      </c>
      <c r="B732" s="145" t="s">
        <v>684</v>
      </c>
      <c r="C732" s="146" t="s">
        <v>685</v>
      </c>
      <c r="D732" s="147" t="s">
        <v>701</v>
      </c>
      <c r="E732" s="148">
        <v>3</v>
      </c>
      <c r="F732" s="141"/>
      <c r="G732" s="149"/>
      <c r="H732" s="142"/>
      <c r="I732" s="149"/>
      <c r="J732" s="149"/>
      <c r="K732" s="153"/>
      <c r="L732" s="153"/>
      <c r="M732" s="153"/>
      <c r="N732" s="151"/>
      <c r="O732" s="41">
        <v>6</v>
      </c>
      <c r="P732" s="159">
        <v>2014</v>
      </c>
    </row>
    <row r="733" spans="1:16">
      <c r="A733" s="43">
        <v>19</v>
      </c>
      <c r="B733" s="43" t="s">
        <v>684</v>
      </c>
      <c r="C733" s="52" t="s">
        <v>685</v>
      </c>
      <c r="D733" s="94" t="s">
        <v>701</v>
      </c>
      <c r="E733" s="89">
        <v>3</v>
      </c>
      <c r="F733" s="81" t="s">
        <v>686</v>
      </c>
      <c r="G733" t="s">
        <v>682</v>
      </c>
      <c r="H733" s="68">
        <v>1</v>
      </c>
      <c r="I733">
        <v>115000</v>
      </c>
      <c r="J733">
        <v>115000</v>
      </c>
      <c r="O733" s="41">
        <v>6</v>
      </c>
      <c r="P733" s="159">
        <v>2014</v>
      </c>
    </row>
    <row r="734" spans="1:16">
      <c r="A734" s="43">
        <v>19</v>
      </c>
      <c r="B734" s="43" t="s">
        <v>684</v>
      </c>
      <c r="C734" s="52" t="s">
        <v>685</v>
      </c>
      <c r="D734" s="94" t="s">
        <v>701</v>
      </c>
      <c r="E734" s="89">
        <v>3</v>
      </c>
      <c r="K734" s="41">
        <v>115000</v>
      </c>
      <c r="M734" s="41">
        <v>115000</v>
      </c>
      <c r="O734" s="41">
        <v>6</v>
      </c>
      <c r="P734" s="159">
        <v>2014</v>
      </c>
    </row>
    <row r="735" spans="1:16">
      <c r="A735" s="145">
        <v>19</v>
      </c>
      <c r="B735" s="145" t="s">
        <v>684</v>
      </c>
      <c r="C735" s="146" t="s">
        <v>685</v>
      </c>
      <c r="D735" s="147" t="s">
        <v>701</v>
      </c>
      <c r="E735" s="148">
        <v>4</v>
      </c>
      <c r="F735" s="141"/>
      <c r="G735" s="149"/>
      <c r="H735" s="142"/>
      <c r="I735" s="149"/>
      <c r="J735" s="149"/>
      <c r="K735" s="153"/>
      <c r="L735" s="153"/>
      <c r="M735" s="153"/>
      <c r="N735" s="151"/>
      <c r="O735" s="41">
        <v>6</v>
      </c>
      <c r="P735" s="159">
        <v>2014</v>
      </c>
    </row>
    <row r="736" spans="1:16">
      <c r="A736" s="43">
        <v>19</v>
      </c>
      <c r="B736" s="43" t="s">
        <v>684</v>
      </c>
      <c r="C736" s="52" t="s">
        <v>685</v>
      </c>
      <c r="D736" s="94" t="s">
        <v>701</v>
      </c>
      <c r="E736" s="89">
        <v>4</v>
      </c>
      <c r="F736" s="81" t="s">
        <v>680</v>
      </c>
      <c r="G736" t="s">
        <v>651</v>
      </c>
      <c r="H736" s="68">
        <v>1</v>
      </c>
      <c r="I736">
        <v>98000</v>
      </c>
      <c r="J736">
        <v>98000</v>
      </c>
      <c r="O736" s="41">
        <v>6</v>
      </c>
      <c r="P736" s="159">
        <v>2014</v>
      </c>
    </row>
    <row r="737" spans="1:16">
      <c r="A737" s="43">
        <v>19</v>
      </c>
      <c r="B737" s="43" t="s">
        <v>684</v>
      </c>
      <c r="C737" s="52" t="s">
        <v>685</v>
      </c>
      <c r="D737" s="94" t="s">
        <v>701</v>
      </c>
      <c r="E737" s="89">
        <v>4</v>
      </c>
      <c r="F737" s="81" t="s">
        <v>686</v>
      </c>
      <c r="G737" t="s">
        <v>682</v>
      </c>
      <c r="H737" s="68">
        <v>1</v>
      </c>
      <c r="I737">
        <v>115000</v>
      </c>
      <c r="J737">
        <v>115000</v>
      </c>
      <c r="O737" s="41">
        <v>6</v>
      </c>
      <c r="P737" s="159">
        <v>2014</v>
      </c>
    </row>
    <row r="738" spans="1:16">
      <c r="A738" s="43">
        <v>19</v>
      </c>
      <c r="B738" s="43" t="s">
        <v>684</v>
      </c>
      <c r="C738" s="52" t="s">
        <v>685</v>
      </c>
      <c r="D738" s="94" t="s">
        <v>701</v>
      </c>
      <c r="E738" s="89">
        <v>4</v>
      </c>
      <c r="K738" s="41">
        <v>213000</v>
      </c>
      <c r="L738" s="41">
        <v>17000</v>
      </c>
      <c r="M738" s="41">
        <v>196000</v>
      </c>
      <c r="N738" s="40" t="s">
        <v>718</v>
      </c>
      <c r="O738" s="41">
        <v>6</v>
      </c>
      <c r="P738" s="159">
        <v>2014</v>
      </c>
    </row>
    <row r="739" spans="1:16">
      <c r="A739" s="145">
        <v>19</v>
      </c>
      <c r="B739" s="145" t="s">
        <v>684</v>
      </c>
      <c r="C739" s="146" t="s">
        <v>685</v>
      </c>
      <c r="D739" s="147" t="s">
        <v>701</v>
      </c>
      <c r="E739" s="148">
        <v>5</v>
      </c>
      <c r="F739" s="141"/>
      <c r="G739" s="149"/>
      <c r="H739" s="142"/>
      <c r="I739" s="149"/>
      <c r="J739" s="149"/>
      <c r="K739" s="153"/>
      <c r="L739" s="153"/>
      <c r="M739" s="153"/>
      <c r="N739" s="151"/>
      <c r="O739" s="41">
        <v>6</v>
      </c>
      <c r="P739" s="159">
        <v>2014</v>
      </c>
    </row>
    <row r="740" spans="1:16">
      <c r="A740" s="43">
        <v>19</v>
      </c>
      <c r="B740" s="43" t="s">
        <v>684</v>
      </c>
      <c r="C740" s="52" t="s">
        <v>685</v>
      </c>
      <c r="D740" s="94" t="s">
        <v>701</v>
      </c>
      <c r="E740" s="89">
        <v>5</v>
      </c>
      <c r="F740" s="81" t="s">
        <v>697</v>
      </c>
      <c r="G740" t="s">
        <v>698</v>
      </c>
      <c r="H740" s="68">
        <v>1</v>
      </c>
      <c r="I740">
        <v>195000</v>
      </c>
      <c r="J740">
        <v>195000</v>
      </c>
      <c r="O740" s="41">
        <v>6</v>
      </c>
      <c r="P740" s="159">
        <v>2014</v>
      </c>
    </row>
    <row r="741" spans="1:16">
      <c r="A741" s="43">
        <v>19</v>
      </c>
      <c r="B741" s="43" t="s">
        <v>684</v>
      </c>
      <c r="C741" s="52" t="s">
        <v>685</v>
      </c>
      <c r="D741" s="94" t="s">
        <v>701</v>
      </c>
      <c r="E741" s="89">
        <v>5</v>
      </c>
      <c r="K741" s="41">
        <v>195000</v>
      </c>
      <c r="M741" s="41">
        <v>195000</v>
      </c>
      <c r="O741" s="41">
        <v>6</v>
      </c>
      <c r="P741" s="159">
        <v>2014</v>
      </c>
    </row>
    <row r="742" spans="1:16">
      <c r="A742" s="145">
        <v>19</v>
      </c>
      <c r="B742" s="145" t="s">
        <v>684</v>
      </c>
      <c r="C742" s="146" t="s">
        <v>685</v>
      </c>
      <c r="D742" s="147" t="s">
        <v>701</v>
      </c>
      <c r="E742" s="148">
        <v>6</v>
      </c>
      <c r="F742" s="141"/>
      <c r="G742" s="149"/>
      <c r="H742" s="142"/>
      <c r="I742" s="149"/>
      <c r="J742" s="149"/>
      <c r="K742" s="153"/>
      <c r="L742" s="153"/>
      <c r="M742" s="153"/>
      <c r="N742" s="151"/>
      <c r="O742" s="41">
        <v>6</v>
      </c>
      <c r="P742" s="159">
        <v>2014</v>
      </c>
    </row>
    <row r="743" spans="1:16">
      <c r="A743" s="43">
        <v>19</v>
      </c>
      <c r="B743" s="43" t="s">
        <v>684</v>
      </c>
      <c r="C743" s="52" t="s">
        <v>685</v>
      </c>
      <c r="D743" s="94" t="s">
        <v>701</v>
      </c>
      <c r="E743" s="89">
        <v>6</v>
      </c>
      <c r="F743" s="81" t="s">
        <v>711</v>
      </c>
      <c r="G743" t="s">
        <v>656</v>
      </c>
      <c r="H743" s="68">
        <v>1</v>
      </c>
      <c r="I743">
        <v>98000</v>
      </c>
      <c r="J743">
        <v>98000</v>
      </c>
      <c r="O743" s="41">
        <v>6</v>
      </c>
      <c r="P743" s="159">
        <v>2014</v>
      </c>
    </row>
    <row r="744" spans="1:16">
      <c r="A744" s="43">
        <v>19</v>
      </c>
      <c r="B744" s="43" t="s">
        <v>684</v>
      </c>
      <c r="C744" s="52" t="s">
        <v>685</v>
      </c>
      <c r="D744" s="94" t="s">
        <v>701</v>
      </c>
      <c r="E744" s="89">
        <v>6</v>
      </c>
      <c r="F744" s="81" t="s">
        <v>689</v>
      </c>
      <c r="G744" t="s">
        <v>690</v>
      </c>
      <c r="H744" s="68">
        <v>1</v>
      </c>
      <c r="I744">
        <v>85000</v>
      </c>
      <c r="J744">
        <v>85000</v>
      </c>
      <c r="O744" s="41">
        <v>6</v>
      </c>
      <c r="P744" s="159">
        <v>2014</v>
      </c>
    </row>
    <row r="745" spans="1:16">
      <c r="A745" s="43">
        <v>19</v>
      </c>
      <c r="B745" s="43" t="s">
        <v>684</v>
      </c>
      <c r="C745" s="52" t="s">
        <v>685</v>
      </c>
      <c r="D745" s="94" t="s">
        <v>701</v>
      </c>
      <c r="E745" s="89">
        <v>6</v>
      </c>
      <c r="K745" s="41">
        <v>183000</v>
      </c>
      <c r="M745" s="41">
        <v>183000</v>
      </c>
      <c r="O745" s="41">
        <v>6</v>
      </c>
      <c r="P745" s="159">
        <v>2014</v>
      </c>
    </row>
    <row r="746" spans="1:16">
      <c r="A746" s="145">
        <v>19</v>
      </c>
      <c r="B746" s="145" t="s">
        <v>684</v>
      </c>
      <c r="C746" s="146" t="s">
        <v>685</v>
      </c>
      <c r="D746" s="147" t="s">
        <v>701</v>
      </c>
      <c r="E746" s="148">
        <v>7</v>
      </c>
      <c r="F746" s="141"/>
      <c r="G746" s="149"/>
      <c r="H746" s="142"/>
      <c r="I746" s="149"/>
      <c r="J746" s="149"/>
      <c r="K746" s="153"/>
      <c r="L746" s="153"/>
      <c r="M746" s="153"/>
      <c r="N746" s="151"/>
      <c r="O746" s="41">
        <v>6</v>
      </c>
      <c r="P746" s="159">
        <v>2014</v>
      </c>
    </row>
    <row r="747" spans="1:16">
      <c r="A747" s="43">
        <v>19</v>
      </c>
      <c r="B747" s="43" t="s">
        <v>684</v>
      </c>
      <c r="C747" s="52" t="s">
        <v>685</v>
      </c>
      <c r="D747" s="94" t="s">
        <v>701</v>
      </c>
      <c r="E747" s="89">
        <v>7</v>
      </c>
      <c r="F747" s="81" t="s">
        <v>686</v>
      </c>
      <c r="G747" t="s">
        <v>682</v>
      </c>
      <c r="H747" s="68">
        <v>1</v>
      </c>
      <c r="I747">
        <v>115000</v>
      </c>
      <c r="J747">
        <v>115000</v>
      </c>
      <c r="O747" s="41">
        <v>6</v>
      </c>
      <c r="P747" s="159">
        <v>2014</v>
      </c>
    </row>
    <row r="748" spans="1:16">
      <c r="A748" s="43">
        <v>19</v>
      </c>
      <c r="B748" s="43" t="s">
        <v>684</v>
      </c>
      <c r="C748" s="52" t="s">
        <v>685</v>
      </c>
      <c r="D748" s="94" t="s">
        <v>701</v>
      </c>
      <c r="E748" s="89">
        <v>7</v>
      </c>
      <c r="K748" s="41">
        <v>115000</v>
      </c>
      <c r="L748" s="41">
        <v>17000</v>
      </c>
      <c r="M748" s="41">
        <v>98000</v>
      </c>
      <c r="N748" s="40" t="s">
        <v>719</v>
      </c>
      <c r="O748" s="41">
        <v>6</v>
      </c>
      <c r="P748" s="159">
        <v>2014</v>
      </c>
    </row>
    <row r="749" spans="1:16">
      <c r="A749" s="137">
        <v>22</v>
      </c>
      <c r="B749" s="137" t="s">
        <v>684</v>
      </c>
      <c r="C749" s="138" t="s">
        <v>702</v>
      </c>
      <c r="D749" s="139" t="s">
        <v>701</v>
      </c>
      <c r="E749" s="140">
        <v>1</v>
      </c>
      <c r="F749" s="141"/>
      <c r="G749" s="142"/>
      <c r="H749" s="142"/>
      <c r="I749" s="142"/>
      <c r="J749" s="142"/>
      <c r="K749" s="143"/>
      <c r="L749" s="143"/>
      <c r="M749" s="143"/>
      <c r="N749" s="144"/>
      <c r="O749" s="41">
        <v>6</v>
      </c>
      <c r="P749" s="159">
        <v>2014</v>
      </c>
    </row>
    <row r="750" spans="1:16">
      <c r="A750" s="131">
        <v>22</v>
      </c>
      <c r="B750" s="131" t="s">
        <v>684</v>
      </c>
      <c r="C750" s="132" t="s">
        <v>702</v>
      </c>
      <c r="D750" s="133" t="s">
        <v>701</v>
      </c>
      <c r="E750" s="134">
        <v>1</v>
      </c>
      <c r="F750" s="81" t="s">
        <v>678</v>
      </c>
      <c r="G750" s="68" t="s">
        <v>698</v>
      </c>
      <c r="H750" s="68">
        <v>1</v>
      </c>
      <c r="I750" s="68">
        <v>195000</v>
      </c>
      <c r="J750" s="68">
        <v>195000</v>
      </c>
      <c r="K750" s="152"/>
      <c r="L750" s="152"/>
      <c r="M750" s="152"/>
      <c r="N750" s="136"/>
      <c r="O750" s="41">
        <v>6</v>
      </c>
      <c r="P750" s="159">
        <v>2014</v>
      </c>
    </row>
    <row r="751" spans="1:16">
      <c r="A751" s="131">
        <v>22</v>
      </c>
      <c r="B751" s="131" t="s">
        <v>684</v>
      </c>
      <c r="C751" s="132" t="s">
        <v>702</v>
      </c>
      <c r="D751" s="133" t="s">
        <v>701</v>
      </c>
      <c r="E751" s="134">
        <v>1</v>
      </c>
      <c r="G751" s="68"/>
      <c r="I751" s="68"/>
      <c r="J751" s="68"/>
      <c r="K751" s="152">
        <v>195000</v>
      </c>
      <c r="L751" s="152"/>
      <c r="M751" s="152">
        <v>195000</v>
      </c>
      <c r="N751" s="136"/>
      <c r="O751" s="41">
        <v>6</v>
      </c>
      <c r="P751" s="159">
        <v>2014</v>
      </c>
    </row>
    <row r="752" spans="1:16">
      <c r="A752" s="137">
        <v>22</v>
      </c>
      <c r="B752" s="137" t="s">
        <v>684</v>
      </c>
      <c r="C752" s="138" t="s">
        <v>702</v>
      </c>
      <c r="D752" s="139" t="s">
        <v>701</v>
      </c>
      <c r="E752" s="140">
        <v>2</v>
      </c>
      <c r="F752" s="141"/>
      <c r="G752" s="142"/>
      <c r="H752" s="142"/>
      <c r="I752" s="142"/>
      <c r="J752" s="142"/>
      <c r="K752" s="143"/>
      <c r="L752" s="143"/>
      <c r="M752" s="143"/>
      <c r="N752" s="144"/>
      <c r="O752" s="41">
        <v>6</v>
      </c>
      <c r="P752" s="159">
        <v>2014</v>
      </c>
    </row>
    <row r="753" spans="1:16">
      <c r="A753" s="131">
        <v>22</v>
      </c>
      <c r="B753" s="131" t="s">
        <v>684</v>
      </c>
      <c r="C753" s="132" t="s">
        <v>702</v>
      </c>
      <c r="D753" s="133" t="s">
        <v>701</v>
      </c>
      <c r="E753" s="134">
        <v>2</v>
      </c>
      <c r="F753" s="81" t="s">
        <v>666</v>
      </c>
      <c r="G753" s="68" t="s">
        <v>651</v>
      </c>
      <c r="H753" s="68">
        <v>1</v>
      </c>
      <c r="I753" s="68">
        <v>98000</v>
      </c>
      <c r="J753" s="68">
        <v>98000</v>
      </c>
      <c r="K753" s="152"/>
      <c r="L753" s="152"/>
      <c r="M753" s="152"/>
      <c r="N753" s="136"/>
      <c r="O753" s="41">
        <v>6</v>
      </c>
      <c r="P753" s="159">
        <v>2014</v>
      </c>
    </row>
    <row r="754" spans="1:16">
      <c r="A754" s="131">
        <v>22</v>
      </c>
      <c r="B754" s="131" t="s">
        <v>684</v>
      </c>
      <c r="C754" s="132" t="s">
        <v>702</v>
      </c>
      <c r="D754" s="133" t="s">
        <v>701</v>
      </c>
      <c r="E754" s="134">
        <v>2</v>
      </c>
      <c r="G754" s="68"/>
      <c r="I754" s="68"/>
      <c r="J754" s="68"/>
      <c r="K754" s="152">
        <v>98000</v>
      </c>
      <c r="L754" s="152"/>
      <c r="M754" s="152">
        <v>98000</v>
      </c>
      <c r="N754" s="136"/>
      <c r="O754" s="41">
        <v>6</v>
      </c>
      <c r="P754" s="159">
        <v>2014</v>
      </c>
    </row>
    <row r="755" spans="1:16">
      <c r="A755" s="137">
        <v>22</v>
      </c>
      <c r="B755" s="137" t="s">
        <v>684</v>
      </c>
      <c r="C755" s="138" t="s">
        <v>702</v>
      </c>
      <c r="D755" s="139" t="s">
        <v>701</v>
      </c>
      <c r="E755" s="140">
        <v>3</v>
      </c>
      <c r="F755" s="141"/>
      <c r="G755" s="142"/>
      <c r="H755" s="142"/>
      <c r="I755" s="142"/>
      <c r="J755" s="142"/>
      <c r="K755" s="143"/>
      <c r="L755" s="143"/>
      <c r="M755" s="143"/>
      <c r="N755" s="144"/>
      <c r="O755" s="41">
        <v>6</v>
      </c>
      <c r="P755" s="159">
        <v>2014</v>
      </c>
    </row>
    <row r="756" spans="1:16">
      <c r="A756" s="131">
        <v>22</v>
      </c>
      <c r="B756" s="131" t="s">
        <v>684</v>
      </c>
      <c r="C756" s="132" t="s">
        <v>702</v>
      </c>
      <c r="D756" s="133" t="s">
        <v>701</v>
      </c>
      <c r="E756" s="134">
        <v>3</v>
      </c>
      <c r="F756" s="81" t="s">
        <v>669</v>
      </c>
      <c r="G756" s="68" t="s">
        <v>696</v>
      </c>
      <c r="H756" s="68">
        <v>1</v>
      </c>
      <c r="I756" s="68">
        <v>115000</v>
      </c>
      <c r="J756" s="68">
        <v>115000</v>
      </c>
      <c r="K756" s="152"/>
      <c r="L756" s="152"/>
      <c r="M756" s="152"/>
      <c r="N756" s="136"/>
      <c r="O756" s="41">
        <v>6</v>
      </c>
      <c r="P756" s="159">
        <v>2014</v>
      </c>
    </row>
    <row r="757" spans="1:16">
      <c r="A757" s="131">
        <v>22</v>
      </c>
      <c r="B757" s="131" t="s">
        <v>684</v>
      </c>
      <c r="C757" s="132" t="s">
        <v>702</v>
      </c>
      <c r="D757" s="133" t="s">
        <v>701</v>
      </c>
      <c r="E757" s="134">
        <v>3</v>
      </c>
      <c r="G757" s="68"/>
      <c r="I757" s="68"/>
      <c r="J757" s="68"/>
      <c r="K757" s="152">
        <v>115000</v>
      </c>
      <c r="L757" s="152"/>
      <c r="M757" s="152">
        <v>115000</v>
      </c>
      <c r="N757" s="136"/>
      <c r="O757" s="41">
        <v>6</v>
      </c>
      <c r="P757" s="159">
        <v>2014</v>
      </c>
    </row>
    <row r="758" spans="1:16">
      <c r="A758" s="145">
        <v>24</v>
      </c>
      <c r="B758" s="145" t="s">
        <v>681</v>
      </c>
      <c r="C758" s="146" t="s">
        <v>687</v>
      </c>
      <c r="D758" s="147" t="s">
        <v>701</v>
      </c>
      <c r="E758" s="148">
        <v>1</v>
      </c>
      <c r="F758" s="141"/>
      <c r="G758" s="149"/>
      <c r="H758" s="142"/>
      <c r="I758" s="149"/>
      <c r="J758" s="149"/>
      <c r="K758" s="150"/>
      <c r="L758" s="150"/>
      <c r="M758" s="150"/>
      <c r="N758" s="151"/>
      <c r="O758" s="41">
        <v>6</v>
      </c>
      <c r="P758" s="159">
        <v>2014</v>
      </c>
    </row>
    <row r="759" spans="1:16">
      <c r="A759" s="43">
        <v>24</v>
      </c>
      <c r="B759" s="43" t="s">
        <v>681</v>
      </c>
      <c r="C759" s="52" t="s">
        <v>687</v>
      </c>
      <c r="D759" s="94" t="s">
        <v>701</v>
      </c>
      <c r="E759" s="89">
        <v>1</v>
      </c>
      <c r="F759" s="81" t="s">
        <v>695</v>
      </c>
      <c r="G759" t="s">
        <v>696</v>
      </c>
      <c r="H759" s="68">
        <v>1</v>
      </c>
      <c r="I759">
        <v>115000</v>
      </c>
      <c r="J759">
        <v>115000</v>
      </c>
      <c r="O759" s="41">
        <v>6</v>
      </c>
      <c r="P759" s="159">
        <v>2014</v>
      </c>
    </row>
    <row r="760" spans="1:16">
      <c r="A760" s="43">
        <v>24</v>
      </c>
      <c r="B760" s="43" t="s">
        <v>681</v>
      </c>
      <c r="C760" s="52" t="s">
        <v>687</v>
      </c>
      <c r="D760" s="94" t="s">
        <v>701</v>
      </c>
      <c r="E760" s="89">
        <v>1</v>
      </c>
      <c r="F760" s="81" t="s">
        <v>680</v>
      </c>
      <c r="G760" t="s">
        <v>651</v>
      </c>
      <c r="H760" s="68">
        <v>1</v>
      </c>
      <c r="I760">
        <v>98000</v>
      </c>
      <c r="J760">
        <v>98000</v>
      </c>
      <c r="O760" s="41">
        <v>6</v>
      </c>
      <c r="P760" s="159">
        <v>2014</v>
      </c>
    </row>
    <row r="761" spans="1:16">
      <c r="A761" s="43">
        <v>24</v>
      </c>
      <c r="B761" s="43" t="s">
        <v>681</v>
      </c>
      <c r="C761" s="52" t="s">
        <v>687</v>
      </c>
      <c r="D761" s="94" t="s">
        <v>701</v>
      </c>
      <c r="E761" s="89">
        <v>1</v>
      </c>
      <c r="F761" s="81" t="s">
        <v>694</v>
      </c>
      <c r="G761" t="s">
        <v>652</v>
      </c>
      <c r="H761" s="68">
        <v>1</v>
      </c>
      <c r="I761">
        <v>98000</v>
      </c>
      <c r="J761">
        <v>98000</v>
      </c>
      <c r="O761" s="41">
        <v>6</v>
      </c>
      <c r="P761" s="159">
        <v>2014</v>
      </c>
    </row>
    <row r="762" spans="1:16">
      <c r="A762" s="43">
        <v>24</v>
      </c>
      <c r="B762" s="43" t="s">
        <v>681</v>
      </c>
      <c r="C762" s="52" t="s">
        <v>687</v>
      </c>
      <c r="D762" s="94" t="s">
        <v>701</v>
      </c>
      <c r="E762" s="89">
        <v>1</v>
      </c>
      <c r="F762" s="81" t="s">
        <v>689</v>
      </c>
      <c r="G762" t="s">
        <v>690</v>
      </c>
      <c r="H762" s="68">
        <v>1</v>
      </c>
      <c r="I762">
        <v>85000</v>
      </c>
      <c r="J762">
        <v>85000</v>
      </c>
      <c r="O762" s="41">
        <v>6</v>
      </c>
      <c r="P762" s="159">
        <v>2014</v>
      </c>
    </row>
    <row r="763" spans="1:16">
      <c r="A763" s="43">
        <v>24</v>
      </c>
      <c r="B763" s="43" t="s">
        <v>681</v>
      </c>
      <c r="C763" s="52" t="s">
        <v>687</v>
      </c>
      <c r="D763" s="94" t="s">
        <v>701</v>
      </c>
      <c r="E763" s="89">
        <v>1</v>
      </c>
      <c r="K763" s="41">
        <v>396000</v>
      </c>
      <c r="M763" s="41">
        <v>396000</v>
      </c>
      <c r="O763" s="41">
        <v>6</v>
      </c>
      <c r="P763" s="159">
        <v>2014</v>
      </c>
    </row>
    <row r="764" spans="1:16">
      <c r="A764" s="137">
        <v>23</v>
      </c>
      <c r="B764" s="137" t="s">
        <v>684</v>
      </c>
      <c r="C764" s="138" t="s">
        <v>679</v>
      </c>
      <c r="D764" s="139" t="s">
        <v>701</v>
      </c>
      <c r="E764" s="140">
        <v>1</v>
      </c>
      <c r="F764" s="141"/>
      <c r="G764" s="142"/>
      <c r="H764" s="142"/>
      <c r="I764" s="142"/>
      <c r="J764" s="142"/>
      <c r="K764" s="143"/>
      <c r="L764" s="143"/>
      <c r="M764" s="143"/>
      <c r="N764" s="144"/>
      <c r="O764" s="41">
        <v>6</v>
      </c>
      <c r="P764" s="159">
        <v>2014</v>
      </c>
    </row>
    <row r="765" spans="1:16">
      <c r="A765" s="131">
        <v>23</v>
      </c>
      <c r="B765" s="131" t="s">
        <v>684</v>
      </c>
      <c r="C765" s="132" t="s">
        <v>679</v>
      </c>
      <c r="D765" s="133" t="s">
        <v>701</v>
      </c>
      <c r="E765" s="134">
        <v>1</v>
      </c>
      <c r="F765" s="81" t="s">
        <v>695</v>
      </c>
      <c r="G765" s="68" t="s">
        <v>696</v>
      </c>
      <c r="H765" s="68">
        <v>1</v>
      </c>
      <c r="I765" s="68">
        <v>115000</v>
      </c>
      <c r="J765" s="68">
        <v>115000</v>
      </c>
      <c r="K765" s="135"/>
      <c r="L765" s="135"/>
      <c r="M765" s="135"/>
      <c r="N765" s="136"/>
      <c r="O765" s="41">
        <v>6</v>
      </c>
      <c r="P765" s="159">
        <v>2014</v>
      </c>
    </row>
    <row r="766" spans="1:16">
      <c r="A766" s="131">
        <v>23</v>
      </c>
      <c r="B766" s="131" t="s">
        <v>684</v>
      </c>
      <c r="C766" s="132" t="s">
        <v>679</v>
      </c>
      <c r="D766" s="133" t="s">
        <v>701</v>
      </c>
      <c r="E766" s="134">
        <v>1</v>
      </c>
      <c r="F766" s="81" t="s">
        <v>686</v>
      </c>
      <c r="G766" s="68" t="s">
        <v>682</v>
      </c>
      <c r="H766" s="68">
        <v>1</v>
      </c>
      <c r="I766" s="68">
        <v>115000</v>
      </c>
      <c r="J766" s="68">
        <v>115000</v>
      </c>
      <c r="K766" s="135"/>
      <c r="L766" s="135"/>
      <c r="M766" s="135"/>
      <c r="N766" s="136"/>
      <c r="O766" s="41">
        <v>6</v>
      </c>
      <c r="P766" s="159">
        <v>2014</v>
      </c>
    </row>
    <row r="767" spans="1:16">
      <c r="A767" s="131">
        <v>23</v>
      </c>
      <c r="B767" s="131" t="s">
        <v>684</v>
      </c>
      <c r="C767" s="132" t="s">
        <v>679</v>
      </c>
      <c r="D767" s="133" t="s">
        <v>701</v>
      </c>
      <c r="E767" s="134">
        <v>1</v>
      </c>
      <c r="G767" s="68"/>
      <c r="I767" s="68"/>
      <c r="J767" s="68"/>
      <c r="K767" s="135">
        <v>230000</v>
      </c>
      <c r="L767" s="135"/>
      <c r="M767" s="135">
        <v>230000</v>
      </c>
      <c r="N767" s="136"/>
      <c r="O767" s="41">
        <v>6</v>
      </c>
      <c r="P767" s="159">
        <v>2014</v>
      </c>
    </row>
    <row r="768" spans="1:16">
      <c r="A768" s="137">
        <v>23</v>
      </c>
      <c r="B768" s="137" t="s">
        <v>684</v>
      </c>
      <c r="C768" s="138" t="s">
        <v>679</v>
      </c>
      <c r="D768" s="139" t="s">
        <v>701</v>
      </c>
      <c r="E768" s="140">
        <v>2</v>
      </c>
      <c r="F768" s="141"/>
      <c r="G768" s="142"/>
      <c r="H768" s="142"/>
      <c r="I768" s="142"/>
      <c r="J768" s="142"/>
      <c r="K768" s="143"/>
      <c r="L768" s="143"/>
      <c r="M768" s="143"/>
      <c r="N768" s="144"/>
      <c r="O768" s="41">
        <v>6</v>
      </c>
      <c r="P768" s="159">
        <v>2014</v>
      </c>
    </row>
    <row r="769" spans="1:16">
      <c r="A769" s="131">
        <v>23</v>
      </c>
      <c r="B769" s="131" t="s">
        <v>684</v>
      </c>
      <c r="C769" s="132" t="s">
        <v>679</v>
      </c>
      <c r="D769" s="133" t="s">
        <v>701</v>
      </c>
      <c r="E769" s="134">
        <v>2</v>
      </c>
      <c r="F769" s="81" t="s">
        <v>686</v>
      </c>
      <c r="G769" s="68" t="s">
        <v>682</v>
      </c>
      <c r="H769" s="68">
        <v>1</v>
      </c>
      <c r="I769" s="68">
        <v>115000</v>
      </c>
      <c r="J769" s="68">
        <v>115000</v>
      </c>
      <c r="K769" s="135"/>
      <c r="L769" s="135"/>
      <c r="M769" s="135"/>
      <c r="N769" s="136"/>
      <c r="O769" s="41">
        <v>6</v>
      </c>
      <c r="P769" s="159">
        <v>2014</v>
      </c>
    </row>
    <row r="770" spans="1:16">
      <c r="A770" s="131">
        <v>23</v>
      </c>
      <c r="B770" s="131" t="s">
        <v>684</v>
      </c>
      <c r="C770" s="132" t="s">
        <v>679</v>
      </c>
      <c r="D770" s="133" t="s">
        <v>701</v>
      </c>
      <c r="E770" s="134">
        <v>2</v>
      </c>
      <c r="G770" s="68"/>
      <c r="I770" s="68"/>
      <c r="J770" s="68"/>
      <c r="K770" s="135">
        <v>115000</v>
      </c>
      <c r="L770" s="135"/>
      <c r="M770" s="135">
        <v>115000</v>
      </c>
      <c r="N770" s="136"/>
      <c r="O770" s="41">
        <v>6</v>
      </c>
      <c r="P770" s="159">
        <v>2014</v>
      </c>
    </row>
    <row r="771" spans="1:16">
      <c r="A771" s="137">
        <v>23</v>
      </c>
      <c r="B771" s="137" t="s">
        <v>684</v>
      </c>
      <c r="C771" s="138" t="s">
        <v>679</v>
      </c>
      <c r="D771" s="139" t="s">
        <v>701</v>
      </c>
      <c r="E771" s="140">
        <v>3</v>
      </c>
      <c r="F771" s="141"/>
      <c r="G771" s="142"/>
      <c r="H771" s="142"/>
      <c r="I771" s="142"/>
      <c r="J771" s="142"/>
      <c r="K771" s="143"/>
      <c r="L771" s="143"/>
      <c r="M771" s="143"/>
      <c r="N771" s="144"/>
      <c r="O771" s="41">
        <v>6</v>
      </c>
      <c r="P771" s="159">
        <v>2014</v>
      </c>
    </row>
    <row r="772" spans="1:16">
      <c r="A772" s="131">
        <v>23</v>
      </c>
      <c r="B772" s="131" t="s">
        <v>684</v>
      </c>
      <c r="C772" s="132" t="s">
        <v>679</v>
      </c>
      <c r="D772" s="133" t="s">
        <v>701</v>
      </c>
      <c r="E772" s="134">
        <v>3</v>
      </c>
      <c r="F772" s="81" t="s">
        <v>695</v>
      </c>
      <c r="G772" s="68" t="s">
        <v>696</v>
      </c>
      <c r="H772" s="68">
        <v>1</v>
      </c>
      <c r="I772" s="68">
        <v>115000</v>
      </c>
      <c r="J772" s="68">
        <v>115000</v>
      </c>
      <c r="K772" s="135"/>
      <c r="L772" s="135"/>
      <c r="M772" s="135"/>
      <c r="N772" s="136"/>
      <c r="O772" s="41">
        <v>6</v>
      </c>
      <c r="P772" s="159">
        <v>2014</v>
      </c>
    </row>
    <row r="773" spans="1:16">
      <c r="A773" s="131">
        <v>23</v>
      </c>
      <c r="B773" s="131" t="s">
        <v>684</v>
      </c>
      <c r="C773" s="132" t="s">
        <v>679</v>
      </c>
      <c r="D773" s="133" t="s">
        <v>701</v>
      </c>
      <c r="E773" s="134">
        <v>3</v>
      </c>
      <c r="G773" s="68"/>
      <c r="I773" s="68"/>
      <c r="J773" s="68"/>
      <c r="K773" s="135">
        <v>115000</v>
      </c>
      <c r="L773" s="135"/>
      <c r="M773" s="135">
        <v>115000</v>
      </c>
      <c r="N773" s="136"/>
      <c r="O773" s="41">
        <v>6</v>
      </c>
      <c r="P773" s="159">
        <v>2014</v>
      </c>
    </row>
    <row r="774" spans="1:16">
      <c r="A774" s="145">
        <v>24</v>
      </c>
      <c r="B774" s="145" t="s">
        <v>684</v>
      </c>
      <c r="C774" s="146" t="s">
        <v>685</v>
      </c>
      <c r="D774" s="147" t="s">
        <v>701</v>
      </c>
      <c r="E774" s="148">
        <v>1</v>
      </c>
      <c r="F774" s="141"/>
      <c r="G774" s="149"/>
      <c r="H774" s="142"/>
      <c r="I774" s="149"/>
      <c r="J774" s="149"/>
      <c r="K774" s="150"/>
      <c r="L774" s="150"/>
      <c r="M774" s="150"/>
      <c r="N774" s="151"/>
      <c r="O774" s="41">
        <v>6</v>
      </c>
      <c r="P774" s="159">
        <v>2014</v>
      </c>
    </row>
    <row r="775" spans="1:16">
      <c r="A775" s="43">
        <v>24</v>
      </c>
      <c r="B775" s="43" t="s">
        <v>684</v>
      </c>
      <c r="C775" s="52" t="s">
        <v>685</v>
      </c>
      <c r="D775" s="94" t="s">
        <v>701</v>
      </c>
      <c r="E775" s="89">
        <v>1</v>
      </c>
      <c r="F775" s="81" t="s">
        <v>697</v>
      </c>
      <c r="G775" t="s">
        <v>698</v>
      </c>
      <c r="H775" s="68">
        <v>1</v>
      </c>
      <c r="I775">
        <v>195000</v>
      </c>
      <c r="J775">
        <v>195000</v>
      </c>
      <c r="O775" s="41">
        <v>6</v>
      </c>
      <c r="P775" s="159">
        <v>2014</v>
      </c>
    </row>
    <row r="776" spans="1:16">
      <c r="A776" s="43">
        <v>24</v>
      </c>
      <c r="B776" s="43" t="s">
        <v>684</v>
      </c>
      <c r="C776" s="52" t="s">
        <v>685</v>
      </c>
      <c r="D776" s="94" t="s">
        <v>701</v>
      </c>
      <c r="E776" s="89">
        <v>1</v>
      </c>
      <c r="K776" s="41">
        <v>195000</v>
      </c>
      <c r="M776" s="41">
        <v>195000</v>
      </c>
      <c r="O776" s="41">
        <v>6</v>
      </c>
      <c r="P776" s="159">
        <v>2014</v>
      </c>
    </row>
    <row r="777" spans="1:16">
      <c r="A777" s="145">
        <v>24</v>
      </c>
      <c r="B777" s="145" t="s">
        <v>684</v>
      </c>
      <c r="C777" s="146" t="s">
        <v>685</v>
      </c>
      <c r="D777" s="147" t="s">
        <v>701</v>
      </c>
      <c r="E777" s="148">
        <v>2</v>
      </c>
      <c r="F777" s="141"/>
      <c r="G777" s="149"/>
      <c r="H777" s="142"/>
      <c r="I777" s="149"/>
      <c r="J777" s="149"/>
      <c r="K777" s="150"/>
      <c r="L777" s="150"/>
      <c r="M777" s="150"/>
      <c r="N777" s="151"/>
      <c r="O777" s="41">
        <v>6</v>
      </c>
      <c r="P777" s="159">
        <v>2014</v>
      </c>
    </row>
    <row r="778" spans="1:16">
      <c r="A778" s="43">
        <v>24</v>
      </c>
      <c r="B778" s="43" t="s">
        <v>684</v>
      </c>
      <c r="C778" s="52" t="s">
        <v>685</v>
      </c>
      <c r="D778" s="94" t="s">
        <v>701</v>
      </c>
      <c r="E778" s="89">
        <v>2</v>
      </c>
      <c r="F778" s="81" t="s">
        <v>697</v>
      </c>
      <c r="G778" t="s">
        <v>698</v>
      </c>
      <c r="H778" s="68">
        <v>1</v>
      </c>
      <c r="I778">
        <v>195000</v>
      </c>
      <c r="J778">
        <v>195000</v>
      </c>
      <c r="O778" s="41">
        <v>6</v>
      </c>
      <c r="P778" s="159">
        <v>2014</v>
      </c>
    </row>
    <row r="779" spans="1:16">
      <c r="A779" s="43">
        <v>24</v>
      </c>
      <c r="B779" s="43" t="s">
        <v>684</v>
      </c>
      <c r="C779" s="52" t="s">
        <v>685</v>
      </c>
      <c r="D779" s="94" t="s">
        <v>701</v>
      </c>
      <c r="E779" s="89">
        <v>2</v>
      </c>
      <c r="K779" s="41">
        <v>195000</v>
      </c>
      <c r="M779" s="41">
        <v>195000</v>
      </c>
      <c r="O779" s="41">
        <v>6</v>
      </c>
      <c r="P779" s="159">
        <v>2014</v>
      </c>
    </row>
    <row r="780" spans="1:16">
      <c r="A780" s="145">
        <v>24</v>
      </c>
      <c r="B780" s="145" t="s">
        <v>684</v>
      </c>
      <c r="C780" s="146" t="s">
        <v>685</v>
      </c>
      <c r="D780" s="147" t="s">
        <v>701</v>
      </c>
      <c r="E780" s="148">
        <v>3</v>
      </c>
      <c r="F780" s="141"/>
      <c r="G780" s="149"/>
      <c r="H780" s="142"/>
      <c r="I780" s="149"/>
      <c r="J780" s="149"/>
      <c r="K780" s="150"/>
      <c r="L780" s="150"/>
      <c r="M780" s="150"/>
      <c r="N780" s="151"/>
      <c r="O780" s="41">
        <v>6</v>
      </c>
      <c r="P780" s="159">
        <v>2014</v>
      </c>
    </row>
    <row r="781" spans="1:16">
      <c r="A781" s="43">
        <v>24</v>
      </c>
      <c r="B781" s="43" t="s">
        <v>684</v>
      </c>
      <c r="C781" s="52" t="s">
        <v>685</v>
      </c>
      <c r="D781" s="94" t="s">
        <v>701</v>
      </c>
      <c r="E781" s="89">
        <v>3</v>
      </c>
      <c r="F781" s="81" t="s">
        <v>707</v>
      </c>
      <c r="G781" t="s">
        <v>708</v>
      </c>
      <c r="H781" s="68">
        <v>1</v>
      </c>
      <c r="I781">
        <v>115000</v>
      </c>
      <c r="J781">
        <v>115000</v>
      </c>
      <c r="O781" s="41">
        <v>6</v>
      </c>
      <c r="P781" s="159">
        <v>2014</v>
      </c>
    </row>
    <row r="782" spans="1:16">
      <c r="A782" s="43">
        <v>24</v>
      </c>
      <c r="B782" s="43" t="s">
        <v>684</v>
      </c>
      <c r="C782" s="52" t="s">
        <v>685</v>
      </c>
      <c r="D782" s="94" t="s">
        <v>701</v>
      </c>
      <c r="E782" s="89">
        <v>3</v>
      </c>
      <c r="K782" s="41">
        <v>115000</v>
      </c>
      <c r="M782" s="41">
        <v>115000</v>
      </c>
      <c r="O782" s="41">
        <v>6</v>
      </c>
      <c r="P782" s="159">
        <v>2014</v>
      </c>
    </row>
    <row r="783" spans="1:16">
      <c r="A783" s="145">
        <v>24</v>
      </c>
      <c r="B783" s="145" t="s">
        <v>684</v>
      </c>
      <c r="C783" s="146" t="s">
        <v>685</v>
      </c>
      <c r="D783" s="147" t="s">
        <v>701</v>
      </c>
      <c r="E783" s="148">
        <v>4</v>
      </c>
      <c r="F783" s="141"/>
      <c r="G783" s="149"/>
      <c r="H783" s="142"/>
      <c r="I783" s="149"/>
      <c r="J783" s="149"/>
      <c r="K783" s="150"/>
      <c r="L783" s="150"/>
      <c r="M783" s="150"/>
      <c r="N783" s="151"/>
      <c r="O783" s="41">
        <v>6</v>
      </c>
      <c r="P783" s="159">
        <v>2014</v>
      </c>
    </row>
    <row r="784" spans="1:16">
      <c r="A784" s="43">
        <v>24</v>
      </c>
      <c r="B784" s="43" t="s">
        <v>684</v>
      </c>
      <c r="C784" s="52" t="s">
        <v>685</v>
      </c>
      <c r="D784" s="94" t="s">
        <v>701</v>
      </c>
      <c r="E784" s="89">
        <v>4</v>
      </c>
      <c r="F784" s="81" t="s">
        <v>707</v>
      </c>
      <c r="G784" t="s">
        <v>708</v>
      </c>
      <c r="H784" s="68">
        <v>1</v>
      </c>
      <c r="I784">
        <v>115000</v>
      </c>
      <c r="J784">
        <v>115000</v>
      </c>
      <c r="O784" s="41">
        <v>6</v>
      </c>
      <c r="P784" s="159">
        <v>2014</v>
      </c>
    </row>
    <row r="785" spans="1:16">
      <c r="A785" s="43">
        <v>24</v>
      </c>
      <c r="B785" s="43" t="s">
        <v>684</v>
      </c>
      <c r="C785" s="52" t="s">
        <v>685</v>
      </c>
      <c r="D785" s="94" t="s">
        <v>701</v>
      </c>
      <c r="E785" s="89">
        <v>4</v>
      </c>
      <c r="K785" s="41">
        <v>115000</v>
      </c>
      <c r="M785" s="41">
        <v>115000</v>
      </c>
      <c r="O785" s="41">
        <v>6</v>
      </c>
      <c r="P785" s="159">
        <v>2014</v>
      </c>
    </row>
    <row r="786" spans="1:16">
      <c r="A786" s="145">
        <v>24</v>
      </c>
      <c r="B786" s="145" t="s">
        <v>684</v>
      </c>
      <c r="C786" s="146" t="s">
        <v>685</v>
      </c>
      <c r="D786" s="147" t="s">
        <v>701</v>
      </c>
      <c r="E786" s="148">
        <v>5</v>
      </c>
      <c r="F786" s="141"/>
      <c r="G786" s="149"/>
      <c r="H786" s="142"/>
      <c r="I786" s="149"/>
      <c r="J786" s="149"/>
      <c r="K786" s="150"/>
      <c r="L786" s="150"/>
      <c r="M786" s="150"/>
      <c r="N786" s="151"/>
      <c r="O786" s="41">
        <v>6</v>
      </c>
      <c r="P786" s="159">
        <v>2014</v>
      </c>
    </row>
    <row r="787" spans="1:16">
      <c r="A787" s="43">
        <v>24</v>
      </c>
      <c r="B787" s="43" t="s">
        <v>684</v>
      </c>
      <c r="C787" s="52" t="s">
        <v>685</v>
      </c>
      <c r="D787" s="94" t="s">
        <v>701</v>
      </c>
      <c r="E787" s="89">
        <v>5</v>
      </c>
      <c r="F787" s="81" t="s">
        <v>689</v>
      </c>
      <c r="G787" t="s">
        <v>690</v>
      </c>
      <c r="H787" s="68">
        <v>1</v>
      </c>
      <c r="I787">
        <v>85000</v>
      </c>
      <c r="J787">
        <v>85000</v>
      </c>
      <c r="O787" s="41">
        <v>6</v>
      </c>
      <c r="P787" s="159">
        <v>2014</v>
      </c>
    </row>
    <row r="788" spans="1:16">
      <c r="A788" s="43">
        <v>24</v>
      </c>
      <c r="B788" s="43" t="s">
        <v>684</v>
      </c>
      <c r="C788" s="52" t="s">
        <v>685</v>
      </c>
      <c r="D788" s="94" t="s">
        <v>701</v>
      </c>
      <c r="E788" s="89">
        <v>5</v>
      </c>
      <c r="K788" s="41">
        <v>85000</v>
      </c>
      <c r="M788" s="41">
        <v>85000</v>
      </c>
      <c r="O788" s="41">
        <v>6</v>
      </c>
      <c r="P788" s="159">
        <v>2014</v>
      </c>
    </row>
    <row r="789" spans="1:16">
      <c r="A789" s="145">
        <v>24</v>
      </c>
      <c r="B789" s="145" t="s">
        <v>684</v>
      </c>
      <c r="C789" s="146" t="s">
        <v>685</v>
      </c>
      <c r="D789" s="147" t="s">
        <v>701</v>
      </c>
      <c r="E789" s="148">
        <v>6</v>
      </c>
      <c r="F789" s="141"/>
      <c r="G789" s="149"/>
      <c r="H789" s="142"/>
      <c r="I789" s="149"/>
      <c r="J789" s="149"/>
      <c r="K789" s="150"/>
      <c r="L789" s="150"/>
      <c r="M789" s="150"/>
      <c r="N789" s="151"/>
      <c r="O789" s="41">
        <v>6</v>
      </c>
      <c r="P789" s="159">
        <v>2014</v>
      </c>
    </row>
    <row r="790" spans="1:16">
      <c r="A790" s="43">
        <v>24</v>
      </c>
      <c r="B790" s="43" t="s">
        <v>684</v>
      </c>
      <c r="C790" s="52" t="s">
        <v>685</v>
      </c>
      <c r="D790" s="94" t="s">
        <v>701</v>
      </c>
      <c r="E790" s="89">
        <v>6</v>
      </c>
      <c r="F790" s="81" t="s">
        <v>680</v>
      </c>
      <c r="G790" t="s">
        <v>651</v>
      </c>
      <c r="H790" s="68">
        <v>1</v>
      </c>
      <c r="I790">
        <v>98000</v>
      </c>
      <c r="J790">
        <v>98000</v>
      </c>
      <c r="O790" s="41">
        <v>6</v>
      </c>
      <c r="P790" s="159">
        <v>2014</v>
      </c>
    </row>
    <row r="791" spans="1:16">
      <c r="A791" s="43">
        <v>24</v>
      </c>
      <c r="B791" s="43" t="s">
        <v>684</v>
      </c>
      <c r="C791" s="52" t="s">
        <v>685</v>
      </c>
      <c r="D791" s="94" t="s">
        <v>701</v>
      </c>
      <c r="E791" s="89">
        <v>6</v>
      </c>
      <c r="K791" s="41">
        <v>98000</v>
      </c>
      <c r="M791" s="41">
        <v>98000</v>
      </c>
      <c r="O791" s="41">
        <v>6</v>
      </c>
      <c r="P791" s="159">
        <v>2014</v>
      </c>
    </row>
    <row r="792" spans="1:16">
      <c r="A792" s="145">
        <v>24</v>
      </c>
      <c r="B792" s="145" t="s">
        <v>684</v>
      </c>
      <c r="C792" s="146" t="s">
        <v>685</v>
      </c>
      <c r="D792" s="147" t="s">
        <v>701</v>
      </c>
      <c r="E792" s="148">
        <v>7</v>
      </c>
      <c r="F792" s="141"/>
      <c r="G792" s="149"/>
      <c r="H792" s="142"/>
      <c r="I792" s="149"/>
      <c r="J792" s="149"/>
      <c r="K792" s="150"/>
      <c r="L792" s="150"/>
      <c r="M792" s="150"/>
      <c r="N792" s="151"/>
      <c r="O792" s="41">
        <v>6</v>
      </c>
      <c r="P792" s="159">
        <v>2014</v>
      </c>
    </row>
    <row r="793" spans="1:16">
      <c r="A793" s="43">
        <v>24</v>
      </c>
      <c r="B793" s="43" t="s">
        <v>684</v>
      </c>
      <c r="C793" s="52" t="s">
        <v>685</v>
      </c>
      <c r="D793" s="94" t="s">
        <v>701</v>
      </c>
      <c r="E793" s="89">
        <v>7</v>
      </c>
      <c r="F793" s="81" t="s">
        <v>686</v>
      </c>
      <c r="G793" t="s">
        <v>682</v>
      </c>
      <c r="H793" s="68">
        <v>1</v>
      </c>
      <c r="I793">
        <v>115000</v>
      </c>
      <c r="J793">
        <v>115000</v>
      </c>
      <c r="O793" s="41">
        <v>6</v>
      </c>
      <c r="P793" s="159">
        <v>2014</v>
      </c>
    </row>
    <row r="794" spans="1:16">
      <c r="A794" s="43">
        <v>24</v>
      </c>
      <c r="B794" s="43" t="s">
        <v>684</v>
      </c>
      <c r="C794" s="52" t="s">
        <v>685</v>
      </c>
      <c r="D794" s="94" t="s">
        <v>701</v>
      </c>
      <c r="E794" s="89">
        <v>7</v>
      </c>
      <c r="K794" s="41">
        <v>115000</v>
      </c>
      <c r="M794" s="41">
        <v>115000</v>
      </c>
      <c r="O794" s="41">
        <v>6</v>
      </c>
      <c r="P794" s="159">
        <v>2014</v>
      </c>
    </row>
    <row r="795" spans="1:16">
      <c r="A795" s="145">
        <v>26</v>
      </c>
      <c r="B795" s="145" t="s">
        <v>681</v>
      </c>
      <c r="C795" s="146" t="s">
        <v>720</v>
      </c>
      <c r="D795" s="147" t="s">
        <v>701</v>
      </c>
      <c r="E795" s="148">
        <v>1</v>
      </c>
      <c r="F795" s="141"/>
      <c r="G795" s="149"/>
      <c r="H795" s="142"/>
      <c r="I795" s="149"/>
      <c r="J795" s="149"/>
      <c r="K795" s="150"/>
      <c r="L795" s="150"/>
      <c r="M795" s="150"/>
      <c r="N795" s="151"/>
      <c r="O795" s="41">
        <v>6</v>
      </c>
      <c r="P795" s="159">
        <v>2014</v>
      </c>
    </row>
    <row r="796" spans="1:16">
      <c r="A796" s="43">
        <v>26</v>
      </c>
      <c r="B796" s="43" t="s">
        <v>681</v>
      </c>
      <c r="C796" s="52" t="s">
        <v>720</v>
      </c>
      <c r="D796" s="94" t="s">
        <v>701</v>
      </c>
      <c r="E796" s="89">
        <v>1</v>
      </c>
      <c r="F796" s="81" t="s">
        <v>672</v>
      </c>
      <c r="G796" t="s">
        <v>657</v>
      </c>
      <c r="H796" s="68">
        <v>1</v>
      </c>
      <c r="I796">
        <v>98000</v>
      </c>
      <c r="J796">
        <v>98000</v>
      </c>
      <c r="O796" s="41">
        <v>6</v>
      </c>
      <c r="P796" s="159">
        <v>2014</v>
      </c>
    </row>
    <row r="797" spans="1:16">
      <c r="A797" s="43">
        <v>26</v>
      </c>
      <c r="B797" s="43" t="s">
        <v>681</v>
      </c>
      <c r="C797" s="52" t="s">
        <v>720</v>
      </c>
      <c r="D797" s="94" t="s">
        <v>701</v>
      </c>
      <c r="E797" s="89">
        <v>1</v>
      </c>
      <c r="F797" s="81" t="s">
        <v>721</v>
      </c>
      <c r="G797" t="s">
        <v>650</v>
      </c>
      <c r="H797" s="68">
        <v>1</v>
      </c>
      <c r="I797">
        <v>85000</v>
      </c>
      <c r="J797">
        <v>85000</v>
      </c>
      <c r="O797" s="41">
        <v>6</v>
      </c>
      <c r="P797" s="159">
        <v>2014</v>
      </c>
    </row>
    <row r="798" spans="1:16">
      <c r="A798" s="43">
        <v>26</v>
      </c>
      <c r="B798" s="43" t="s">
        <v>681</v>
      </c>
      <c r="C798" s="52" t="s">
        <v>720</v>
      </c>
      <c r="D798" s="94" t="s">
        <v>701</v>
      </c>
      <c r="E798" s="89">
        <v>1</v>
      </c>
      <c r="F798" s="81" t="s">
        <v>722</v>
      </c>
      <c r="G798" t="s">
        <v>651</v>
      </c>
      <c r="H798" s="68">
        <v>1</v>
      </c>
      <c r="I798">
        <v>98000</v>
      </c>
      <c r="J798">
        <v>98000</v>
      </c>
      <c r="O798" s="41">
        <v>6</v>
      </c>
      <c r="P798" s="159">
        <v>2014</v>
      </c>
    </row>
    <row r="799" spans="1:16">
      <c r="A799" s="43">
        <v>26</v>
      </c>
      <c r="B799" s="43" t="s">
        <v>681</v>
      </c>
      <c r="C799" s="52" t="s">
        <v>720</v>
      </c>
      <c r="D799" s="94" t="s">
        <v>701</v>
      </c>
      <c r="E799" s="89">
        <v>1</v>
      </c>
      <c r="K799" s="41">
        <v>281000</v>
      </c>
      <c r="L799" s="41">
        <v>0</v>
      </c>
      <c r="M799" s="41">
        <v>281000</v>
      </c>
      <c r="N799" s="40" t="s">
        <v>723</v>
      </c>
      <c r="O799" s="41">
        <v>6</v>
      </c>
      <c r="P799" s="159">
        <v>2014</v>
      </c>
    </row>
    <row r="800" spans="1:16">
      <c r="A800" s="137">
        <v>25</v>
      </c>
      <c r="B800" s="137" t="s">
        <v>681</v>
      </c>
      <c r="C800" s="138" t="s">
        <v>679</v>
      </c>
      <c r="D800" s="139" t="s">
        <v>701</v>
      </c>
      <c r="E800" s="140">
        <v>1</v>
      </c>
      <c r="F800" s="141"/>
      <c r="G800" s="142"/>
      <c r="H800" s="142"/>
      <c r="I800" s="142"/>
      <c r="J800" s="142"/>
      <c r="K800" s="143"/>
      <c r="L800" s="143"/>
      <c r="M800" s="143"/>
      <c r="N800" s="144"/>
      <c r="O800" s="41">
        <v>6</v>
      </c>
      <c r="P800" s="159">
        <v>2014</v>
      </c>
    </row>
    <row r="801" spans="1:16">
      <c r="A801" s="131">
        <v>25</v>
      </c>
      <c r="B801" s="131" t="s">
        <v>681</v>
      </c>
      <c r="C801" s="132" t="s">
        <v>679</v>
      </c>
      <c r="D801" s="133" t="s">
        <v>701</v>
      </c>
      <c r="E801" s="134">
        <v>1</v>
      </c>
      <c r="F801" s="81" t="s">
        <v>697</v>
      </c>
      <c r="G801" s="68" t="s">
        <v>698</v>
      </c>
      <c r="H801" s="68">
        <v>1</v>
      </c>
      <c r="I801" s="68">
        <v>195000</v>
      </c>
      <c r="J801" s="68">
        <v>195000</v>
      </c>
      <c r="K801" s="135"/>
      <c r="L801" s="135"/>
      <c r="M801" s="135"/>
      <c r="N801" s="136"/>
      <c r="O801" s="41">
        <v>6</v>
      </c>
      <c r="P801" s="159">
        <v>2014</v>
      </c>
    </row>
    <row r="802" spans="1:16">
      <c r="A802" s="131">
        <v>25</v>
      </c>
      <c r="B802" s="131" t="s">
        <v>681</v>
      </c>
      <c r="C802" s="132" t="s">
        <v>679</v>
      </c>
      <c r="D802" s="133" t="s">
        <v>701</v>
      </c>
      <c r="E802" s="134">
        <v>1</v>
      </c>
      <c r="G802" s="68"/>
      <c r="I802" s="68"/>
      <c r="J802" s="68"/>
      <c r="K802" s="135">
        <v>195000</v>
      </c>
      <c r="L802" s="135"/>
      <c r="M802" s="135">
        <v>195000</v>
      </c>
      <c r="N802" s="136"/>
      <c r="O802" s="41">
        <v>6</v>
      </c>
      <c r="P802" s="159">
        <v>2014</v>
      </c>
    </row>
    <row r="803" spans="1:16">
      <c r="A803" s="137">
        <v>25</v>
      </c>
      <c r="B803" s="137" t="s">
        <v>684</v>
      </c>
      <c r="C803" s="138" t="s">
        <v>679</v>
      </c>
      <c r="D803" s="139" t="s">
        <v>701</v>
      </c>
      <c r="E803" s="140">
        <v>1</v>
      </c>
      <c r="F803" s="141"/>
      <c r="G803" s="142"/>
      <c r="H803" s="142"/>
      <c r="I803" s="142"/>
      <c r="J803" s="142"/>
      <c r="K803" s="143"/>
      <c r="L803" s="143"/>
      <c r="M803" s="143"/>
      <c r="N803" s="144"/>
      <c r="O803" s="41">
        <v>6</v>
      </c>
      <c r="P803" s="159">
        <v>2014</v>
      </c>
    </row>
    <row r="804" spans="1:16">
      <c r="A804" s="131">
        <v>25</v>
      </c>
      <c r="B804" s="131" t="s">
        <v>684</v>
      </c>
      <c r="C804" s="132" t="s">
        <v>679</v>
      </c>
      <c r="D804" s="133" t="s">
        <v>701</v>
      </c>
      <c r="E804" s="134">
        <v>1</v>
      </c>
      <c r="F804" s="81" t="s">
        <v>724</v>
      </c>
      <c r="G804" s="68" t="s">
        <v>658</v>
      </c>
      <c r="H804" s="68">
        <v>1</v>
      </c>
      <c r="I804" s="68">
        <v>98000</v>
      </c>
      <c r="J804" s="68">
        <v>98000</v>
      </c>
      <c r="K804" s="135"/>
      <c r="L804" s="135"/>
      <c r="M804" s="135"/>
      <c r="N804" s="136"/>
      <c r="O804" s="41">
        <v>6</v>
      </c>
      <c r="P804" s="159">
        <v>2014</v>
      </c>
    </row>
    <row r="805" spans="1:16">
      <c r="A805" s="131">
        <v>25</v>
      </c>
      <c r="B805" s="131" t="s">
        <v>684</v>
      </c>
      <c r="C805" s="132" t="s">
        <v>679</v>
      </c>
      <c r="D805" s="133" t="s">
        <v>701</v>
      </c>
      <c r="E805" s="134">
        <v>1</v>
      </c>
      <c r="G805" s="68"/>
      <c r="I805" s="68"/>
      <c r="J805" s="68"/>
      <c r="K805" s="135">
        <v>98000</v>
      </c>
      <c r="L805" s="135"/>
      <c r="M805" s="135">
        <v>98000</v>
      </c>
      <c r="N805" s="136"/>
      <c r="O805" s="41">
        <v>6</v>
      </c>
      <c r="P805" s="159">
        <v>2014</v>
      </c>
    </row>
    <row r="806" spans="1:16">
      <c r="A806" s="137">
        <v>25</v>
      </c>
      <c r="B806" s="137" t="s">
        <v>684</v>
      </c>
      <c r="C806" s="138" t="s">
        <v>679</v>
      </c>
      <c r="D806" s="139" t="s">
        <v>701</v>
      </c>
      <c r="E806" s="140">
        <v>2</v>
      </c>
      <c r="F806" s="141"/>
      <c r="G806" s="142"/>
      <c r="H806" s="142"/>
      <c r="I806" s="142"/>
      <c r="J806" s="142"/>
      <c r="K806" s="143"/>
      <c r="L806" s="143"/>
      <c r="M806" s="143"/>
      <c r="N806" s="144"/>
      <c r="O806" s="41">
        <v>6</v>
      </c>
      <c r="P806" s="159">
        <v>2014</v>
      </c>
    </row>
    <row r="807" spans="1:16">
      <c r="A807" s="131">
        <v>25</v>
      </c>
      <c r="B807" s="131" t="s">
        <v>684</v>
      </c>
      <c r="C807" s="132" t="s">
        <v>679</v>
      </c>
      <c r="D807" s="133" t="s">
        <v>701</v>
      </c>
      <c r="E807" s="134">
        <v>2</v>
      </c>
      <c r="F807" s="81" t="s">
        <v>680</v>
      </c>
      <c r="G807" s="68" t="s">
        <v>651</v>
      </c>
      <c r="H807" s="68">
        <v>1</v>
      </c>
      <c r="I807" s="68">
        <v>98000</v>
      </c>
      <c r="J807" s="68">
        <v>98000</v>
      </c>
      <c r="K807" s="135"/>
      <c r="L807" s="135"/>
      <c r="M807" s="135"/>
      <c r="N807" s="136"/>
      <c r="O807" s="41">
        <v>6</v>
      </c>
      <c r="P807" s="159">
        <v>2014</v>
      </c>
    </row>
    <row r="808" spans="1:16">
      <c r="A808" s="131">
        <v>25</v>
      </c>
      <c r="B808" s="131" t="s">
        <v>684</v>
      </c>
      <c r="C808" s="132" t="s">
        <v>679</v>
      </c>
      <c r="D808" s="133" t="s">
        <v>701</v>
      </c>
      <c r="E808" s="134">
        <v>2</v>
      </c>
      <c r="G808" s="68"/>
      <c r="I808" s="68"/>
      <c r="J808" s="68"/>
      <c r="K808" s="135">
        <v>98000</v>
      </c>
      <c r="L808" s="135"/>
      <c r="M808" s="135">
        <v>98000</v>
      </c>
      <c r="N808" s="136"/>
      <c r="O808" s="41">
        <v>6</v>
      </c>
      <c r="P808" s="159">
        <v>2014</v>
      </c>
    </row>
    <row r="809" spans="1:16">
      <c r="A809" s="137">
        <v>25</v>
      </c>
      <c r="B809" s="137" t="s">
        <v>684</v>
      </c>
      <c r="C809" s="138" t="s">
        <v>679</v>
      </c>
      <c r="D809" s="139" t="s">
        <v>701</v>
      </c>
      <c r="E809" s="140">
        <v>3</v>
      </c>
      <c r="F809" s="141"/>
      <c r="G809" s="142"/>
      <c r="H809" s="142"/>
      <c r="I809" s="142"/>
      <c r="J809" s="142"/>
      <c r="K809" s="143"/>
      <c r="L809" s="143"/>
      <c r="M809" s="143"/>
      <c r="N809" s="144"/>
      <c r="O809" s="41">
        <v>6</v>
      </c>
      <c r="P809" s="159">
        <v>2014</v>
      </c>
    </row>
    <row r="810" spans="1:16">
      <c r="A810" s="131">
        <v>25</v>
      </c>
      <c r="B810" s="131" t="s">
        <v>684</v>
      </c>
      <c r="C810" s="132" t="s">
        <v>679</v>
      </c>
      <c r="D810" s="133" t="s">
        <v>701</v>
      </c>
      <c r="E810" s="134">
        <v>3</v>
      </c>
      <c r="F810" s="81" t="s">
        <v>697</v>
      </c>
      <c r="G810" s="68" t="s">
        <v>698</v>
      </c>
      <c r="H810" s="68">
        <v>1</v>
      </c>
      <c r="I810" s="68">
        <v>195000</v>
      </c>
      <c r="J810" s="68">
        <v>195000</v>
      </c>
      <c r="K810" s="135"/>
      <c r="L810" s="135"/>
      <c r="M810" s="135"/>
      <c r="N810" s="136"/>
      <c r="O810" s="41">
        <v>6</v>
      </c>
      <c r="P810" s="159">
        <v>2014</v>
      </c>
    </row>
    <row r="811" spans="1:16">
      <c r="A811" s="131">
        <v>25</v>
      </c>
      <c r="B811" s="131" t="s">
        <v>684</v>
      </c>
      <c r="C811" s="132" t="s">
        <v>679</v>
      </c>
      <c r="D811" s="133" t="s">
        <v>701</v>
      </c>
      <c r="E811" s="134">
        <v>3</v>
      </c>
      <c r="G811" s="68"/>
      <c r="I811" s="68"/>
      <c r="J811" s="68"/>
      <c r="K811" s="135">
        <v>195000</v>
      </c>
      <c r="L811" s="135"/>
      <c r="M811" s="135">
        <v>195000</v>
      </c>
      <c r="N811" s="136"/>
      <c r="O811" s="41">
        <v>6</v>
      </c>
      <c r="P811" s="159">
        <v>2014</v>
      </c>
    </row>
    <row r="812" spans="1:16">
      <c r="A812" s="137">
        <v>25</v>
      </c>
      <c r="B812" s="137" t="s">
        <v>684</v>
      </c>
      <c r="C812" s="138" t="s">
        <v>679</v>
      </c>
      <c r="D812" s="139" t="s">
        <v>701</v>
      </c>
      <c r="E812" s="140">
        <v>4</v>
      </c>
      <c r="F812" s="141"/>
      <c r="G812" s="142"/>
      <c r="H812" s="142"/>
      <c r="I812" s="142"/>
      <c r="J812" s="142"/>
      <c r="K812" s="143"/>
      <c r="L812" s="143"/>
      <c r="M812" s="143"/>
      <c r="N812" s="144"/>
      <c r="O812" s="41">
        <v>6</v>
      </c>
      <c r="P812" s="159">
        <v>2014</v>
      </c>
    </row>
    <row r="813" spans="1:16">
      <c r="A813" s="131">
        <v>25</v>
      </c>
      <c r="B813" s="131" t="s">
        <v>684</v>
      </c>
      <c r="C813" s="132" t="s">
        <v>679</v>
      </c>
      <c r="D813" s="133" t="s">
        <v>701</v>
      </c>
      <c r="E813" s="134">
        <v>4</v>
      </c>
      <c r="F813" s="81" t="s">
        <v>680</v>
      </c>
      <c r="G813" s="68" t="s">
        <v>651</v>
      </c>
      <c r="H813" s="68">
        <v>1</v>
      </c>
      <c r="I813" s="68">
        <v>98000</v>
      </c>
      <c r="J813" s="68">
        <v>98000</v>
      </c>
      <c r="K813" s="135"/>
      <c r="L813" s="135"/>
      <c r="M813" s="135"/>
      <c r="N813" s="136"/>
      <c r="O813" s="41">
        <v>6</v>
      </c>
      <c r="P813" s="159">
        <v>2014</v>
      </c>
    </row>
    <row r="814" spans="1:16">
      <c r="A814" s="131">
        <v>25</v>
      </c>
      <c r="B814" s="131" t="s">
        <v>684</v>
      </c>
      <c r="C814" s="132" t="s">
        <v>679</v>
      </c>
      <c r="D814" s="133" t="s">
        <v>701</v>
      </c>
      <c r="E814" s="134">
        <v>4</v>
      </c>
      <c r="G814" s="68"/>
      <c r="I814" s="68"/>
      <c r="J814" s="68"/>
      <c r="K814" s="135">
        <v>98000</v>
      </c>
      <c r="L814" s="135"/>
      <c r="M814" s="135">
        <v>98000</v>
      </c>
      <c r="N814" s="136"/>
      <c r="O814" s="41">
        <v>6</v>
      </c>
      <c r="P814" s="159">
        <v>2014</v>
      </c>
    </row>
    <row r="815" spans="1:16">
      <c r="A815" s="137">
        <v>25</v>
      </c>
      <c r="B815" s="137" t="s">
        <v>684</v>
      </c>
      <c r="C815" s="138" t="s">
        <v>679</v>
      </c>
      <c r="D815" s="139" t="s">
        <v>701</v>
      </c>
      <c r="E815" s="140">
        <v>5</v>
      </c>
      <c r="F815" s="141"/>
      <c r="G815" s="142"/>
      <c r="H815" s="142"/>
      <c r="I815" s="142"/>
      <c r="J815" s="142"/>
      <c r="K815" s="143"/>
      <c r="L815" s="143"/>
      <c r="M815" s="143"/>
      <c r="N815" s="144"/>
      <c r="O815" s="41">
        <v>6</v>
      </c>
      <c r="P815" s="159">
        <v>2014</v>
      </c>
    </row>
    <row r="816" spans="1:16">
      <c r="A816" s="131">
        <v>25</v>
      </c>
      <c r="B816" s="131" t="s">
        <v>684</v>
      </c>
      <c r="C816" s="132" t="s">
        <v>679</v>
      </c>
      <c r="D816" s="133" t="s">
        <v>701</v>
      </c>
      <c r="E816" s="134">
        <v>5</v>
      </c>
      <c r="F816" s="81" t="s">
        <v>680</v>
      </c>
      <c r="G816" s="68" t="s">
        <v>651</v>
      </c>
      <c r="H816" s="68">
        <v>1</v>
      </c>
      <c r="I816" s="68">
        <v>98000</v>
      </c>
      <c r="J816" s="68">
        <v>98000</v>
      </c>
      <c r="K816" s="135"/>
      <c r="L816" s="135"/>
      <c r="M816" s="135"/>
      <c r="N816" s="136"/>
      <c r="O816" s="41">
        <v>6</v>
      </c>
      <c r="P816" s="159">
        <v>2014</v>
      </c>
    </row>
    <row r="817" spans="1:16">
      <c r="A817" s="131">
        <v>25</v>
      </c>
      <c r="B817" s="131" t="s">
        <v>684</v>
      </c>
      <c r="C817" s="132" t="s">
        <v>679</v>
      </c>
      <c r="D817" s="133" t="s">
        <v>701</v>
      </c>
      <c r="E817" s="134">
        <v>5</v>
      </c>
      <c r="F817" s="81" t="s">
        <v>689</v>
      </c>
      <c r="G817" s="68" t="s">
        <v>690</v>
      </c>
      <c r="H817" s="68">
        <v>1</v>
      </c>
      <c r="I817" s="68">
        <v>85000</v>
      </c>
      <c r="J817" s="68">
        <v>85000</v>
      </c>
      <c r="K817" s="135"/>
      <c r="L817" s="135"/>
      <c r="M817" s="135"/>
      <c r="N817" s="136"/>
      <c r="O817" s="41">
        <v>6</v>
      </c>
      <c r="P817" s="159">
        <v>2014</v>
      </c>
    </row>
    <row r="818" spans="1:16">
      <c r="A818" s="131">
        <v>25</v>
      </c>
      <c r="B818" s="131" t="s">
        <v>684</v>
      </c>
      <c r="C818" s="132" t="s">
        <v>679</v>
      </c>
      <c r="D818" s="133" t="s">
        <v>701</v>
      </c>
      <c r="E818" s="134">
        <v>5</v>
      </c>
      <c r="G818" s="68"/>
      <c r="I818" s="68"/>
      <c r="J818" s="68"/>
      <c r="K818" s="135">
        <v>183000</v>
      </c>
      <c r="L818" s="135"/>
      <c r="M818" s="135">
        <v>183000</v>
      </c>
      <c r="N818" s="136"/>
      <c r="O818" s="41">
        <v>6</v>
      </c>
      <c r="P818" s="159">
        <v>2014</v>
      </c>
    </row>
    <row r="819" spans="1:16">
      <c r="A819" s="137">
        <v>25</v>
      </c>
      <c r="B819" s="137" t="s">
        <v>684</v>
      </c>
      <c r="C819" s="138" t="s">
        <v>679</v>
      </c>
      <c r="D819" s="139" t="s">
        <v>701</v>
      </c>
      <c r="E819" s="140">
        <v>6</v>
      </c>
      <c r="F819" s="141"/>
      <c r="G819" s="142"/>
      <c r="H819" s="142"/>
      <c r="I819" s="142"/>
      <c r="J819" s="142"/>
      <c r="K819" s="143"/>
      <c r="L819" s="143"/>
      <c r="M819" s="143"/>
      <c r="N819" s="144"/>
      <c r="O819" s="41">
        <v>6</v>
      </c>
      <c r="P819" s="159">
        <v>2014</v>
      </c>
    </row>
    <row r="820" spans="1:16">
      <c r="A820" s="131">
        <v>25</v>
      </c>
      <c r="B820" s="131" t="s">
        <v>684</v>
      </c>
      <c r="C820" s="132" t="s">
        <v>679</v>
      </c>
      <c r="D820" s="133" t="s">
        <v>701</v>
      </c>
      <c r="E820" s="134">
        <v>6</v>
      </c>
      <c r="F820" s="81" t="s">
        <v>695</v>
      </c>
      <c r="G820" s="68" t="s">
        <v>696</v>
      </c>
      <c r="H820" s="68">
        <v>1</v>
      </c>
      <c r="I820" s="68">
        <v>115000</v>
      </c>
      <c r="J820" s="68">
        <v>115000</v>
      </c>
      <c r="K820" s="135"/>
      <c r="L820" s="135"/>
      <c r="M820" s="135"/>
      <c r="N820" s="136"/>
      <c r="O820" s="41">
        <v>6</v>
      </c>
      <c r="P820" s="159">
        <v>2014</v>
      </c>
    </row>
    <row r="821" spans="1:16">
      <c r="A821" s="131">
        <v>25</v>
      </c>
      <c r="B821" s="131" t="s">
        <v>684</v>
      </c>
      <c r="C821" s="132" t="s">
        <v>679</v>
      </c>
      <c r="D821" s="133" t="s">
        <v>701</v>
      </c>
      <c r="E821" s="134">
        <v>6</v>
      </c>
      <c r="G821" s="68"/>
      <c r="I821" s="68"/>
      <c r="J821" s="68"/>
      <c r="K821" s="135">
        <v>115000</v>
      </c>
      <c r="L821" s="135"/>
      <c r="M821" s="135">
        <v>115000</v>
      </c>
      <c r="N821" s="136"/>
      <c r="O821" s="41">
        <v>6</v>
      </c>
      <c r="P821" s="159">
        <v>2014</v>
      </c>
    </row>
    <row r="822" spans="1:16">
      <c r="A822" s="137">
        <v>26</v>
      </c>
      <c r="B822" s="137" t="s">
        <v>684</v>
      </c>
      <c r="C822" s="138" t="s">
        <v>679</v>
      </c>
      <c r="D822" s="139" t="s">
        <v>701</v>
      </c>
      <c r="E822" s="140">
        <v>1</v>
      </c>
      <c r="F822" s="141"/>
      <c r="G822" s="142"/>
      <c r="H822" s="142"/>
      <c r="I822" s="142"/>
      <c r="J822" s="142"/>
      <c r="K822" s="143"/>
      <c r="L822" s="143"/>
      <c r="M822" s="143"/>
      <c r="N822" s="144"/>
      <c r="O822" s="41">
        <v>6</v>
      </c>
      <c r="P822" s="159">
        <v>2014</v>
      </c>
    </row>
    <row r="823" spans="1:16">
      <c r="A823" s="131">
        <v>26</v>
      </c>
      <c r="B823" s="131" t="s">
        <v>684</v>
      </c>
      <c r="C823" s="132" t="s">
        <v>679</v>
      </c>
      <c r="D823" s="133" t="s">
        <v>701</v>
      </c>
      <c r="E823" s="134">
        <v>1</v>
      </c>
      <c r="F823" s="81" t="s">
        <v>724</v>
      </c>
      <c r="G823" s="68" t="s">
        <v>658</v>
      </c>
      <c r="H823" s="68">
        <v>1</v>
      </c>
      <c r="I823" s="68">
        <v>98000</v>
      </c>
      <c r="J823" s="68">
        <v>98000</v>
      </c>
      <c r="K823" s="135"/>
      <c r="L823" s="135"/>
      <c r="M823" s="135"/>
      <c r="N823" s="136"/>
      <c r="O823" s="41">
        <v>6</v>
      </c>
      <c r="P823" s="159">
        <v>2014</v>
      </c>
    </row>
    <row r="824" spans="1:16">
      <c r="A824" s="131">
        <v>26</v>
      </c>
      <c r="B824" s="131" t="s">
        <v>684</v>
      </c>
      <c r="C824" s="132" t="s">
        <v>679</v>
      </c>
      <c r="D824" s="133" t="s">
        <v>701</v>
      </c>
      <c r="E824" s="134">
        <v>1</v>
      </c>
      <c r="G824" s="68"/>
      <c r="I824" s="68"/>
      <c r="J824" s="68"/>
      <c r="K824" s="135">
        <v>98000</v>
      </c>
      <c r="L824" s="135"/>
      <c r="M824" s="135">
        <v>98000</v>
      </c>
      <c r="N824" s="136"/>
      <c r="O824" s="41">
        <v>6</v>
      </c>
      <c r="P824" s="159">
        <v>2014</v>
      </c>
    </row>
    <row r="825" spans="1:16">
      <c r="A825" s="137">
        <v>26</v>
      </c>
      <c r="B825" s="137" t="s">
        <v>684</v>
      </c>
      <c r="C825" s="138" t="s">
        <v>679</v>
      </c>
      <c r="D825" s="139" t="s">
        <v>701</v>
      </c>
      <c r="E825" s="140">
        <v>2</v>
      </c>
      <c r="F825" s="141"/>
      <c r="G825" s="142"/>
      <c r="H825" s="142"/>
      <c r="I825" s="142"/>
      <c r="J825" s="142"/>
      <c r="K825" s="143"/>
      <c r="L825" s="143"/>
      <c r="M825" s="143"/>
      <c r="N825" s="144"/>
      <c r="O825" s="41">
        <v>6</v>
      </c>
      <c r="P825" s="159">
        <v>2014</v>
      </c>
    </row>
    <row r="826" spans="1:16">
      <c r="A826" s="131">
        <v>26</v>
      </c>
      <c r="B826" s="131" t="s">
        <v>684</v>
      </c>
      <c r="C826" s="132" t="s">
        <v>679</v>
      </c>
      <c r="D826" s="133" t="s">
        <v>701</v>
      </c>
      <c r="E826" s="134">
        <v>2</v>
      </c>
      <c r="F826" s="81" t="s">
        <v>680</v>
      </c>
      <c r="G826" s="68" t="s">
        <v>651</v>
      </c>
      <c r="H826" s="68">
        <v>1</v>
      </c>
      <c r="I826" s="68">
        <v>98000</v>
      </c>
      <c r="J826" s="68">
        <v>98000</v>
      </c>
      <c r="K826" s="135"/>
      <c r="L826" s="135"/>
      <c r="M826" s="135"/>
      <c r="N826" s="136"/>
      <c r="O826" s="41">
        <v>6</v>
      </c>
      <c r="P826" s="159">
        <v>2014</v>
      </c>
    </row>
    <row r="827" spans="1:16">
      <c r="A827" s="131">
        <v>26</v>
      </c>
      <c r="B827" s="131" t="s">
        <v>684</v>
      </c>
      <c r="C827" s="132" t="s">
        <v>679</v>
      </c>
      <c r="D827" s="133" t="s">
        <v>701</v>
      </c>
      <c r="E827" s="134">
        <v>2</v>
      </c>
      <c r="G827" s="68"/>
      <c r="I827" s="68"/>
      <c r="J827" s="68"/>
      <c r="K827" s="135">
        <v>98000</v>
      </c>
      <c r="L827" s="135"/>
      <c r="M827" s="135">
        <v>98000</v>
      </c>
      <c r="N827" s="136"/>
      <c r="O827" s="41">
        <v>6</v>
      </c>
      <c r="P827" s="159">
        <v>2014</v>
      </c>
    </row>
    <row r="828" spans="1:16">
      <c r="A828" s="137">
        <v>26</v>
      </c>
      <c r="B828" s="137" t="s">
        <v>684</v>
      </c>
      <c r="C828" s="138" t="s">
        <v>679</v>
      </c>
      <c r="D828" s="139" t="s">
        <v>701</v>
      </c>
      <c r="E828" s="140">
        <v>3</v>
      </c>
      <c r="F828" s="141"/>
      <c r="G828" s="142"/>
      <c r="H828" s="142"/>
      <c r="I828" s="142"/>
      <c r="J828" s="142"/>
      <c r="K828" s="143"/>
      <c r="L828" s="143"/>
      <c r="M828" s="143"/>
      <c r="N828" s="144"/>
      <c r="O828" s="41">
        <v>6</v>
      </c>
      <c r="P828" s="159">
        <v>2014</v>
      </c>
    </row>
    <row r="829" spans="1:16">
      <c r="A829" s="131">
        <v>26</v>
      </c>
      <c r="B829" s="131" t="s">
        <v>684</v>
      </c>
      <c r="C829" s="132" t="s">
        <v>679</v>
      </c>
      <c r="D829" s="133" t="s">
        <v>701</v>
      </c>
      <c r="E829" s="134">
        <v>3</v>
      </c>
      <c r="F829" s="81" t="s">
        <v>686</v>
      </c>
      <c r="G829" s="68" t="s">
        <v>682</v>
      </c>
      <c r="H829" s="68">
        <v>1</v>
      </c>
      <c r="I829" s="68">
        <v>115000</v>
      </c>
      <c r="J829" s="68">
        <v>115000</v>
      </c>
      <c r="K829" s="135"/>
      <c r="L829" s="135"/>
      <c r="M829" s="135"/>
      <c r="N829" s="136"/>
      <c r="O829" s="41">
        <v>6</v>
      </c>
      <c r="P829" s="159">
        <v>2014</v>
      </c>
    </row>
    <row r="830" spans="1:16">
      <c r="A830" s="131">
        <v>26</v>
      </c>
      <c r="B830" s="131" t="s">
        <v>684</v>
      </c>
      <c r="C830" s="132" t="s">
        <v>679</v>
      </c>
      <c r="D830" s="133" t="s">
        <v>701</v>
      </c>
      <c r="E830" s="134">
        <v>3</v>
      </c>
      <c r="F830" s="81" t="s">
        <v>695</v>
      </c>
      <c r="G830" s="68" t="s">
        <v>696</v>
      </c>
      <c r="H830" s="68">
        <v>1</v>
      </c>
      <c r="I830" s="68">
        <v>115000</v>
      </c>
      <c r="J830" s="68">
        <v>115000</v>
      </c>
      <c r="K830" s="135"/>
      <c r="L830" s="135"/>
      <c r="M830" s="135"/>
      <c r="N830" s="136"/>
      <c r="O830" s="41">
        <v>6</v>
      </c>
      <c r="P830" s="159">
        <v>2014</v>
      </c>
    </row>
    <row r="831" spans="1:16">
      <c r="A831" s="131">
        <v>26</v>
      </c>
      <c r="B831" s="131" t="s">
        <v>684</v>
      </c>
      <c r="C831" s="132" t="s">
        <v>679</v>
      </c>
      <c r="D831" s="133" t="s">
        <v>701</v>
      </c>
      <c r="E831" s="134">
        <v>3</v>
      </c>
      <c r="G831" s="68"/>
      <c r="I831" s="68"/>
      <c r="J831" s="68"/>
      <c r="K831" s="135">
        <v>230000</v>
      </c>
      <c r="L831" s="135"/>
      <c r="M831" s="135">
        <v>230000</v>
      </c>
      <c r="N831" s="136"/>
      <c r="O831" s="41">
        <v>6</v>
      </c>
      <c r="P831" s="159">
        <v>2014</v>
      </c>
    </row>
    <row r="832" spans="1:16">
      <c r="A832" s="137">
        <v>26</v>
      </c>
      <c r="B832" s="137" t="s">
        <v>684</v>
      </c>
      <c r="C832" s="138" t="s">
        <v>679</v>
      </c>
      <c r="D832" s="139" t="s">
        <v>701</v>
      </c>
      <c r="E832" s="140">
        <v>4</v>
      </c>
      <c r="F832" s="141"/>
      <c r="G832" s="142"/>
      <c r="H832" s="142"/>
      <c r="I832" s="142"/>
      <c r="J832" s="142"/>
      <c r="K832" s="143"/>
      <c r="L832" s="143"/>
      <c r="M832" s="143"/>
      <c r="N832" s="144"/>
      <c r="O832" s="41">
        <v>6</v>
      </c>
      <c r="P832" s="159">
        <v>2014</v>
      </c>
    </row>
    <row r="833" spans="1:16">
      <c r="A833" s="131">
        <v>26</v>
      </c>
      <c r="B833" s="131" t="s">
        <v>684</v>
      </c>
      <c r="C833" s="132" t="s">
        <v>679</v>
      </c>
      <c r="D833" s="133" t="s">
        <v>701</v>
      </c>
      <c r="E833" s="134">
        <v>4</v>
      </c>
      <c r="F833" s="81" t="s">
        <v>680</v>
      </c>
      <c r="G833" s="68" t="s">
        <v>651</v>
      </c>
      <c r="H833" s="68">
        <v>1</v>
      </c>
      <c r="I833" s="68">
        <v>98000</v>
      </c>
      <c r="J833" s="68">
        <v>98000</v>
      </c>
      <c r="K833" s="135"/>
      <c r="L833" s="135"/>
      <c r="M833" s="135"/>
      <c r="N833" s="136"/>
      <c r="O833" s="41">
        <v>6</v>
      </c>
      <c r="P833" s="159">
        <v>2014</v>
      </c>
    </row>
    <row r="834" spans="1:16">
      <c r="A834" s="131">
        <v>26</v>
      </c>
      <c r="B834" s="131" t="s">
        <v>684</v>
      </c>
      <c r="C834" s="132" t="s">
        <v>679</v>
      </c>
      <c r="D834" s="133" t="s">
        <v>701</v>
      </c>
      <c r="E834" s="134">
        <v>4</v>
      </c>
      <c r="G834" s="68"/>
      <c r="I834" s="68"/>
      <c r="J834" s="68"/>
      <c r="K834" s="135">
        <v>98000</v>
      </c>
      <c r="L834" s="135"/>
      <c r="M834" s="135">
        <v>98000</v>
      </c>
      <c r="N834" s="136"/>
      <c r="O834" s="41">
        <v>6</v>
      </c>
      <c r="P834" s="159">
        <v>2014</v>
      </c>
    </row>
    <row r="835" spans="1:16">
      <c r="A835" s="145">
        <v>27</v>
      </c>
      <c r="B835" s="145" t="s">
        <v>681</v>
      </c>
      <c r="C835" s="146" t="s">
        <v>720</v>
      </c>
      <c r="D835" s="147" t="s">
        <v>701</v>
      </c>
      <c r="E835" s="148">
        <v>1</v>
      </c>
      <c r="F835" s="141"/>
      <c r="G835" s="149"/>
      <c r="H835" s="142"/>
      <c r="I835" s="149"/>
      <c r="J835" s="149"/>
      <c r="K835" s="150"/>
      <c r="L835" s="150"/>
      <c r="M835" s="150"/>
      <c r="N835" s="151"/>
      <c r="O835" s="41">
        <v>6</v>
      </c>
      <c r="P835" s="159">
        <v>2014</v>
      </c>
    </row>
    <row r="836" spans="1:16">
      <c r="A836" s="43">
        <v>27</v>
      </c>
      <c r="B836" s="43" t="s">
        <v>681</v>
      </c>
      <c r="C836" s="52" t="s">
        <v>720</v>
      </c>
      <c r="D836" s="94" t="s">
        <v>701</v>
      </c>
      <c r="E836" s="89">
        <v>1</v>
      </c>
      <c r="F836" s="81" t="s">
        <v>725</v>
      </c>
      <c r="G836" t="s">
        <v>658</v>
      </c>
      <c r="H836" s="68">
        <v>1</v>
      </c>
      <c r="I836">
        <v>98000</v>
      </c>
      <c r="J836">
        <v>98000</v>
      </c>
      <c r="O836" s="41">
        <v>6</v>
      </c>
      <c r="P836" s="159">
        <v>2014</v>
      </c>
    </row>
    <row r="837" spans="1:16">
      <c r="A837" s="43">
        <v>27</v>
      </c>
      <c r="B837" s="43" t="s">
        <v>681</v>
      </c>
      <c r="C837" s="52" t="s">
        <v>720</v>
      </c>
      <c r="D837" s="94" t="s">
        <v>701</v>
      </c>
      <c r="E837" s="89">
        <v>1</v>
      </c>
      <c r="F837" s="81" t="s">
        <v>726</v>
      </c>
      <c r="G837" t="s">
        <v>657</v>
      </c>
      <c r="H837" s="68">
        <v>1</v>
      </c>
      <c r="I837">
        <v>98000</v>
      </c>
      <c r="J837">
        <v>98000</v>
      </c>
      <c r="O837" s="41">
        <v>6</v>
      </c>
      <c r="P837" s="159">
        <v>2014</v>
      </c>
    </row>
    <row r="838" spans="1:16">
      <c r="A838" s="43">
        <v>27</v>
      </c>
      <c r="B838" s="43" t="s">
        <v>681</v>
      </c>
      <c r="C838" s="52" t="s">
        <v>720</v>
      </c>
      <c r="D838" s="94" t="s">
        <v>701</v>
      </c>
      <c r="E838" s="89">
        <v>1</v>
      </c>
      <c r="K838" s="41">
        <v>196000</v>
      </c>
      <c r="M838" s="41">
        <v>196000</v>
      </c>
      <c r="O838" s="41">
        <v>6</v>
      </c>
      <c r="P838" s="159">
        <v>2014</v>
      </c>
    </row>
    <row r="839" spans="1:16">
      <c r="A839" s="145">
        <v>27</v>
      </c>
      <c r="B839" s="145" t="s">
        <v>681</v>
      </c>
      <c r="C839" s="146" t="s">
        <v>720</v>
      </c>
      <c r="D839" s="147" t="s">
        <v>701</v>
      </c>
      <c r="E839" s="148">
        <v>2</v>
      </c>
      <c r="F839" s="141"/>
      <c r="G839" s="149"/>
      <c r="H839" s="142"/>
      <c r="I839" s="149"/>
      <c r="J839" s="149"/>
      <c r="K839" s="150"/>
      <c r="L839" s="150"/>
      <c r="M839" s="150"/>
      <c r="N839" s="151"/>
      <c r="O839" s="41">
        <v>6</v>
      </c>
      <c r="P839" s="159">
        <v>2014</v>
      </c>
    </row>
    <row r="840" spans="1:16">
      <c r="A840" s="43">
        <v>27</v>
      </c>
      <c r="B840" s="43" t="s">
        <v>681</v>
      </c>
      <c r="C840" s="52" t="s">
        <v>720</v>
      </c>
      <c r="D840" s="94" t="s">
        <v>701</v>
      </c>
      <c r="E840" s="89">
        <v>2</v>
      </c>
      <c r="F840" s="81" t="s">
        <v>727</v>
      </c>
      <c r="G840" t="s">
        <v>652</v>
      </c>
      <c r="H840" s="68">
        <v>1</v>
      </c>
      <c r="I840">
        <v>98000</v>
      </c>
      <c r="J840">
        <v>98000</v>
      </c>
      <c r="O840" s="41">
        <v>6</v>
      </c>
      <c r="P840" s="159">
        <v>2014</v>
      </c>
    </row>
    <row r="841" spans="1:16">
      <c r="A841" s="43">
        <v>27</v>
      </c>
      <c r="B841" s="43" t="s">
        <v>681</v>
      </c>
      <c r="C841" s="52" t="s">
        <v>720</v>
      </c>
      <c r="D841" s="94" t="s">
        <v>701</v>
      </c>
      <c r="E841" s="89">
        <v>2</v>
      </c>
      <c r="K841" s="41">
        <v>98000</v>
      </c>
      <c r="M841" s="41">
        <v>98000</v>
      </c>
      <c r="O841" s="41">
        <v>6</v>
      </c>
      <c r="P841" s="159">
        <v>2014</v>
      </c>
    </row>
    <row r="842" spans="1:16">
      <c r="A842" s="145">
        <v>27</v>
      </c>
      <c r="B842" s="145" t="s">
        <v>681</v>
      </c>
      <c r="C842" s="146" t="s">
        <v>720</v>
      </c>
      <c r="D842" s="147" t="s">
        <v>701</v>
      </c>
      <c r="E842" s="148">
        <v>3</v>
      </c>
      <c r="F842" s="141"/>
      <c r="G842" s="149"/>
      <c r="H842" s="142"/>
      <c r="I842" s="149"/>
      <c r="J842" s="149"/>
      <c r="K842" s="150"/>
      <c r="L842" s="150"/>
      <c r="M842" s="150"/>
      <c r="N842" s="151"/>
      <c r="O842" s="41">
        <v>6</v>
      </c>
      <c r="P842" s="159">
        <v>2014</v>
      </c>
    </row>
    <row r="843" spans="1:16">
      <c r="A843" s="43">
        <v>27</v>
      </c>
      <c r="B843" s="43" t="s">
        <v>681</v>
      </c>
      <c r="C843" s="52" t="s">
        <v>720</v>
      </c>
      <c r="D843" s="94" t="s">
        <v>701</v>
      </c>
      <c r="E843" s="89">
        <v>3</v>
      </c>
      <c r="F843" s="81" t="s">
        <v>728</v>
      </c>
      <c r="G843" t="s">
        <v>690</v>
      </c>
      <c r="H843" s="68">
        <v>1</v>
      </c>
      <c r="I843">
        <v>85000</v>
      </c>
      <c r="J843">
        <v>85000</v>
      </c>
      <c r="O843" s="41">
        <v>6</v>
      </c>
      <c r="P843" s="159">
        <v>2014</v>
      </c>
    </row>
    <row r="844" spans="1:16">
      <c r="A844" s="43">
        <v>27</v>
      </c>
      <c r="B844" s="43" t="s">
        <v>681</v>
      </c>
      <c r="C844" s="52" t="s">
        <v>720</v>
      </c>
      <c r="D844" s="94" t="s">
        <v>701</v>
      </c>
      <c r="E844" s="89">
        <v>3</v>
      </c>
      <c r="K844" s="41">
        <v>85000</v>
      </c>
      <c r="M844" s="41">
        <v>85000</v>
      </c>
      <c r="O844" s="41">
        <v>6</v>
      </c>
      <c r="P844" s="159">
        <v>2014</v>
      </c>
    </row>
    <row r="845" spans="1:16">
      <c r="A845" s="137">
        <v>28</v>
      </c>
      <c r="B845" s="137" t="s">
        <v>684</v>
      </c>
      <c r="C845" s="138" t="s">
        <v>679</v>
      </c>
      <c r="D845" s="139" t="s">
        <v>701</v>
      </c>
      <c r="E845" s="140">
        <v>1</v>
      </c>
      <c r="F845" s="141"/>
      <c r="G845" s="142"/>
      <c r="H845" s="142"/>
      <c r="I845" s="142"/>
      <c r="J845" s="142"/>
      <c r="K845" s="143"/>
      <c r="L845" s="143"/>
      <c r="M845" s="143"/>
      <c r="N845" s="144"/>
      <c r="O845" s="41">
        <v>6</v>
      </c>
      <c r="P845" s="159">
        <v>2014</v>
      </c>
    </row>
    <row r="846" spans="1:16">
      <c r="A846" s="131">
        <v>28</v>
      </c>
      <c r="B846" s="131" t="s">
        <v>684</v>
      </c>
      <c r="C846" s="132" t="s">
        <v>679</v>
      </c>
      <c r="D846" s="133" t="s">
        <v>701</v>
      </c>
      <c r="E846" s="134">
        <v>1</v>
      </c>
      <c r="F846" s="81" t="s">
        <v>697</v>
      </c>
      <c r="G846" s="68" t="s">
        <v>698</v>
      </c>
      <c r="H846" s="68">
        <v>1</v>
      </c>
      <c r="I846" s="68">
        <v>195000</v>
      </c>
      <c r="J846" s="68">
        <v>195000</v>
      </c>
      <c r="K846" s="135"/>
      <c r="L846" s="135"/>
      <c r="M846" s="135"/>
      <c r="N846" s="136"/>
      <c r="O846" s="41">
        <v>6</v>
      </c>
      <c r="P846" s="159">
        <v>2014</v>
      </c>
    </row>
    <row r="847" spans="1:16">
      <c r="A847" s="131">
        <v>28</v>
      </c>
      <c r="B847" s="131" t="s">
        <v>684</v>
      </c>
      <c r="C847" s="132" t="s">
        <v>679</v>
      </c>
      <c r="D847" s="133" t="s">
        <v>701</v>
      </c>
      <c r="E847" s="134">
        <v>1</v>
      </c>
      <c r="G847" s="68"/>
      <c r="I847" s="68"/>
      <c r="J847" s="68"/>
      <c r="K847" s="135">
        <v>195000</v>
      </c>
      <c r="L847" s="135"/>
      <c r="M847" s="135">
        <v>195000</v>
      </c>
      <c r="N847" s="136"/>
      <c r="O847" s="41">
        <v>6</v>
      </c>
      <c r="P847" s="159">
        <v>2014</v>
      </c>
    </row>
    <row r="848" spans="1:16">
      <c r="A848" s="137">
        <v>28</v>
      </c>
      <c r="B848" s="137" t="s">
        <v>684</v>
      </c>
      <c r="C848" s="138" t="s">
        <v>679</v>
      </c>
      <c r="D848" s="139" t="s">
        <v>701</v>
      </c>
      <c r="E848" s="140">
        <v>2</v>
      </c>
      <c r="F848" s="141"/>
      <c r="G848" s="142"/>
      <c r="H848" s="142"/>
      <c r="I848" s="142"/>
      <c r="J848" s="142"/>
      <c r="K848" s="143"/>
      <c r="L848" s="143"/>
      <c r="M848" s="143"/>
      <c r="N848" s="144"/>
      <c r="O848" s="41">
        <v>6</v>
      </c>
      <c r="P848" s="159">
        <v>2014</v>
      </c>
    </row>
    <row r="849" spans="1:16">
      <c r="A849" s="131">
        <v>28</v>
      </c>
      <c r="B849" s="131" t="s">
        <v>684</v>
      </c>
      <c r="C849" s="132" t="s">
        <v>679</v>
      </c>
      <c r="D849" s="133" t="s">
        <v>701</v>
      </c>
      <c r="E849" s="134">
        <v>2</v>
      </c>
      <c r="F849" s="81" t="s">
        <v>695</v>
      </c>
      <c r="G849" s="68" t="s">
        <v>696</v>
      </c>
      <c r="H849" s="68">
        <v>2</v>
      </c>
      <c r="I849" s="68">
        <v>115000</v>
      </c>
      <c r="J849" s="68">
        <v>230000</v>
      </c>
      <c r="K849" s="135"/>
      <c r="L849" s="135"/>
      <c r="M849" s="135"/>
      <c r="N849" s="136"/>
      <c r="O849" s="41">
        <v>6</v>
      </c>
      <c r="P849" s="159">
        <v>2014</v>
      </c>
    </row>
    <row r="850" spans="1:16">
      <c r="A850" s="131">
        <v>28</v>
      </c>
      <c r="B850" s="131" t="s">
        <v>684</v>
      </c>
      <c r="C850" s="132" t="s">
        <v>679</v>
      </c>
      <c r="D850" s="133" t="s">
        <v>701</v>
      </c>
      <c r="E850" s="134">
        <v>2</v>
      </c>
      <c r="F850" s="81" t="s">
        <v>697</v>
      </c>
      <c r="G850" s="68" t="s">
        <v>698</v>
      </c>
      <c r="H850" s="68">
        <v>1</v>
      </c>
      <c r="I850" s="68">
        <v>195000</v>
      </c>
      <c r="J850" s="68">
        <v>195000</v>
      </c>
      <c r="K850" s="135"/>
      <c r="L850" s="135"/>
      <c r="M850" s="135"/>
      <c r="N850" s="136"/>
      <c r="O850" s="41">
        <v>6</v>
      </c>
      <c r="P850" s="159">
        <v>2014</v>
      </c>
    </row>
    <row r="851" spans="1:16">
      <c r="A851" s="131">
        <v>28</v>
      </c>
      <c r="B851" s="131" t="s">
        <v>684</v>
      </c>
      <c r="C851" s="132" t="s">
        <v>679</v>
      </c>
      <c r="D851" s="133" t="s">
        <v>701</v>
      </c>
      <c r="E851" s="134">
        <v>2</v>
      </c>
      <c r="G851" s="68"/>
      <c r="I851" s="68"/>
      <c r="J851" s="68"/>
      <c r="K851" s="135">
        <v>425000</v>
      </c>
      <c r="L851" s="135"/>
      <c r="M851" s="135">
        <v>425000</v>
      </c>
      <c r="N851" s="136"/>
      <c r="O851" s="41">
        <v>6</v>
      </c>
      <c r="P851" s="159">
        <v>2014</v>
      </c>
    </row>
    <row r="852" spans="1:16">
      <c r="A852" s="137">
        <v>28</v>
      </c>
      <c r="B852" s="137" t="s">
        <v>684</v>
      </c>
      <c r="C852" s="138" t="s">
        <v>679</v>
      </c>
      <c r="D852" s="139" t="s">
        <v>701</v>
      </c>
      <c r="E852" s="140">
        <v>3</v>
      </c>
      <c r="F852" s="141"/>
      <c r="G852" s="142"/>
      <c r="H852" s="142"/>
      <c r="I852" s="142"/>
      <c r="J852" s="142"/>
      <c r="K852" s="143"/>
      <c r="L852" s="143"/>
      <c r="M852" s="143"/>
      <c r="N852" s="144"/>
      <c r="O852" s="41">
        <v>6</v>
      </c>
      <c r="P852" s="159">
        <v>2014</v>
      </c>
    </row>
    <row r="853" spans="1:16">
      <c r="A853" s="131">
        <v>28</v>
      </c>
      <c r="B853" s="131" t="s">
        <v>684</v>
      </c>
      <c r="C853" s="132" t="s">
        <v>679</v>
      </c>
      <c r="D853" s="133" t="s">
        <v>701</v>
      </c>
      <c r="E853" s="134">
        <v>3</v>
      </c>
      <c r="F853" s="81" t="s">
        <v>697</v>
      </c>
      <c r="G853" s="68" t="s">
        <v>698</v>
      </c>
      <c r="H853" s="68">
        <v>1</v>
      </c>
      <c r="I853" s="68">
        <v>195000</v>
      </c>
      <c r="J853" s="68">
        <v>195000</v>
      </c>
      <c r="K853" s="135"/>
      <c r="L853" s="135"/>
      <c r="M853" s="135"/>
      <c r="N853" s="136"/>
      <c r="O853" s="41">
        <v>6</v>
      </c>
      <c r="P853" s="159">
        <v>2014</v>
      </c>
    </row>
    <row r="854" spans="1:16">
      <c r="A854" s="131">
        <v>28</v>
      </c>
      <c r="B854" s="131" t="s">
        <v>684</v>
      </c>
      <c r="C854" s="132" t="s">
        <v>679</v>
      </c>
      <c r="D854" s="133" t="s">
        <v>701</v>
      </c>
      <c r="E854" s="134">
        <v>3</v>
      </c>
      <c r="G854" s="68"/>
      <c r="I854" s="68"/>
      <c r="J854" s="68"/>
      <c r="K854" s="135">
        <v>195000</v>
      </c>
      <c r="L854" s="135"/>
      <c r="M854" s="135">
        <v>195000</v>
      </c>
      <c r="N854" s="136"/>
      <c r="O854" s="41">
        <v>6</v>
      </c>
      <c r="P854" s="159">
        <v>2014</v>
      </c>
    </row>
    <row r="855" spans="1:16">
      <c r="A855" s="145">
        <v>29</v>
      </c>
      <c r="B855" s="145" t="s">
        <v>681</v>
      </c>
      <c r="C855" s="146" t="s">
        <v>685</v>
      </c>
      <c r="D855" s="147" t="s">
        <v>701</v>
      </c>
      <c r="E855" s="148">
        <v>1</v>
      </c>
      <c r="F855" s="141"/>
      <c r="G855" s="149"/>
      <c r="H855" s="142"/>
      <c r="I855" s="149"/>
      <c r="J855" s="149"/>
      <c r="K855" s="150"/>
      <c r="L855" s="150"/>
      <c r="M855" s="150"/>
      <c r="N855" s="151"/>
      <c r="O855" s="41">
        <v>6</v>
      </c>
      <c r="P855" s="159">
        <v>2014</v>
      </c>
    </row>
    <row r="856" spans="1:16">
      <c r="A856" s="43">
        <v>29</v>
      </c>
      <c r="B856" s="43" t="s">
        <v>681</v>
      </c>
      <c r="C856" s="52" t="s">
        <v>685</v>
      </c>
      <c r="D856" s="94" t="s">
        <v>701</v>
      </c>
      <c r="E856" s="89">
        <v>1</v>
      </c>
      <c r="F856" s="81" t="s">
        <v>697</v>
      </c>
      <c r="G856" t="s">
        <v>698</v>
      </c>
      <c r="H856" s="68">
        <v>1</v>
      </c>
      <c r="I856">
        <v>195000</v>
      </c>
      <c r="J856">
        <v>195000</v>
      </c>
      <c r="O856" s="41">
        <v>6</v>
      </c>
      <c r="P856" s="159">
        <v>2014</v>
      </c>
    </row>
    <row r="857" spans="1:16">
      <c r="A857" s="43">
        <v>29</v>
      </c>
      <c r="B857" s="43" t="s">
        <v>681</v>
      </c>
      <c r="C857" s="52" t="s">
        <v>685</v>
      </c>
      <c r="D857" s="94" t="s">
        <v>701</v>
      </c>
      <c r="E857" s="89">
        <v>1</v>
      </c>
      <c r="K857" s="41">
        <v>195000</v>
      </c>
      <c r="M857" s="41">
        <v>195000</v>
      </c>
      <c r="O857" s="41">
        <v>6</v>
      </c>
      <c r="P857" s="159">
        <v>2014</v>
      </c>
    </row>
    <row r="858" spans="1:16">
      <c r="A858" s="145">
        <v>29</v>
      </c>
      <c r="B858" s="145" t="s">
        <v>681</v>
      </c>
      <c r="C858" s="146" t="s">
        <v>685</v>
      </c>
      <c r="D858" s="147" t="s">
        <v>701</v>
      </c>
      <c r="E858" s="148">
        <v>2</v>
      </c>
      <c r="F858" s="141"/>
      <c r="G858" s="149"/>
      <c r="H858" s="142"/>
      <c r="I858" s="149"/>
      <c r="J858" s="149"/>
      <c r="K858" s="150"/>
      <c r="L858" s="150"/>
      <c r="M858" s="150"/>
      <c r="N858" s="151"/>
      <c r="O858" s="41">
        <v>6</v>
      </c>
      <c r="P858" s="159">
        <v>2014</v>
      </c>
    </row>
    <row r="859" spans="1:16">
      <c r="A859" s="43">
        <v>29</v>
      </c>
      <c r="B859" s="43" t="s">
        <v>681</v>
      </c>
      <c r="C859" s="52" t="s">
        <v>685</v>
      </c>
      <c r="D859" s="94" t="s">
        <v>701</v>
      </c>
      <c r="E859" s="89">
        <v>2</v>
      </c>
      <c r="F859" s="81" t="s">
        <v>695</v>
      </c>
      <c r="G859" t="s">
        <v>696</v>
      </c>
      <c r="H859" s="68">
        <v>1</v>
      </c>
      <c r="I859">
        <v>115000</v>
      </c>
      <c r="J859">
        <v>115000</v>
      </c>
      <c r="O859" s="41">
        <v>6</v>
      </c>
      <c r="P859" s="159">
        <v>2014</v>
      </c>
    </row>
    <row r="860" spans="1:16">
      <c r="A860" s="43">
        <v>29</v>
      </c>
      <c r="B860" s="43" t="s">
        <v>681</v>
      </c>
      <c r="C860" s="52" t="s">
        <v>685</v>
      </c>
      <c r="D860" s="94" t="s">
        <v>701</v>
      </c>
      <c r="E860" s="89">
        <v>2</v>
      </c>
      <c r="K860" s="41">
        <v>115000</v>
      </c>
      <c r="M860" s="41">
        <v>115000</v>
      </c>
      <c r="O860" s="41">
        <v>6</v>
      </c>
      <c r="P860" s="159">
        <v>2014</v>
      </c>
    </row>
    <row r="861" spans="1:16">
      <c r="A861" s="145">
        <v>28</v>
      </c>
      <c r="B861" s="145" t="s">
        <v>681</v>
      </c>
      <c r="C861" s="146" t="s">
        <v>685</v>
      </c>
      <c r="D861" s="147" t="s">
        <v>701</v>
      </c>
      <c r="E861" s="148">
        <v>1</v>
      </c>
      <c r="F861" s="141"/>
      <c r="G861" s="149"/>
      <c r="H861" s="142"/>
      <c r="I861" s="149"/>
      <c r="J861" s="149"/>
      <c r="K861" s="150"/>
      <c r="L861" s="150"/>
      <c r="M861" s="150"/>
      <c r="N861" s="151"/>
      <c r="O861" s="41">
        <v>6</v>
      </c>
      <c r="P861" s="159">
        <v>2014</v>
      </c>
    </row>
    <row r="862" spans="1:16">
      <c r="A862" s="43">
        <v>28</v>
      </c>
      <c r="B862" s="43" t="s">
        <v>681</v>
      </c>
      <c r="C862" s="52" t="s">
        <v>685</v>
      </c>
      <c r="D862" s="94" t="s">
        <v>701</v>
      </c>
      <c r="E862" s="89">
        <v>1</v>
      </c>
      <c r="F862" s="81" t="s">
        <v>686</v>
      </c>
      <c r="G862" t="s">
        <v>682</v>
      </c>
      <c r="H862" s="68">
        <v>1</v>
      </c>
      <c r="I862">
        <v>115000</v>
      </c>
      <c r="J862">
        <v>115000</v>
      </c>
      <c r="O862" s="41">
        <v>6</v>
      </c>
      <c r="P862" s="159">
        <v>2014</v>
      </c>
    </row>
    <row r="863" spans="1:16">
      <c r="A863" s="43">
        <v>28</v>
      </c>
      <c r="B863" s="43" t="s">
        <v>681</v>
      </c>
      <c r="C863" s="52" t="s">
        <v>685</v>
      </c>
      <c r="D863" s="94" t="s">
        <v>701</v>
      </c>
      <c r="E863" s="89">
        <v>1</v>
      </c>
      <c r="K863" s="41">
        <v>115000</v>
      </c>
      <c r="M863" s="41">
        <v>115000</v>
      </c>
      <c r="O863" s="41">
        <v>6</v>
      </c>
      <c r="P863" s="159">
        <v>2014</v>
      </c>
    </row>
    <row r="864" spans="1:16">
      <c r="A864" s="145">
        <v>28</v>
      </c>
      <c r="B864" s="145" t="s">
        <v>681</v>
      </c>
      <c r="C864" s="146" t="s">
        <v>685</v>
      </c>
      <c r="D864" s="147" t="s">
        <v>701</v>
      </c>
      <c r="E864" s="148">
        <v>2</v>
      </c>
      <c r="F864" s="141"/>
      <c r="G864" s="149"/>
      <c r="H864" s="142"/>
      <c r="I864" s="149"/>
      <c r="J864" s="149"/>
      <c r="K864" s="150"/>
      <c r="L864" s="150"/>
      <c r="M864" s="150"/>
      <c r="N864" s="151"/>
      <c r="O864" s="41">
        <v>6</v>
      </c>
      <c r="P864" s="159">
        <v>2014</v>
      </c>
    </row>
    <row r="865" spans="1:16">
      <c r="A865" s="43">
        <v>28</v>
      </c>
      <c r="B865" s="43" t="s">
        <v>681</v>
      </c>
      <c r="C865" s="52" t="s">
        <v>685</v>
      </c>
      <c r="D865" s="94" t="s">
        <v>701</v>
      </c>
      <c r="E865" s="89">
        <v>2</v>
      </c>
      <c r="F865" s="81" t="s">
        <v>686</v>
      </c>
      <c r="G865" t="s">
        <v>682</v>
      </c>
      <c r="H865" s="68">
        <v>1</v>
      </c>
      <c r="I865">
        <v>115000</v>
      </c>
      <c r="J865">
        <v>115000</v>
      </c>
      <c r="O865" s="41">
        <v>6</v>
      </c>
      <c r="P865" s="159">
        <v>2014</v>
      </c>
    </row>
    <row r="866" spans="1:16">
      <c r="A866" s="43">
        <v>28</v>
      </c>
      <c r="B866" s="43" t="s">
        <v>681</v>
      </c>
      <c r="C866" s="52" t="s">
        <v>685</v>
      </c>
      <c r="D866" s="94" t="s">
        <v>701</v>
      </c>
      <c r="E866" s="89">
        <v>2</v>
      </c>
      <c r="K866" s="41">
        <v>115000</v>
      </c>
      <c r="M866" s="41">
        <v>115000</v>
      </c>
      <c r="O866" s="41">
        <v>6</v>
      </c>
      <c r="P866" s="159">
        <v>2014</v>
      </c>
    </row>
    <row r="867" spans="1:16">
      <c r="A867" s="145">
        <v>28</v>
      </c>
      <c r="B867" s="145" t="s">
        <v>681</v>
      </c>
      <c r="C867" s="146" t="s">
        <v>685</v>
      </c>
      <c r="D867" s="147" t="s">
        <v>701</v>
      </c>
      <c r="E867" s="148">
        <v>3</v>
      </c>
      <c r="F867" s="141"/>
      <c r="G867" s="149"/>
      <c r="H867" s="142"/>
      <c r="I867" s="149"/>
      <c r="J867" s="149"/>
      <c r="K867" s="150"/>
      <c r="L867" s="150"/>
      <c r="M867" s="150"/>
      <c r="N867" s="151"/>
      <c r="O867" s="41">
        <v>6</v>
      </c>
      <c r="P867" s="159">
        <v>2014</v>
      </c>
    </row>
    <row r="868" spans="1:16">
      <c r="A868" s="43">
        <v>28</v>
      </c>
      <c r="B868" s="43" t="s">
        <v>681</v>
      </c>
      <c r="C868" s="52" t="s">
        <v>685</v>
      </c>
      <c r="D868" s="94" t="s">
        <v>701</v>
      </c>
      <c r="E868" s="89">
        <v>3</v>
      </c>
      <c r="F868" s="81" t="s">
        <v>707</v>
      </c>
      <c r="G868" t="s">
        <v>708</v>
      </c>
      <c r="H868" s="68">
        <v>2</v>
      </c>
      <c r="I868">
        <v>115000</v>
      </c>
      <c r="J868">
        <v>230000</v>
      </c>
      <c r="O868" s="41">
        <v>6</v>
      </c>
      <c r="P868" s="159">
        <v>2014</v>
      </c>
    </row>
    <row r="869" spans="1:16">
      <c r="A869" s="43">
        <v>28</v>
      </c>
      <c r="B869" s="43" t="s">
        <v>681</v>
      </c>
      <c r="C869" s="52" t="s">
        <v>685</v>
      </c>
      <c r="D869" s="94" t="s">
        <v>701</v>
      </c>
      <c r="E869" s="89">
        <v>3</v>
      </c>
      <c r="K869" s="41">
        <v>230000</v>
      </c>
      <c r="M869" s="41">
        <v>230000</v>
      </c>
      <c r="O869" s="41">
        <v>6</v>
      </c>
      <c r="P869" s="159">
        <v>2014</v>
      </c>
    </row>
    <row r="870" spans="1:16">
      <c r="A870" s="137">
        <v>30</v>
      </c>
      <c r="B870" s="137" t="s">
        <v>684</v>
      </c>
      <c r="C870" s="138" t="s">
        <v>679</v>
      </c>
      <c r="D870" s="139" t="s">
        <v>701</v>
      </c>
      <c r="E870" s="140">
        <v>1</v>
      </c>
      <c r="F870" s="141"/>
      <c r="G870" s="142"/>
      <c r="H870" s="142"/>
      <c r="I870" s="142"/>
      <c r="J870" s="142"/>
      <c r="K870" s="143"/>
      <c r="L870" s="143"/>
      <c r="M870" s="143"/>
      <c r="N870" s="144"/>
      <c r="O870" s="41">
        <v>6</v>
      </c>
      <c r="P870" s="159">
        <v>2014</v>
      </c>
    </row>
    <row r="871" spans="1:16">
      <c r="A871" s="131">
        <v>30</v>
      </c>
      <c r="B871" s="131" t="s">
        <v>684</v>
      </c>
      <c r="C871" s="132" t="s">
        <v>679</v>
      </c>
      <c r="D871" s="133" t="s">
        <v>701</v>
      </c>
      <c r="E871" s="134">
        <v>1</v>
      </c>
      <c r="F871" s="81" t="s">
        <v>699</v>
      </c>
      <c r="G871" s="68" t="s">
        <v>650</v>
      </c>
      <c r="H871" s="68">
        <v>1</v>
      </c>
      <c r="I871" s="68">
        <v>85000</v>
      </c>
      <c r="J871" s="68">
        <v>85000</v>
      </c>
      <c r="K871" s="135"/>
      <c r="L871" s="135"/>
      <c r="M871" s="135"/>
      <c r="N871" s="136"/>
      <c r="O871" s="41">
        <v>6</v>
      </c>
      <c r="P871" s="159">
        <v>2014</v>
      </c>
    </row>
    <row r="872" spans="1:16">
      <c r="A872" s="131">
        <v>30</v>
      </c>
      <c r="B872" s="131" t="s">
        <v>684</v>
      </c>
      <c r="C872" s="132" t="s">
        <v>679</v>
      </c>
      <c r="D872" s="133" t="s">
        <v>701</v>
      </c>
      <c r="E872" s="134">
        <v>1</v>
      </c>
      <c r="G872" s="68"/>
      <c r="I872" s="68"/>
      <c r="J872" s="68"/>
      <c r="K872" s="135">
        <v>85000</v>
      </c>
      <c r="L872" s="135"/>
      <c r="M872" s="135">
        <v>85000</v>
      </c>
      <c r="N872" s="136"/>
      <c r="O872" s="41">
        <v>6</v>
      </c>
      <c r="P872" s="159">
        <v>2014</v>
      </c>
    </row>
  </sheetData>
  <pageMargins left="0.7" right="0.7" top="0.75" bottom="0.75" header="0.3" footer="0.3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158"/>
  <sheetViews>
    <sheetView topLeftCell="A106" workbookViewId="0">
      <selection activeCell="A106" sqref="A1:E1048576"/>
    </sheetView>
  </sheetViews>
  <sheetFormatPr defaultColWidth="9.140625" defaultRowHeight="12.75"/>
  <cols>
    <col min="1" max="1" width="14.42578125" style="1" customWidth="1"/>
    <col min="2" max="2" width="11.42578125" style="1" customWidth="1"/>
    <col min="3" max="3" width="15" style="1" customWidth="1"/>
    <col min="4" max="4" width="23" style="1" customWidth="1"/>
    <col min="5" max="5" width="34.28515625" style="1" customWidth="1"/>
    <col min="6" max="16384" width="9.140625" style="1"/>
  </cols>
  <sheetData>
    <row r="1" spans="1:8" ht="25.5">
      <c r="A1" s="45" t="s">
        <v>518</v>
      </c>
      <c r="B1" s="45" t="s">
        <v>519</v>
      </c>
      <c r="C1" s="45" t="s">
        <v>520</v>
      </c>
      <c r="D1" s="45" t="s">
        <v>521</v>
      </c>
      <c r="E1" s="45" t="s">
        <v>522</v>
      </c>
    </row>
    <row r="2" spans="1:8">
      <c r="A2" s="46" t="s">
        <v>274</v>
      </c>
      <c r="B2" s="46" t="s">
        <v>244</v>
      </c>
      <c r="C2" s="1">
        <v>1</v>
      </c>
      <c r="D2" s="1" t="s">
        <v>245</v>
      </c>
      <c r="E2" s="47" t="s">
        <v>523</v>
      </c>
      <c r="G2" s="46"/>
    </row>
    <row r="3" spans="1:8">
      <c r="A3" s="46" t="s">
        <v>274</v>
      </c>
      <c r="B3" s="46" t="s">
        <v>254</v>
      </c>
      <c r="C3" s="1">
        <v>1</v>
      </c>
      <c r="D3" s="1" t="s">
        <v>255</v>
      </c>
      <c r="E3" s="46" t="s">
        <v>255</v>
      </c>
      <c r="G3" s="46"/>
    </row>
    <row r="4" spans="1:8">
      <c r="A4" s="46" t="s">
        <v>274</v>
      </c>
      <c r="B4" s="46" t="s">
        <v>252</v>
      </c>
      <c r="C4" s="1">
        <v>1</v>
      </c>
      <c r="D4" s="1" t="s">
        <v>253</v>
      </c>
      <c r="E4" s="46" t="s">
        <v>253</v>
      </c>
      <c r="G4" s="46"/>
    </row>
    <row r="5" spans="1:8">
      <c r="A5" s="46" t="s">
        <v>274</v>
      </c>
      <c r="B5" s="46" t="s">
        <v>256</v>
      </c>
      <c r="C5" s="1">
        <v>1</v>
      </c>
      <c r="D5" s="1" t="s">
        <v>257</v>
      </c>
      <c r="E5" s="46" t="s">
        <v>257</v>
      </c>
    </row>
    <row r="6" spans="1:8">
      <c r="A6" s="46" t="s">
        <v>274</v>
      </c>
      <c r="B6" s="46" t="s">
        <v>266</v>
      </c>
      <c r="C6" s="1">
        <v>1</v>
      </c>
      <c r="D6" s="1" t="s">
        <v>267</v>
      </c>
      <c r="E6" s="46" t="s">
        <v>267</v>
      </c>
    </row>
    <row r="7" spans="1:8">
      <c r="A7" s="46" t="s">
        <v>274</v>
      </c>
      <c r="B7" s="46" t="s">
        <v>278</v>
      </c>
      <c r="C7" s="1">
        <v>1</v>
      </c>
      <c r="D7" s="1" t="s">
        <v>279</v>
      </c>
      <c r="E7" s="46" t="s">
        <v>279</v>
      </c>
    </row>
    <row r="8" spans="1:8">
      <c r="A8" s="46" t="s">
        <v>274</v>
      </c>
      <c r="B8" s="46" t="s">
        <v>250</v>
      </c>
      <c r="C8" s="1">
        <v>1</v>
      </c>
      <c r="D8" s="1" t="s">
        <v>524</v>
      </c>
      <c r="E8" s="46" t="s">
        <v>525</v>
      </c>
    </row>
    <row r="9" spans="1:8">
      <c r="A9" s="46" t="s">
        <v>274</v>
      </c>
      <c r="B9" s="46" t="s">
        <v>264</v>
      </c>
      <c r="C9" s="1">
        <v>1</v>
      </c>
      <c r="D9" s="1" t="s">
        <v>265</v>
      </c>
      <c r="E9" s="46" t="s">
        <v>526</v>
      </c>
    </row>
    <row r="10" spans="1:8">
      <c r="A10" s="46" t="s">
        <v>276</v>
      </c>
      <c r="B10" s="46" t="s">
        <v>248</v>
      </c>
      <c r="C10" s="1">
        <v>1</v>
      </c>
      <c r="D10" s="1" t="s">
        <v>249</v>
      </c>
      <c r="E10" s="47" t="s">
        <v>527</v>
      </c>
    </row>
    <row r="11" spans="1:8">
      <c r="A11" s="46" t="s">
        <v>276</v>
      </c>
      <c r="B11" s="46" t="s">
        <v>258</v>
      </c>
      <c r="C11" s="1">
        <v>1</v>
      </c>
      <c r="D11" s="1" t="s">
        <v>259</v>
      </c>
      <c r="E11" s="46" t="s">
        <v>528</v>
      </c>
    </row>
    <row r="12" spans="1:8">
      <c r="A12" s="46" t="s">
        <v>276</v>
      </c>
      <c r="B12" s="46" t="s">
        <v>260</v>
      </c>
      <c r="C12" s="1">
        <v>1</v>
      </c>
      <c r="D12" s="1" t="s">
        <v>261</v>
      </c>
      <c r="E12" s="46" t="s">
        <v>529</v>
      </c>
    </row>
    <row r="13" spans="1:8">
      <c r="A13" s="46" t="s">
        <v>276</v>
      </c>
      <c r="B13" s="46" t="s">
        <v>254</v>
      </c>
      <c r="C13" s="1">
        <v>1</v>
      </c>
      <c r="D13" s="1" t="s">
        <v>255</v>
      </c>
      <c r="E13" s="46" t="s">
        <v>530</v>
      </c>
      <c r="H13" s="46"/>
    </row>
    <row r="14" spans="1:8">
      <c r="A14" s="46" t="s">
        <v>276</v>
      </c>
      <c r="B14" s="46" t="s">
        <v>252</v>
      </c>
      <c r="C14" s="1">
        <v>1</v>
      </c>
      <c r="D14" s="46" t="s">
        <v>253</v>
      </c>
      <c r="E14" s="46" t="s">
        <v>531</v>
      </c>
    </row>
    <row r="15" spans="1:8">
      <c r="A15" s="46" t="s">
        <v>276</v>
      </c>
      <c r="B15" s="46" t="s">
        <v>256</v>
      </c>
      <c r="C15" s="1">
        <v>1</v>
      </c>
      <c r="D15" s="1" t="s">
        <v>257</v>
      </c>
      <c r="E15" s="46" t="s">
        <v>532</v>
      </c>
    </row>
    <row r="16" spans="1:8">
      <c r="A16" s="46" t="s">
        <v>276</v>
      </c>
      <c r="B16" s="46" t="s">
        <v>266</v>
      </c>
      <c r="C16" s="1">
        <v>1</v>
      </c>
      <c r="D16" s="1" t="s">
        <v>267</v>
      </c>
      <c r="E16" s="46" t="s">
        <v>533</v>
      </c>
    </row>
    <row r="17" spans="1:5">
      <c r="A17" s="46" t="s">
        <v>276</v>
      </c>
      <c r="B17" s="46" t="s">
        <v>278</v>
      </c>
      <c r="C17" s="1">
        <v>1</v>
      </c>
      <c r="D17" s="1" t="s">
        <v>279</v>
      </c>
      <c r="E17" s="46" t="s">
        <v>534</v>
      </c>
    </row>
    <row r="18" spans="1:5">
      <c r="A18" s="46" t="s">
        <v>276</v>
      </c>
      <c r="B18" s="46" t="s">
        <v>250</v>
      </c>
      <c r="C18" s="1">
        <v>1</v>
      </c>
      <c r="D18" s="1" t="s">
        <v>524</v>
      </c>
      <c r="E18" s="46" t="s">
        <v>525</v>
      </c>
    </row>
    <row r="19" spans="1:5">
      <c r="A19" s="46" t="s">
        <v>276</v>
      </c>
      <c r="B19" s="46" t="s">
        <v>264</v>
      </c>
      <c r="C19" s="1">
        <v>1</v>
      </c>
      <c r="D19" s="1" t="s">
        <v>265</v>
      </c>
      <c r="E19" s="46" t="s">
        <v>535</v>
      </c>
    </row>
    <row r="20" spans="1:5">
      <c r="A20" s="46" t="s">
        <v>415</v>
      </c>
      <c r="B20" s="46" t="s">
        <v>413</v>
      </c>
      <c r="C20" s="1">
        <v>0.5</v>
      </c>
      <c r="D20" s="1" t="s">
        <v>414</v>
      </c>
      <c r="E20" s="47" t="s">
        <v>536</v>
      </c>
    </row>
    <row r="21" spans="1:5">
      <c r="A21" s="46" t="s">
        <v>417</v>
      </c>
      <c r="B21" s="46" t="s">
        <v>413</v>
      </c>
      <c r="C21" s="1">
        <v>1</v>
      </c>
      <c r="D21" s="1" t="s">
        <v>414</v>
      </c>
      <c r="E21" s="47" t="s">
        <v>537</v>
      </c>
    </row>
    <row r="22" spans="1:5">
      <c r="A22" s="46" t="s">
        <v>437</v>
      </c>
      <c r="B22" s="46" t="s">
        <v>435</v>
      </c>
      <c r="C22" s="1">
        <v>0.5</v>
      </c>
      <c r="D22" s="1" t="s">
        <v>436</v>
      </c>
      <c r="E22" s="47" t="s">
        <v>538</v>
      </c>
    </row>
    <row r="23" spans="1:5">
      <c r="A23" s="46" t="s">
        <v>234</v>
      </c>
      <c r="B23" s="46" t="s">
        <v>236</v>
      </c>
      <c r="C23" s="1">
        <v>0.5</v>
      </c>
      <c r="D23" s="1" t="s">
        <v>235</v>
      </c>
      <c r="E23" s="47" t="s">
        <v>539</v>
      </c>
    </row>
    <row r="24" spans="1:5">
      <c r="A24" s="47" t="s">
        <v>447</v>
      </c>
      <c r="B24" s="46" t="s">
        <v>218</v>
      </c>
      <c r="C24" s="1">
        <v>10</v>
      </c>
      <c r="D24" s="1" t="s">
        <v>219</v>
      </c>
    </row>
    <row r="25" spans="1:5">
      <c r="A25" s="47" t="s">
        <v>449</v>
      </c>
      <c r="B25" s="46" t="s">
        <v>218</v>
      </c>
      <c r="C25" s="1">
        <v>5</v>
      </c>
      <c r="D25" s="1" t="s">
        <v>219</v>
      </c>
    </row>
    <row r="26" spans="1:5">
      <c r="A26" s="46" t="s">
        <v>449</v>
      </c>
      <c r="B26" s="46" t="s">
        <v>220</v>
      </c>
      <c r="C26" s="1">
        <v>5</v>
      </c>
      <c r="D26" s="1" t="s">
        <v>221</v>
      </c>
    </row>
    <row r="27" spans="1:5">
      <c r="A27" s="47" t="s">
        <v>451</v>
      </c>
      <c r="B27" s="46" t="s">
        <v>220</v>
      </c>
      <c r="C27" s="1">
        <v>10</v>
      </c>
      <c r="D27" s="1" t="s">
        <v>221</v>
      </c>
    </row>
    <row r="28" spans="1:5">
      <c r="A28" s="47" t="s">
        <v>453</v>
      </c>
      <c r="B28" s="46" t="s">
        <v>413</v>
      </c>
      <c r="C28" s="1">
        <v>5</v>
      </c>
      <c r="D28" s="1" t="s">
        <v>414</v>
      </c>
    </row>
    <row r="29" spans="1:5">
      <c r="A29" s="47" t="s">
        <v>455</v>
      </c>
      <c r="B29" s="46" t="s">
        <v>413</v>
      </c>
      <c r="C29" s="1">
        <v>12.5</v>
      </c>
      <c r="D29" s="1" t="s">
        <v>414</v>
      </c>
    </row>
    <row r="30" spans="1:5">
      <c r="A30" s="47" t="s">
        <v>457</v>
      </c>
      <c r="B30" s="46" t="s">
        <v>300</v>
      </c>
      <c r="C30" s="1">
        <v>48</v>
      </c>
      <c r="D30" s="1" t="s">
        <v>301</v>
      </c>
    </row>
    <row r="31" spans="1:5">
      <c r="A31" s="47" t="s">
        <v>459</v>
      </c>
      <c r="B31" s="46" t="s">
        <v>322</v>
      </c>
      <c r="C31" s="1">
        <v>110</v>
      </c>
      <c r="D31" s="1" t="s">
        <v>323</v>
      </c>
    </row>
    <row r="32" spans="1:5">
      <c r="A32" s="47" t="s">
        <v>461</v>
      </c>
      <c r="B32" s="46" t="s">
        <v>324</v>
      </c>
      <c r="C32" s="1">
        <v>100</v>
      </c>
      <c r="D32" s="1" t="s">
        <v>325</v>
      </c>
    </row>
    <row r="33" spans="1:2">
      <c r="A33" s="1" t="s">
        <v>586</v>
      </c>
      <c r="B33" s="54" t="s">
        <v>540</v>
      </c>
    </row>
    <row r="34" spans="1:2">
      <c r="A34" s="1" t="s">
        <v>587</v>
      </c>
      <c r="B34" s="55" t="s">
        <v>564</v>
      </c>
    </row>
    <row r="35" spans="1:2">
      <c r="A35" s="1" t="s">
        <v>588</v>
      </c>
      <c r="B35" s="55" t="s">
        <v>541</v>
      </c>
    </row>
    <row r="36" spans="1:2">
      <c r="A36" s="1" t="s">
        <v>589</v>
      </c>
      <c r="B36" s="55" t="s">
        <v>542</v>
      </c>
    </row>
    <row r="37" spans="1:2">
      <c r="A37" s="1" t="s">
        <v>590</v>
      </c>
      <c r="B37" s="55" t="s">
        <v>543</v>
      </c>
    </row>
    <row r="38" spans="1:2">
      <c r="A38" s="1" t="s">
        <v>591</v>
      </c>
      <c r="B38" s="55" t="s">
        <v>544</v>
      </c>
    </row>
    <row r="39" spans="1:2">
      <c r="A39" s="1" t="s">
        <v>592</v>
      </c>
      <c r="B39" s="55" t="s">
        <v>545</v>
      </c>
    </row>
    <row r="40" spans="1:2">
      <c r="A40" s="1" t="s">
        <v>593</v>
      </c>
      <c r="B40" s="55" t="s">
        <v>546</v>
      </c>
    </row>
    <row r="41" spans="1:2">
      <c r="A41" s="1" t="s">
        <v>594</v>
      </c>
      <c r="B41" s="55" t="s">
        <v>547</v>
      </c>
    </row>
    <row r="42" spans="1:2">
      <c r="A42" s="1" t="s">
        <v>595</v>
      </c>
      <c r="B42" s="55" t="s">
        <v>548</v>
      </c>
    </row>
    <row r="43" spans="1:2">
      <c r="A43" s="1" t="s">
        <v>596</v>
      </c>
      <c r="B43" s="55" t="s">
        <v>549</v>
      </c>
    </row>
    <row r="44" spans="1:2">
      <c r="A44" s="1" t="s">
        <v>597</v>
      </c>
      <c r="B44" s="55" t="s">
        <v>550</v>
      </c>
    </row>
    <row r="45" spans="1:2">
      <c r="A45" s="1" t="s">
        <v>598</v>
      </c>
      <c r="B45" s="55" t="s">
        <v>551</v>
      </c>
    </row>
    <row r="46" spans="1:2">
      <c r="A46" s="1" t="s">
        <v>599</v>
      </c>
      <c r="B46" s="55" t="s">
        <v>552</v>
      </c>
    </row>
    <row r="47" spans="1:2">
      <c r="A47" s="1" t="s">
        <v>600</v>
      </c>
      <c r="B47" s="55" t="s">
        <v>553</v>
      </c>
    </row>
    <row r="48" spans="1:2">
      <c r="A48" s="1" t="s">
        <v>601</v>
      </c>
      <c r="B48" s="55" t="s">
        <v>554</v>
      </c>
    </row>
    <row r="49" spans="1:2">
      <c r="A49" s="1" t="s">
        <v>602</v>
      </c>
      <c r="B49" s="55" t="s">
        <v>555</v>
      </c>
    </row>
    <row r="50" spans="1:2">
      <c r="A50" s="1" t="s">
        <v>603</v>
      </c>
      <c r="B50" s="55" t="s">
        <v>556</v>
      </c>
    </row>
    <row r="51" spans="1:2">
      <c r="A51" s="1" t="s">
        <v>604</v>
      </c>
      <c r="B51" s="55" t="s">
        <v>557</v>
      </c>
    </row>
    <row r="52" spans="1:2">
      <c r="A52" s="1" t="s">
        <v>605</v>
      </c>
      <c r="B52" s="55" t="s">
        <v>558</v>
      </c>
    </row>
    <row r="53" spans="1:2">
      <c r="A53" s="1" t="s">
        <v>606</v>
      </c>
      <c r="B53" s="55" t="s">
        <v>559</v>
      </c>
    </row>
    <row r="54" spans="1:2">
      <c r="A54" s="1" t="s">
        <v>607</v>
      </c>
      <c r="B54" s="55" t="s">
        <v>560</v>
      </c>
    </row>
    <row r="55" spans="1:2">
      <c r="A55" s="1" t="s">
        <v>608</v>
      </c>
      <c r="B55" s="55" t="s">
        <v>561</v>
      </c>
    </row>
    <row r="56" spans="1:2">
      <c r="A56" s="1" t="s">
        <v>609</v>
      </c>
      <c r="B56" s="55" t="s">
        <v>562</v>
      </c>
    </row>
    <row r="57" spans="1:2">
      <c r="A57" s="1" t="s">
        <v>610</v>
      </c>
      <c r="B57" s="55" t="s">
        <v>563</v>
      </c>
    </row>
    <row r="58" spans="1:2">
      <c r="A58" s="1" t="s">
        <v>611</v>
      </c>
      <c r="B58" s="55" t="s">
        <v>565</v>
      </c>
    </row>
    <row r="59" spans="1:2">
      <c r="A59" s="1" t="s">
        <v>612</v>
      </c>
      <c r="B59" s="55" t="s">
        <v>566</v>
      </c>
    </row>
    <row r="60" spans="1:2">
      <c r="A60" s="1" t="s">
        <v>613</v>
      </c>
      <c r="B60" s="55" t="s">
        <v>567</v>
      </c>
    </row>
    <row r="61" spans="1:2">
      <c r="A61" s="1" t="s">
        <v>614</v>
      </c>
      <c r="B61" s="55" t="s">
        <v>568</v>
      </c>
    </row>
    <row r="62" spans="1:2">
      <c r="A62" s="1" t="s">
        <v>615</v>
      </c>
      <c r="B62" s="55" t="s">
        <v>569</v>
      </c>
    </row>
    <row r="63" spans="1:2">
      <c r="A63" s="1" t="s">
        <v>616</v>
      </c>
      <c r="B63" s="55" t="s">
        <v>570</v>
      </c>
    </row>
    <row r="64" spans="1:2">
      <c r="A64" s="1" t="s">
        <v>617</v>
      </c>
      <c r="B64" s="55" t="s">
        <v>571</v>
      </c>
    </row>
    <row r="65" spans="1:2">
      <c r="A65" s="1" t="s">
        <v>618</v>
      </c>
      <c r="B65" s="55" t="s">
        <v>572</v>
      </c>
    </row>
    <row r="66" spans="1:2">
      <c r="A66" s="1" t="s">
        <v>619</v>
      </c>
      <c r="B66" s="55" t="s">
        <v>573</v>
      </c>
    </row>
    <row r="67" spans="1:2">
      <c r="A67" s="1" t="s">
        <v>620</v>
      </c>
      <c r="B67" s="55" t="s">
        <v>574</v>
      </c>
    </row>
    <row r="68" spans="1:2">
      <c r="A68" s="1" t="s">
        <v>621</v>
      </c>
      <c r="B68" s="55" t="s">
        <v>575</v>
      </c>
    </row>
    <row r="69" spans="1:2">
      <c r="A69" s="1" t="s">
        <v>622</v>
      </c>
      <c r="B69" s="55" t="s">
        <v>576</v>
      </c>
    </row>
    <row r="70" spans="1:2">
      <c r="A70" s="1" t="s">
        <v>623</v>
      </c>
      <c r="B70" s="55" t="s">
        <v>577</v>
      </c>
    </row>
    <row r="71" spans="1:2">
      <c r="A71" s="1" t="s">
        <v>624</v>
      </c>
      <c r="B71" s="55" t="s">
        <v>578</v>
      </c>
    </row>
    <row r="72" spans="1:2">
      <c r="A72" s="1" t="s">
        <v>625</v>
      </c>
      <c r="B72" s="55" t="s">
        <v>579</v>
      </c>
    </row>
    <row r="73" spans="1:2">
      <c r="A73" s="1" t="s">
        <v>626</v>
      </c>
      <c r="B73" s="55" t="s">
        <v>580</v>
      </c>
    </row>
    <row r="74" spans="1:2">
      <c r="A74" s="1" t="s">
        <v>586</v>
      </c>
      <c r="B74" s="1" t="s">
        <v>581</v>
      </c>
    </row>
    <row r="75" spans="1:2">
      <c r="A75" s="1" t="s">
        <v>587</v>
      </c>
      <c r="B75" s="1" t="s">
        <v>581</v>
      </c>
    </row>
    <row r="76" spans="1:2">
      <c r="A76" s="1" t="s">
        <v>588</v>
      </c>
      <c r="B76" s="1" t="s">
        <v>581</v>
      </c>
    </row>
    <row r="77" spans="1:2">
      <c r="A77" s="1" t="s">
        <v>589</v>
      </c>
      <c r="B77" s="1" t="s">
        <v>581</v>
      </c>
    </row>
    <row r="78" spans="1:2">
      <c r="A78" s="1" t="s">
        <v>590</v>
      </c>
      <c r="B78" s="1" t="s">
        <v>581</v>
      </c>
    </row>
    <row r="79" spans="1:2">
      <c r="A79" s="1" t="s">
        <v>591</v>
      </c>
      <c r="B79" s="1" t="s">
        <v>581</v>
      </c>
    </row>
    <row r="80" spans="1:2">
      <c r="A80" s="1" t="s">
        <v>592</v>
      </c>
      <c r="B80" s="1" t="s">
        <v>581</v>
      </c>
    </row>
    <row r="81" spans="1:2">
      <c r="A81" s="1" t="s">
        <v>593</v>
      </c>
      <c r="B81" s="1" t="s">
        <v>581</v>
      </c>
    </row>
    <row r="82" spans="1:2">
      <c r="A82" s="1" t="s">
        <v>594</v>
      </c>
      <c r="B82" s="1" t="s">
        <v>581</v>
      </c>
    </row>
    <row r="83" spans="1:2">
      <c r="A83" s="1" t="s">
        <v>595</v>
      </c>
      <c r="B83" s="1" t="s">
        <v>581</v>
      </c>
    </row>
    <row r="84" spans="1:2">
      <c r="A84" s="1" t="s">
        <v>596</v>
      </c>
      <c r="B84" s="1" t="s">
        <v>581</v>
      </c>
    </row>
    <row r="85" spans="1:2">
      <c r="A85" s="1" t="s">
        <v>597</v>
      </c>
      <c r="B85" s="1" t="s">
        <v>581</v>
      </c>
    </row>
    <row r="86" spans="1:2">
      <c r="A86" s="1" t="s">
        <v>598</v>
      </c>
      <c r="B86" s="1" t="s">
        <v>581</v>
      </c>
    </row>
    <row r="87" spans="1:2">
      <c r="A87" s="1" t="s">
        <v>599</v>
      </c>
      <c r="B87" s="1" t="s">
        <v>581</v>
      </c>
    </row>
    <row r="88" spans="1:2">
      <c r="A88" s="1" t="s">
        <v>600</v>
      </c>
      <c r="B88" s="1" t="s">
        <v>581</v>
      </c>
    </row>
    <row r="89" spans="1:2">
      <c r="A89" s="1" t="s">
        <v>601</v>
      </c>
      <c r="B89" s="1" t="s">
        <v>581</v>
      </c>
    </row>
    <row r="90" spans="1:2">
      <c r="A90" s="1" t="s">
        <v>602</v>
      </c>
      <c r="B90" s="1" t="s">
        <v>581</v>
      </c>
    </row>
    <row r="91" spans="1:2">
      <c r="A91" s="1" t="s">
        <v>603</v>
      </c>
      <c r="B91" s="1" t="s">
        <v>581</v>
      </c>
    </row>
    <row r="92" spans="1:2">
      <c r="A92" s="1" t="s">
        <v>604</v>
      </c>
      <c r="B92" s="1" t="s">
        <v>581</v>
      </c>
    </row>
    <row r="93" spans="1:2">
      <c r="A93" s="1" t="s">
        <v>605</v>
      </c>
      <c r="B93" s="1" t="s">
        <v>581</v>
      </c>
    </row>
    <row r="94" spans="1:2">
      <c r="A94" s="1" t="s">
        <v>606</v>
      </c>
      <c r="B94" s="1" t="s">
        <v>581</v>
      </c>
    </row>
    <row r="95" spans="1:2">
      <c r="A95" s="1" t="s">
        <v>607</v>
      </c>
      <c r="B95" s="1" t="s">
        <v>581</v>
      </c>
    </row>
    <row r="96" spans="1:2">
      <c r="A96" s="1" t="s">
        <v>608</v>
      </c>
      <c r="B96" s="1" t="s">
        <v>581</v>
      </c>
    </row>
    <row r="97" spans="1:2">
      <c r="A97" s="1" t="s">
        <v>609</v>
      </c>
      <c r="B97" s="1" t="s">
        <v>581</v>
      </c>
    </row>
    <row r="98" spans="1:2">
      <c r="A98" s="1" t="s">
        <v>610</v>
      </c>
      <c r="B98" s="1" t="s">
        <v>581</v>
      </c>
    </row>
    <row r="99" spans="1:2">
      <c r="A99" s="1" t="s">
        <v>611</v>
      </c>
      <c r="B99" s="1" t="s">
        <v>582</v>
      </c>
    </row>
    <row r="100" spans="1:2">
      <c r="A100" s="1" t="s">
        <v>612</v>
      </c>
      <c r="B100" s="1" t="s">
        <v>582</v>
      </c>
    </row>
    <row r="101" spans="1:2">
      <c r="A101" s="1" t="s">
        <v>613</v>
      </c>
      <c r="B101" s="1" t="s">
        <v>582</v>
      </c>
    </row>
    <row r="102" spans="1:2">
      <c r="A102" s="1" t="s">
        <v>614</v>
      </c>
      <c r="B102" s="1" t="s">
        <v>582</v>
      </c>
    </row>
    <row r="103" spans="1:2">
      <c r="A103" s="1" t="s">
        <v>615</v>
      </c>
      <c r="B103" s="1" t="s">
        <v>582</v>
      </c>
    </row>
    <row r="104" spans="1:2">
      <c r="A104" s="1" t="s">
        <v>616</v>
      </c>
      <c r="B104" s="1" t="s">
        <v>582</v>
      </c>
    </row>
    <row r="105" spans="1:2">
      <c r="A105" s="1" t="s">
        <v>617</v>
      </c>
      <c r="B105" s="1" t="s">
        <v>582</v>
      </c>
    </row>
    <row r="106" spans="1:2">
      <c r="A106" s="1" t="s">
        <v>618</v>
      </c>
      <c r="B106" s="1" t="s">
        <v>582</v>
      </c>
    </row>
    <row r="107" spans="1:2">
      <c r="A107" s="1" t="s">
        <v>619</v>
      </c>
      <c r="B107" s="1" t="s">
        <v>582</v>
      </c>
    </row>
    <row r="108" spans="1:2">
      <c r="A108" s="1" t="s">
        <v>620</v>
      </c>
      <c r="B108" s="1" t="s">
        <v>582</v>
      </c>
    </row>
    <row r="109" spans="1:2">
      <c r="A109" s="1" t="s">
        <v>621</v>
      </c>
      <c r="B109" s="1" t="s">
        <v>582</v>
      </c>
    </row>
    <row r="110" spans="1:2">
      <c r="A110" s="1" t="s">
        <v>622</v>
      </c>
      <c r="B110" s="1" t="s">
        <v>582</v>
      </c>
    </row>
    <row r="111" spans="1:2">
      <c r="A111" s="1" t="s">
        <v>623</v>
      </c>
      <c r="B111" s="1" t="s">
        <v>582</v>
      </c>
    </row>
    <row r="112" spans="1:2">
      <c r="A112" s="1" t="s">
        <v>624</v>
      </c>
      <c r="B112" s="1" t="s">
        <v>582</v>
      </c>
    </row>
    <row r="113" spans="1:2">
      <c r="A113" s="1" t="s">
        <v>625</v>
      </c>
      <c r="B113" s="1" t="s">
        <v>582</v>
      </c>
    </row>
    <row r="114" spans="1:2">
      <c r="A114" s="1" t="s">
        <v>626</v>
      </c>
      <c r="B114" s="1" t="s">
        <v>582</v>
      </c>
    </row>
    <row r="115" spans="1:2">
      <c r="A115" s="1" t="s">
        <v>586</v>
      </c>
      <c r="B115" s="1" t="s">
        <v>583</v>
      </c>
    </row>
    <row r="116" spans="1:2">
      <c r="A116" s="1" t="s">
        <v>587</v>
      </c>
      <c r="B116" s="1" t="s">
        <v>583</v>
      </c>
    </row>
    <row r="117" spans="1:2">
      <c r="A117" s="1" t="s">
        <v>588</v>
      </c>
      <c r="B117" s="1" t="s">
        <v>583</v>
      </c>
    </row>
    <row r="118" spans="1:2">
      <c r="A118" s="1" t="s">
        <v>589</v>
      </c>
      <c r="B118" s="1" t="s">
        <v>583</v>
      </c>
    </row>
    <row r="119" spans="1:2">
      <c r="A119" s="1" t="s">
        <v>590</v>
      </c>
      <c r="B119" s="1" t="s">
        <v>583</v>
      </c>
    </row>
    <row r="120" spans="1:2">
      <c r="A120" s="1" t="s">
        <v>591</v>
      </c>
      <c r="B120" s="1" t="s">
        <v>583</v>
      </c>
    </row>
    <row r="121" spans="1:2">
      <c r="A121" s="1" t="s">
        <v>592</v>
      </c>
      <c r="B121" s="1" t="s">
        <v>583</v>
      </c>
    </row>
    <row r="122" spans="1:2">
      <c r="A122" s="1" t="s">
        <v>593</v>
      </c>
      <c r="B122" s="1" t="s">
        <v>583</v>
      </c>
    </row>
    <row r="123" spans="1:2">
      <c r="A123" s="1" t="s">
        <v>594</v>
      </c>
      <c r="B123" s="1" t="s">
        <v>583</v>
      </c>
    </row>
    <row r="124" spans="1:2">
      <c r="A124" s="1" t="s">
        <v>595</v>
      </c>
      <c r="B124" s="1" t="s">
        <v>583</v>
      </c>
    </row>
    <row r="125" spans="1:2">
      <c r="A125" s="1" t="s">
        <v>596</v>
      </c>
      <c r="B125" s="1" t="s">
        <v>583</v>
      </c>
    </row>
    <row r="126" spans="1:2">
      <c r="A126" s="1" t="s">
        <v>597</v>
      </c>
      <c r="B126" s="1" t="s">
        <v>583</v>
      </c>
    </row>
    <row r="127" spans="1:2">
      <c r="A127" s="1" t="s">
        <v>598</v>
      </c>
      <c r="B127" s="1" t="s">
        <v>583</v>
      </c>
    </row>
    <row r="128" spans="1:2">
      <c r="A128" s="1" t="s">
        <v>599</v>
      </c>
      <c r="B128" s="1" t="s">
        <v>583</v>
      </c>
    </row>
    <row r="129" spans="1:2">
      <c r="A129" s="1" t="s">
        <v>600</v>
      </c>
      <c r="B129" s="1" t="s">
        <v>583</v>
      </c>
    </row>
    <row r="130" spans="1:2">
      <c r="A130" s="1" t="s">
        <v>601</v>
      </c>
      <c r="B130" s="1" t="s">
        <v>583</v>
      </c>
    </row>
    <row r="131" spans="1:2">
      <c r="A131" s="1" t="s">
        <v>602</v>
      </c>
      <c r="B131" s="1" t="s">
        <v>583</v>
      </c>
    </row>
    <row r="132" spans="1:2">
      <c r="A132" s="1" t="s">
        <v>603</v>
      </c>
      <c r="B132" s="1" t="s">
        <v>583</v>
      </c>
    </row>
    <row r="133" spans="1:2">
      <c r="A133" s="1" t="s">
        <v>604</v>
      </c>
      <c r="B133" s="1" t="s">
        <v>583</v>
      </c>
    </row>
    <row r="134" spans="1:2">
      <c r="A134" s="1" t="s">
        <v>605</v>
      </c>
      <c r="B134" s="1" t="s">
        <v>583</v>
      </c>
    </row>
    <row r="135" spans="1:2">
      <c r="A135" s="1" t="s">
        <v>606</v>
      </c>
      <c r="B135" s="1" t="s">
        <v>583</v>
      </c>
    </row>
    <row r="136" spans="1:2">
      <c r="A136" s="1" t="s">
        <v>607</v>
      </c>
      <c r="B136" s="1" t="s">
        <v>583</v>
      </c>
    </row>
    <row r="137" spans="1:2">
      <c r="A137" s="1" t="s">
        <v>608</v>
      </c>
      <c r="B137" s="1" t="s">
        <v>583</v>
      </c>
    </row>
    <row r="138" spans="1:2">
      <c r="A138" s="1" t="s">
        <v>609</v>
      </c>
      <c r="B138" s="1" t="s">
        <v>583</v>
      </c>
    </row>
    <row r="139" spans="1:2">
      <c r="A139" s="1" t="s">
        <v>610</v>
      </c>
      <c r="B139" s="1" t="s">
        <v>583</v>
      </c>
    </row>
    <row r="140" spans="1:2">
      <c r="A140" s="1" t="s">
        <v>611</v>
      </c>
      <c r="B140" s="1" t="s">
        <v>584</v>
      </c>
    </row>
    <row r="141" spans="1:2">
      <c r="A141" s="1" t="s">
        <v>612</v>
      </c>
      <c r="B141" s="1" t="s">
        <v>584</v>
      </c>
    </row>
    <row r="142" spans="1:2">
      <c r="A142" s="1" t="s">
        <v>613</v>
      </c>
      <c r="B142" s="1" t="s">
        <v>585</v>
      </c>
    </row>
    <row r="143" spans="1:2">
      <c r="A143" s="1" t="s">
        <v>614</v>
      </c>
      <c r="B143" s="1" t="s">
        <v>584</v>
      </c>
    </row>
    <row r="144" spans="1:2">
      <c r="A144" s="1" t="s">
        <v>615</v>
      </c>
      <c r="B144" s="1" t="s">
        <v>584</v>
      </c>
    </row>
    <row r="145" spans="1:3">
      <c r="A145" s="1" t="s">
        <v>616</v>
      </c>
      <c r="B145" s="1" t="s">
        <v>584</v>
      </c>
    </row>
    <row r="146" spans="1:3">
      <c r="A146" s="1" t="s">
        <v>617</v>
      </c>
      <c r="B146" s="1" t="s">
        <v>584</v>
      </c>
    </row>
    <row r="147" spans="1:3">
      <c r="A147" s="1" t="s">
        <v>618</v>
      </c>
      <c r="B147" s="1" t="s">
        <v>584</v>
      </c>
    </row>
    <row r="148" spans="1:3">
      <c r="A148" s="1" t="s">
        <v>619</v>
      </c>
      <c r="B148" s="1" t="s">
        <v>585</v>
      </c>
    </row>
    <row r="149" spans="1:3">
      <c r="A149" s="1" t="s">
        <v>620</v>
      </c>
      <c r="B149" s="1" t="s">
        <v>584</v>
      </c>
    </row>
    <row r="150" spans="1:3">
      <c r="A150" s="1" t="s">
        <v>621</v>
      </c>
      <c r="B150" s="1" t="s">
        <v>584</v>
      </c>
    </row>
    <row r="151" spans="1:3">
      <c r="A151" s="1" t="s">
        <v>622</v>
      </c>
      <c r="B151" s="1" t="s">
        <v>584</v>
      </c>
    </row>
    <row r="152" spans="1:3">
      <c r="A152" s="1" t="s">
        <v>623</v>
      </c>
      <c r="B152" s="1" t="s">
        <v>585</v>
      </c>
    </row>
    <row r="153" spans="1:3">
      <c r="A153" s="1" t="s">
        <v>624</v>
      </c>
      <c r="B153" s="1" t="s">
        <v>627</v>
      </c>
    </row>
    <row r="154" spans="1:3">
      <c r="A154" s="1" t="s">
        <v>625</v>
      </c>
      <c r="B154" s="1" t="s">
        <v>628</v>
      </c>
    </row>
    <row r="155" spans="1:3">
      <c r="A155" s="1" t="s">
        <v>626</v>
      </c>
      <c r="B155" s="1" t="s">
        <v>629</v>
      </c>
    </row>
    <row r="156" spans="1:3">
      <c r="A156" s="1" t="s">
        <v>646</v>
      </c>
      <c r="B156" s="1" t="s">
        <v>642</v>
      </c>
      <c r="C156" s="1">
        <v>2</v>
      </c>
    </row>
    <row r="157" spans="1:3">
      <c r="A157" s="1" t="s">
        <v>646</v>
      </c>
      <c r="B157" s="1" t="s">
        <v>647</v>
      </c>
      <c r="C157" s="1">
        <v>3.5</v>
      </c>
    </row>
    <row r="158" spans="1:3">
      <c r="A158" s="1" t="s">
        <v>646</v>
      </c>
      <c r="B158" s="1" t="s">
        <v>437</v>
      </c>
      <c r="C158" s="1">
        <v>1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6"/>
  <sheetViews>
    <sheetView workbookViewId="0">
      <selection activeCell="B23" sqref="B23"/>
    </sheetView>
  </sheetViews>
  <sheetFormatPr defaultColWidth="8.85546875" defaultRowHeight="12.75"/>
  <cols>
    <col min="1" max="1" width="9" style="50" customWidth="1"/>
    <col min="2" max="2" width="35.42578125" style="51" customWidth="1"/>
    <col min="3" max="3" width="10" style="57" customWidth="1"/>
  </cols>
  <sheetData>
    <row r="1" spans="1:3">
      <c r="A1" s="48" t="s">
        <v>0</v>
      </c>
      <c r="B1" s="49" t="s">
        <v>1</v>
      </c>
      <c r="C1" s="58" t="s">
        <v>463</v>
      </c>
    </row>
    <row r="2" spans="1:3">
      <c r="A2" s="128" t="s">
        <v>664</v>
      </c>
      <c r="B2" s="129" t="s">
        <v>649</v>
      </c>
      <c r="C2" s="130">
        <v>85000</v>
      </c>
    </row>
    <row r="3" spans="1:3">
      <c r="A3" s="128" t="s">
        <v>665</v>
      </c>
      <c r="B3" s="129" t="s">
        <v>650</v>
      </c>
      <c r="C3" s="130">
        <v>85000</v>
      </c>
    </row>
    <row r="4" spans="1:3">
      <c r="A4" s="128" t="s">
        <v>666</v>
      </c>
      <c r="B4" s="129" t="s">
        <v>651</v>
      </c>
      <c r="C4" s="130">
        <v>98000</v>
      </c>
    </row>
    <row r="5" spans="1:3">
      <c r="A5" s="128" t="s">
        <v>667</v>
      </c>
      <c r="B5" s="129" t="s">
        <v>652</v>
      </c>
      <c r="C5" s="130">
        <v>98000</v>
      </c>
    </row>
    <row r="6" spans="1:3">
      <c r="A6" s="128" t="s">
        <v>668</v>
      </c>
      <c r="B6" s="129" t="s">
        <v>653</v>
      </c>
      <c r="C6" s="130">
        <v>115000</v>
      </c>
    </row>
    <row r="7" spans="1:3">
      <c r="A7" s="128" t="s">
        <v>669</v>
      </c>
      <c r="B7" s="129" t="s">
        <v>654</v>
      </c>
      <c r="C7" s="130">
        <v>115000</v>
      </c>
    </row>
    <row r="8" spans="1:3">
      <c r="A8" s="128" t="s">
        <v>670</v>
      </c>
      <c r="B8" s="129" t="s">
        <v>655</v>
      </c>
      <c r="C8" s="130">
        <v>85000</v>
      </c>
    </row>
    <row r="9" spans="1:3">
      <c r="A9" s="128" t="s">
        <v>671</v>
      </c>
      <c r="B9" s="129" t="s">
        <v>656</v>
      </c>
      <c r="C9" s="130">
        <v>98000</v>
      </c>
    </row>
    <row r="10" spans="1:3">
      <c r="A10" s="128" t="s">
        <v>672</v>
      </c>
      <c r="B10" s="129" t="s">
        <v>657</v>
      </c>
      <c r="C10" s="130">
        <v>98000</v>
      </c>
    </row>
    <row r="11" spans="1:3">
      <c r="A11" s="128" t="s">
        <v>673</v>
      </c>
      <c r="B11" s="129" t="s">
        <v>658</v>
      </c>
      <c r="C11" s="130">
        <v>98000</v>
      </c>
    </row>
    <row r="12" spans="1:3">
      <c r="A12" s="128" t="s">
        <v>674</v>
      </c>
      <c r="B12" s="129" t="s">
        <v>659</v>
      </c>
      <c r="C12" s="130">
        <v>115000</v>
      </c>
    </row>
    <row r="13" spans="1:3">
      <c r="A13" s="128" t="s">
        <v>675</v>
      </c>
      <c r="B13" s="129" t="s">
        <v>660</v>
      </c>
      <c r="C13" s="130">
        <v>115000</v>
      </c>
    </row>
    <row r="14" spans="1:3">
      <c r="A14" s="128" t="s">
        <v>676</v>
      </c>
      <c r="B14" s="129" t="s">
        <v>661</v>
      </c>
      <c r="C14" s="130">
        <v>155000</v>
      </c>
    </row>
    <row r="15" spans="1:3">
      <c r="A15" s="128" t="s">
        <v>677</v>
      </c>
      <c r="B15" s="129" t="s">
        <v>662</v>
      </c>
      <c r="C15" s="130">
        <v>155000</v>
      </c>
    </row>
    <row r="16" spans="1:3">
      <c r="A16" s="128" t="s">
        <v>678</v>
      </c>
      <c r="B16" s="129" t="s">
        <v>663</v>
      </c>
      <c r="C16" s="130">
        <v>155000</v>
      </c>
    </row>
  </sheetData>
  <conditionalFormatting sqref="A1:A1048576">
    <cfRule type="duplicateValues" dxfId="2" priority="4"/>
  </conditionalFormatting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NhapNhanh</vt:lpstr>
      <vt:lpstr>BanLe</vt:lpstr>
      <vt:lpstr>TongHop</vt:lpstr>
      <vt:lpstr>Combo</vt:lpstr>
      <vt:lpstr>DSSP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Hiep Le</dc:creator>
  <cp:lastModifiedBy>Hiep</cp:lastModifiedBy>
  <dcterms:created xsi:type="dcterms:W3CDTF">2012-12-11T14:33:10Z</dcterms:created>
  <dcterms:modified xsi:type="dcterms:W3CDTF">2014-07-11T03:39:25Z</dcterms:modified>
</cp:coreProperties>
</file>