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autoCompressPictures="0" defaultThemeVersion="124226"/>
  <bookViews>
    <workbookView xWindow="0" yWindow="0" windowWidth="20640" windowHeight="11670" firstSheet="1" activeTab="1"/>
  </bookViews>
  <sheets>
    <sheet name="NhapNhanh" sheetId="4" state="hidden" r:id="rId1"/>
    <sheet name="BanLe" sheetId="1" r:id="rId2"/>
    <sheet name="TongHop" sheetId="3" r:id="rId3"/>
    <sheet name="Combo" sheetId="6" state="hidden" r:id="rId4"/>
    <sheet name="DSSP" sheetId="2" r:id="rId5"/>
  </sheets>
  <functionGroups builtInGroupCount="17"/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6" i="1" l="1"/>
  <c r="F6" i="1"/>
  <c r="E5" i="1"/>
  <c r="F5" i="1"/>
  <c r="E4" i="1"/>
  <c r="F4" i="1"/>
  <c r="I11" i="1"/>
  <c r="I17" i="1"/>
</calcChain>
</file>

<file path=xl/sharedStrings.xml><?xml version="1.0" encoding="utf-8"?>
<sst xmlns="http://schemas.openxmlformats.org/spreadsheetml/2006/main" count="2759" uniqueCount="796">
  <si>
    <t>Mã SP</t>
  </si>
  <si>
    <t>Tên sản phẩm</t>
  </si>
  <si>
    <t>A025</t>
  </si>
  <si>
    <t>Gà bông</t>
  </si>
  <si>
    <t>Ngày</t>
  </si>
  <si>
    <t>Chiết khấu</t>
  </si>
  <si>
    <t>A026</t>
  </si>
  <si>
    <t>Dép bốn lá</t>
  </si>
  <si>
    <t>A028</t>
  </si>
  <si>
    <t>Cá voi</t>
  </si>
  <si>
    <t>A041</t>
  </si>
  <si>
    <t>Cup cake</t>
  </si>
  <si>
    <t>A042</t>
  </si>
  <si>
    <t>Dino</t>
  </si>
  <si>
    <t>STT</t>
  </si>
  <si>
    <t>Mã</t>
  </si>
  <si>
    <t>Tên Sp</t>
  </si>
  <si>
    <t>Số lượng</t>
  </si>
  <si>
    <t>Đơn giá</t>
  </si>
  <si>
    <t>Thành tiền</t>
  </si>
  <si>
    <t>A049</t>
  </si>
  <si>
    <t xml:space="preserve">Key - lock </t>
  </si>
  <si>
    <t>A050</t>
  </si>
  <si>
    <t>XX and XY</t>
  </si>
  <si>
    <t>A051</t>
  </si>
  <si>
    <t>Kem đôi</t>
  </si>
  <si>
    <t>A052</t>
  </si>
  <si>
    <t>Nấm đôi</t>
  </si>
  <si>
    <t>A054</t>
  </si>
  <si>
    <t>Cáo đôi</t>
  </si>
  <si>
    <t>A055</t>
  </si>
  <si>
    <t>Cơm nắm</t>
  </si>
  <si>
    <t>A056</t>
  </si>
  <si>
    <t>Ong</t>
  </si>
  <si>
    <t>A057</t>
  </si>
  <si>
    <t>Cỏ 4 lá</t>
  </si>
  <si>
    <t>A058</t>
  </si>
  <si>
    <t>Ếch</t>
  </si>
  <si>
    <t>A059</t>
  </si>
  <si>
    <t>Bọ dừa</t>
  </si>
  <si>
    <t>A060</t>
  </si>
  <si>
    <t>Cánh cụt</t>
  </si>
  <si>
    <t>A061</t>
  </si>
  <si>
    <t>Gấu trúc</t>
  </si>
  <si>
    <t>A062</t>
  </si>
  <si>
    <t>Hươu</t>
  </si>
  <si>
    <t>A063</t>
  </si>
  <si>
    <t>Lừa</t>
  </si>
  <si>
    <t>A064</t>
  </si>
  <si>
    <t>Bánh sữa</t>
  </si>
  <si>
    <t>A069</t>
  </si>
  <si>
    <t>Bánh kem</t>
  </si>
  <si>
    <t>A071</t>
  </si>
  <si>
    <t>Bao tay</t>
  </si>
  <si>
    <t>A073</t>
  </si>
  <si>
    <t>Cá heo</t>
  </si>
  <si>
    <t>A075</t>
  </si>
  <si>
    <t>Bánh kẹp trứng</t>
  </si>
  <si>
    <t>A076</t>
  </si>
  <si>
    <t>Búp bê Nga</t>
  </si>
  <si>
    <t>A077</t>
  </si>
  <si>
    <t>Chim</t>
  </si>
  <si>
    <t>A079</t>
  </si>
  <si>
    <t>Trăng sao</t>
  </si>
  <si>
    <t>A080</t>
  </si>
  <si>
    <t>Chuột cheese</t>
  </si>
  <si>
    <t>A085</t>
  </si>
  <si>
    <t>Trà sữa</t>
  </si>
  <si>
    <t>A090</t>
  </si>
  <si>
    <t>Hamster</t>
  </si>
  <si>
    <t>A091</t>
  </si>
  <si>
    <t>Cánh cụt bơi</t>
  </si>
  <si>
    <t>A092</t>
  </si>
  <si>
    <t>Heo đất</t>
  </si>
  <si>
    <t>A121</t>
  </si>
  <si>
    <t>Gà mẹ con</t>
  </si>
  <si>
    <t>A122</t>
  </si>
  <si>
    <t>Ếch kêu mưa</t>
  </si>
  <si>
    <t>A123</t>
  </si>
  <si>
    <t>Tê giác tắm</t>
  </si>
  <si>
    <t>A124</t>
  </si>
  <si>
    <t>Cá mú</t>
  </si>
  <si>
    <t>A125</t>
  </si>
  <si>
    <t>Ỉn hồng</t>
  </si>
  <si>
    <t>A126</t>
  </si>
  <si>
    <t>A127</t>
  </si>
  <si>
    <t>Gối bốn lá</t>
  </si>
  <si>
    <t>A128</t>
  </si>
  <si>
    <t>A129</t>
  </si>
  <si>
    <t>Chó</t>
  </si>
  <si>
    <t>A130</t>
  </si>
  <si>
    <t>A131</t>
  </si>
  <si>
    <t>A132</t>
  </si>
  <si>
    <t>Bánh cuộn</t>
  </si>
  <si>
    <t>A133</t>
  </si>
  <si>
    <t>Sushi</t>
  </si>
  <si>
    <t>A134</t>
  </si>
  <si>
    <t>Caramen</t>
  </si>
  <si>
    <t>A135</t>
  </si>
  <si>
    <t>Bánh quy</t>
  </si>
  <si>
    <t>A136</t>
  </si>
  <si>
    <t>Chuột</t>
  </si>
  <si>
    <t>A137</t>
  </si>
  <si>
    <t>A138</t>
  </si>
  <si>
    <t>Khỉ yoyo cici</t>
  </si>
  <si>
    <t>A139</t>
  </si>
  <si>
    <t>Cú</t>
  </si>
  <si>
    <t>A140</t>
  </si>
  <si>
    <t>Domokun</t>
  </si>
  <si>
    <t>A141</t>
  </si>
  <si>
    <t>Mèo</t>
  </si>
  <si>
    <t>A142</t>
  </si>
  <si>
    <t>Bọt biển</t>
  </si>
  <si>
    <t>A143</t>
  </si>
  <si>
    <t>Bạch Dương</t>
  </si>
  <si>
    <t>A144</t>
  </si>
  <si>
    <t>Kim Ngưu</t>
  </si>
  <si>
    <t>A145</t>
  </si>
  <si>
    <t>Sư Tử</t>
  </si>
  <si>
    <t>A146</t>
  </si>
  <si>
    <t>Song Tử</t>
  </si>
  <si>
    <t>A147</t>
  </si>
  <si>
    <t>Cự Giải</t>
  </si>
  <si>
    <t>A148</t>
  </si>
  <si>
    <t xml:space="preserve">Xử Nữ </t>
  </si>
  <si>
    <t>A149</t>
  </si>
  <si>
    <t>Thiên Bình</t>
  </si>
  <si>
    <t>A150</t>
  </si>
  <si>
    <t>Bọ Cạp</t>
  </si>
  <si>
    <t>A151</t>
  </si>
  <si>
    <t>Nhân Mã</t>
  </si>
  <si>
    <t>A152</t>
  </si>
  <si>
    <t>Ma Kết</t>
  </si>
  <si>
    <t>A153</t>
  </si>
  <si>
    <t>Bảo Bình</t>
  </si>
  <si>
    <t>A154</t>
  </si>
  <si>
    <t>Song Ngư</t>
  </si>
  <si>
    <t>A155</t>
  </si>
  <si>
    <t>Phao bơi và mỏ neo</t>
  </si>
  <si>
    <t>A156</t>
  </si>
  <si>
    <t>Hải cẩu</t>
  </si>
  <si>
    <t>A157</t>
  </si>
  <si>
    <t>Cá vàng</t>
  </si>
  <si>
    <t>A158</t>
  </si>
  <si>
    <t>Dâu Tây</t>
  </si>
  <si>
    <t>A159</t>
  </si>
  <si>
    <t>Nấm rừng</t>
  </si>
  <si>
    <t>A160</t>
  </si>
  <si>
    <t>Đầu lâu</t>
  </si>
  <si>
    <t>A161</t>
  </si>
  <si>
    <t>Tuần lộc kute</t>
  </si>
  <si>
    <t>A162</t>
  </si>
  <si>
    <t>Bóng Noel</t>
  </si>
  <si>
    <t>A163</t>
  </si>
  <si>
    <t>Tuần lộc đỏ</t>
  </si>
  <si>
    <t>A164</t>
  </si>
  <si>
    <t>Quả cầu Noel</t>
  </si>
  <si>
    <t>A165</t>
  </si>
  <si>
    <t>Găng tất Noel</t>
  </si>
  <si>
    <t>A093</t>
  </si>
  <si>
    <t>Cây thông</t>
  </si>
  <si>
    <t>A094</t>
  </si>
  <si>
    <t>Người bánh gừng</t>
  </si>
  <si>
    <t>A095</t>
  </si>
  <si>
    <t>Người tuyết</t>
  </si>
  <si>
    <t>A098</t>
  </si>
  <si>
    <t>Kẹo que</t>
  </si>
  <si>
    <t>A101</t>
  </si>
  <si>
    <t>Ông già Noel</t>
  </si>
  <si>
    <t>B01</t>
  </si>
  <si>
    <t>Ấm trà tình yêu</t>
  </si>
  <si>
    <t>B02</t>
  </si>
  <si>
    <t>Lò nướng kitty</t>
  </si>
  <si>
    <t>B03</t>
  </si>
  <si>
    <t>Cafe hoa quả</t>
  </si>
  <si>
    <t>B04</t>
  </si>
  <si>
    <t>Fastfood</t>
  </si>
  <si>
    <t>B07</t>
  </si>
  <si>
    <t>Bánh dâu</t>
  </si>
  <si>
    <t>B08</t>
  </si>
  <si>
    <t>Cơm Nhật</t>
  </si>
  <si>
    <t>B09</t>
  </si>
  <si>
    <t>Pizza hoa quả</t>
  </si>
  <si>
    <t>B10</t>
  </si>
  <si>
    <t>Bánh trái cây</t>
  </si>
  <si>
    <t>B11</t>
  </si>
  <si>
    <t>B12</t>
  </si>
  <si>
    <t>Bánh chocolate</t>
  </si>
  <si>
    <t>B13</t>
  </si>
  <si>
    <t>Cheese cake</t>
  </si>
  <si>
    <t>B14</t>
  </si>
  <si>
    <t>Tiramisu</t>
  </si>
  <si>
    <t>B15</t>
  </si>
  <si>
    <t>Hộp chocolate</t>
  </si>
  <si>
    <t>C01</t>
  </si>
  <si>
    <t>Thiệp</t>
  </si>
  <si>
    <t>R000</t>
  </si>
  <si>
    <t>Rollygami làm sẵn</t>
  </si>
  <si>
    <t>R001</t>
  </si>
  <si>
    <t>R002</t>
  </si>
  <si>
    <t>R003</t>
  </si>
  <si>
    <t>Gấu Panda</t>
  </si>
  <si>
    <t>R004</t>
  </si>
  <si>
    <t>Angry bird đen</t>
  </si>
  <si>
    <t>R005</t>
  </si>
  <si>
    <t>Angry bird đỏ</t>
  </si>
  <si>
    <t>R006</t>
  </si>
  <si>
    <t>Angry bird trắng</t>
  </si>
  <si>
    <t>R007</t>
  </si>
  <si>
    <t>Angry bird vàng</t>
  </si>
  <si>
    <t>R008</t>
  </si>
  <si>
    <t>Rùa</t>
  </si>
  <si>
    <t>VD1</t>
  </si>
  <si>
    <t>Vải dạ 10x10</t>
  </si>
  <si>
    <t>VD2</t>
  </si>
  <si>
    <t>Vải dạ 18x18</t>
  </si>
  <si>
    <t>VD3</t>
  </si>
  <si>
    <t>Vải dạ 30x30</t>
  </si>
  <si>
    <t>VD4</t>
  </si>
  <si>
    <t>Vải dạ 45x45</t>
  </si>
  <si>
    <t>VD5</t>
  </si>
  <si>
    <t>Vải dạ 90x90</t>
  </si>
  <si>
    <t>VD6</t>
  </si>
  <si>
    <t>Móc điện thoại</t>
  </si>
  <si>
    <t>VD7</t>
  </si>
  <si>
    <t>Móc khóa</t>
  </si>
  <si>
    <t>VD8</t>
  </si>
  <si>
    <t>Keo nến</t>
  </si>
  <si>
    <t>VD9</t>
  </si>
  <si>
    <t>Set chỉ</t>
  </si>
  <si>
    <t>VD10</t>
  </si>
  <si>
    <t>Chỉ đơn</t>
  </si>
  <si>
    <t>VD11</t>
  </si>
  <si>
    <t>Bông túi</t>
  </si>
  <si>
    <t>VD12</t>
  </si>
  <si>
    <t>Bông nửa cân</t>
  </si>
  <si>
    <t>VD13</t>
  </si>
  <si>
    <t>Bông cân</t>
  </si>
  <si>
    <t>VD14</t>
  </si>
  <si>
    <t>Mắt nhựa</t>
  </si>
  <si>
    <t>VD15</t>
  </si>
  <si>
    <t>Hoa tai móc ĐÔI</t>
  </si>
  <si>
    <t>VD16</t>
  </si>
  <si>
    <t>Đế huy hiệu</t>
  </si>
  <si>
    <t>DS01</t>
  </si>
  <si>
    <t>Đất sét Malay</t>
  </si>
  <si>
    <t>DS02</t>
  </si>
  <si>
    <t>Đất sét Thái</t>
  </si>
  <si>
    <t>DS03</t>
  </si>
  <si>
    <t>Đất sét Hàn Quốc</t>
  </si>
  <si>
    <t>DS04</t>
  </si>
  <si>
    <t>Túi khoen 10</t>
  </si>
  <si>
    <t>DS05</t>
  </si>
  <si>
    <t>Kem ủ</t>
  </si>
  <si>
    <t>DS06</t>
  </si>
  <si>
    <t>Kem mềm</t>
  </si>
  <si>
    <t>DS07</t>
  </si>
  <si>
    <t>Keo sữa</t>
  </si>
  <si>
    <t>DS08</t>
  </si>
  <si>
    <t>Dung dịch đất sét</t>
  </si>
  <si>
    <t>DS09</t>
  </si>
  <si>
    <t>Đầu tạo hình</t>
  </si>
  <si>
    <t>DS10</t>
  </si>
  <si>
    <t>Sơn bóng</t>
  </si>
  <si>
    <t>DS11</t>
  </si>
  <si>
    <t>Set màu</t>
  </si>
  <si>
    <t>DS12</t>
  </si>
  <si>
    <t>Bút vẽ</t>
  </si>
  <si>
    <t>DS13</t>
  </si>
  <si>
    <t>Đất sét hoa quả</t>
  </si>
  <si>
    <t>DS14</t>
  </si>
  <si>
    <t>Đất sét hoa quả thanh</t>
  </si>
  <si>
    <t>DS15</t>
  </si>
  <si>
    <t>Lọ thủy tinh</t>
  </si>
  <si>
    <t>DS16</t>
  </si>
  <si>
    <t>Combo classic</t>
  </si>
  <si>
    <t>DS17</t>
  </si>
  <si>
    <t>Combo bánh</t>
  </si>
  <si>
    <t>DS18</t>
  </si>
  <si>
    <t>Tấm phơi</t>
  </si>
  <si>
    <t>DS19</t>
  </si>
  <si>
    <t>Khuôn dập chữ số</t>
  </si>
  <si>
    <t>DS20</t>
  </si>
  <si>
    <t>Cây lăn</t>
  </si>
  <si>
    <t>GC01</t>
  </si>
  <si>
    <t>Dây cói</t>
  </si>
  <si>
    <t>GC02</t>
  </si>
  <si>
    <t>Dây da lộn</t>
  </si>
  <si>
    <t>GC03</t>
  </si>
  <si>
    <t>Dây xích</t>
  </si>
  <si>
    <t>GC04</t>
  </si>
  <si>
    <t>Dây xích vàng</t>
  </si>
  <si>
    <t>GC05</t>
  </si>
  <si>
    <t>Khoen tròn (lạng)</t>
  </si>
  <si>
    <t>GC06</t>
  </si>
  <si>
    <t>Mặt lớn</t>
  </si>
  <si>
    <t>GC07</t>
  </si>
  <si>
    <t>Mặt vừa</t>
  </si>
  <si>
    <t>GC08</t>
  </si>
  <si>
    <t>Mặt nhỏ</t>
  </si>
  <si>
    <t>GC09</t>
  </si>
  <si>
    <t>Mặt cung</t>
  </si>
  <si>
    <t>GC10</t>
  </si>
  <si>
    <t>Bộ 12 cung</t>
  </si>
  <si>
    <t>GC11</t>
  </si>
  <si>
    <t>Kẹp ngang to (số 4)</t>
  </si>
  <si>
    <t>GC12</t>
  </si>
  <si>
    <t>Kẹp ngang nhỏ(số 3)</t>
  </si>
  <si>
    <t>GC21</t>
  </si>
  <si>
    <t>Kem ngang vừa (số 2)</t>
  </si>
  <si>
    <t>GC13</t>
  </si>
  <si>
    <t>Kẹp dọc (số 1)</t>
  </si>
  <si>
    <t>GC14</t>
  </si>
  <si>
    <t>Càng cua</t>
  </si>
  <si>
    <t>GC15</t>
  </si>
  <si>
    <t xml:space="preserve">Chuông bạc </t>
  </si>
  <si>
    <t>GC16</t>
  </si>
  <si>
    <t>Chuông giả cổ</t>
  </si>
  <si>
    <t>GC17</t>
  </si>
  <si>
    <t>Móc điện thoại giả cổ</t>
  </si>
  <si>
    <t>GC18</t>
  </si>
  <si>
    <t>Đinh tán</t>
  </si>
  <si>
    <t>GC19</t>
  </si>
  <si>
    <t>Mặt chữ</t>
  </si>
  <si>
    <t>GC20</t>
  </si>
  <si>
    <t>Mặt số</t>
  </si>
  <si>
    <t>GC101</t>
  </si>
  <si>
    <t>Bông tuyết</t>
  </si>
  <si>
    <t>GC102</t>
  </si>
  <si>
    <t>Chùm chìa khoá</t>
  </si>
  <si>
    <t>GC103</t>
  </si>
  <si>
    <t>Chìa khoá</t>
  </si>
  <si>
    <t>GC104</t>
  </si>
  <si>
    <t>Ổ khoá</t>
  </si>
  <si>
    <t>GC105</t>
  </si>
  <si>
    <t>Nhẫn cú</t>
  </si>
  <si>
    <t>GC106</t>
  </si>
  <si>
    <t>Đôi cú trái tim</t>
  </si>
  <si>
    <t>GC107</t>
  </si>
  <si>
    <t>Mặt giả cổ mỏ neo</t>
  </si>
  <si>
    <t>GC108</t>
  </si>
  <si>
    <t>Mặt giả cổ mèo</t>
  </si>
  <si>
    <t>GC109</t>
  </si>
  <si>
    <t>Đèn dầu thần</t>
  </si>
  <si>
    <t>GC110</t>
  </si>
  <si>
    <t>Máy ảnh cổ</t>
  </si>
  <si>
    <t>GC111</t>
  </si>
  <si>
    <t>Máy ảnh hiện đại</t>
  </si>
  <si>
    <t>GC112</t>
  </si>
  <si>
    <t>Giày Converse</t>
  </si>
  <si>
    <t>GC113</t>
  </si>
  <si>
    <t>Bánh Happy Birthday</t>
  </si>
  <si>
    <t>GC114</t>
  </si>
  <si>
    <t>Chữ Love</t>
  </si>
  <si>
    <t>GC115</t>
  </si>
  <si>
    <t>Chó con</t>
  </si>
  <si>
    <t>GC116</t>
  </si>
  <si>
    <t>Cỏ bốn lá nhỏ</t>
  </si>
  <si>
    <t>GC117</t>
  </si>
  <si>
    <t>Cây nhiều lá</t>
  </si>
  <si>
    <t>GC118</t>
  </si>
  <si>
    <t>Cánh bướm</t>
  </si>
  <si>
    <t>GC119</t>
  </si>
  <si>
    <t>Ngôi sao nhỏ</t>
  </si>
  <si>
    <t>GC120</t>
  </si>
  <si>
    <t>Ngôi sao nổi</t>
  </si>
  <si>
    <t>GC121</t>
  </si>
  <si>
    <t>Cánh thiên thần</t>
  </si>
  <si>
    <t>GC122</t>
  </si>
  <si>
    <t>Thư trái tim</t>
  </si>
  <si>
    <t>GC123</t>
  </si>
  <si>
    <t>Hai chú chim</t>
  </si>
  <si>
    <t>GC124</t>
  </si>
  <si>
    <t>Tháp Eiffel mini</t>
  </si>
  <si>
    <t>GC125</t>
  </si>
  <si>
    <t>Thỏ con tai dài</t>
  </si>
  <si>
    <t>GC126</t>
  </si>
  <si>
    <t>Móc có hoa văn</t>
  </si>
  <si>
    <t>GC127</t>
  </si>
  <si>
    <t>Ghế tiểu thư mini</t>
  </si>
  <si>
    <t>GC128</t>
  </si>
  <si>
    <t>Love heart</t>
  </si>
  <si>
    <t>GC129</t>
  </si>
  <si>
    <t>Vespa mini</t>
  </si>
  <si>
    <t>GC130</t>
  </si>
  <si>
    <t>Trái tim có cánh</t>
  </si>
  <si>
    <t>GC131</t>
  </si>
  <si>
    <t>Mề đay chữ ovan</t>
  </si>
  <si>
    <t>GC132</t>
  </si>
  <si>
    <t>Trái tim cách điệu</t>
  </si>
  <si>
    <t>GC133</t>
  </si>
  <si>
    <t>Chìa khóa hoa</t>
  </si>
  <si>
    <t>GC134</t>
  </si>
  <si>
    <t>GC135</t>
  </si>
  <si>
    <t>Đôi cánh</t>
  </si>
  <si>
    <t>GC136</t>
  </si>
  <si>
    <t>Ấm trà</t>
  </si>
  <si>
    <t>GC137</t>
  </si>
  <si>
    <t>Chìa khoá đôi</t>
  </si>
  <si>
    <t>GC138</t>
  </si>
  <si>
    <t>Vòng tròn peace</t>
  </si>
  <si>
    <t>GC139</t>
  </si>
  <si>
    <t>Be proud</t>
  </si>
  <si>
    <t>GC140</t>
  </si>
  <si>
    <t>Vòng tròn 3 lá đeo cổ</t>
  </si>
  <si>
    <t>GC141</t>
  </si>
  <si>
    <t>Tháp eiffel 1 mặt</t>
  </si>
  <si>
    <t>GC142</t>
  </si>
  <si>
    <t>Bánh lái</t>
  </si>
  <si>
    <t>GC143</t>
  </si>
  <si>
    <t>Mỏ neo cách điệu</t>
  </si>
  <si>
    <t>CT01</t>
  </si>
  <si>
    <t>Chỉ DC</t>
  </si>
  <si>
    <t>VN01</t>
  </si>
  <si>
    <t>Vải mét</t>
  </si>
  <si>
    <t>VN02</t>
  </si>
  <si>
    <t>Vải nỉ làm gối 1.6 x 0.5m</t>
  </si>
  <si>
    <t>VN03</t>
  </si>
  <si>
    <t>Vải nỉ làm gối 1.6 x 1m</t>
  </si>
  <si>
    <t>VN04</t>
  </si>
  <si>
    <t>Vải 40x40</t>
  </si>
  <si>
    <t>VN05</t>
  </si>
  <si>
    <t>Vải vụn 1 LẠNG</t>
  </si>
  <si>
    <t>VN06</t>
  </si>
  <si>
    <t>Khóa 50cm nổi</t>
  </si>
  <si>
    <t>VN07</t>
  </si>
  <si>
    <t>Khóa 40cm nổi</t>
  </si>
  <si>
    <t>VN08</t>
  </si>
  <si>
    <t>Khóa 50cm nổi màu</t>
  </si>
  <si>
    <t>VN09</t>
  </si>
  <si>
    <t>Khóa 25cm chìm trắng</t>
  </si>
  <si>
    <t>VN10</t>
  </si>
  <si>
    <t>Khóa 25cm chìm màu</t>
  </si>
  <si>
    <t>VN11</t>
  </si>
  <si>
    <t>Chun 1m</t>
  </si>
  <si>
    <t>VN12</t>
  </si>
  <si>
    <t>Vải lót 1m</t>
  </si>
  <si>
    <t>VN13</t>
  </si>
  <si>
    <t>Vải lót 0.5m</t>
  </si>
  <si>
    <t>CB01</t>
  </si>
  <si>
    <t>20' basic</t>
  </si>
  <si>
    <t>CB02</t>
  </si>
  <si>
    <t>20' advanced</t>
  </si>
  <si>
    <t>CB03</t>
  </si>
  <si>
    <t>3D basic</t>
  </si>
  <si>
    <t>CB04</t>
  </si>
  <si>
    <t>3D advanced</t>
  </si>
  <si>
    <t>CB05</t>
  </si>
  <si>
    <t>Vải dạ nỉ basic</t>
  </si>
  <si>
    <t>CB06</t>
  </si>
  <si>
    <t>Vải dạ nỉ plus</t>
  </si>
  <si>
    <t>CB07</t>
  </si>
  <si>
    <t>Vải dạ nỉ advanced</t>
  </si>
  <si>
    <t>CB08</t>
  </si>
  <si>
    <t>Vải nỉ HQ basic</t>
  </si>
  <si>
    <t>CB09</t>
  </si>
  <si>
    <t>Vải nỉ HQ advanced</t>
  </si>
  <si>
    <t>CB10</t>
  </si>
  <si>
    <t>Mặt giả cổ hoàng đạo</t>
  </si>
  <si>
    <t>CB11</t>
  </si>
  <si>
    <t>Mặt giả cổ chữ</t>
  </si>
  <si>
    <t>CB12</t>
  </si>
  <si>
    <t>Mặt giả cổ số</t>
  </si>
  <si>
    <t>Giá bán</t>
  </si>
  <si>
    <t>GC22</t>
  </si>
  <si>
    <t>Kẹp số 5</t>
  </si>
  <si>
    <t>GC23</t>
  </si>
  <si>
    <t>Bộ 22 chữ</t>
  </si>
  <si>
    <t>GC24</t>
  </si>
  <si>
    <t>Bộ 10 số</t>
  </si>
  <si>
    <t>GC144</t>
  </si>
  <si>
    <t>Vương miện</t>
  </si>
  <si>
    <t>GC145</t>
  </si>
  <si>
    <t>Cú đặc có cành cây</t>
  </si>
  <si>
    <t>GC146</t>
  </si>
  <si>
    <t>Cú đặc xòe cánh</t>
  </si>
  <si>
    <t>GC147</t>
  </si>
  <si>
    <t>Cú đặc mắt tròn</t>
  </si>
  <si>
    <t>GC148</t>
  </si>
  <si>
    <t>Ô dài 1 mặt</t>
  </si>
  <si>
    <t>GC149</t>
  </si>
  <si>
    <t>Ô ngắn</t>
  </si>
  <si>
    <t>GC150</t>
  </si>
  <si>
    <t>Lược</t>
  </si>
  <si>
    <t>GC151</t>
  </si>
  <si>
    <t>Quạt</t>
  </si>
  <si>
    <t>GC152</t>
  </si>
  <si>
    <t>Điện thoại bàn</t>
  </si>
  <si>
    <t>GC153</t>
  </si>
  <si>
    <t>Nấm</t>
  </si>
  <si>
    <t>GC154</t>
  </si>
  <si>
    <t>GC155</t>
  </si>
  <si>
    <t>Thỏ nhắm mắt</t>
  </si>
  <si>
    <t>GC156</t>
  </si>
  <si>
    <t>Tàu hỏa</t>
  </si>
  <si>
    <t>GC157</t>
  </si>
  <si>
    <t>Cánh chim</t>
  </si>
  <si>
    <t>GC158</t>
  </si>
  <si>
    <t>Sao 1 mặt có vân</t>
  </si>
  <si>
    <t>GC159</t>
  </si>
  <si>
    <t>Trái tim Thank u nhỏ</t>
  </si>
  <si>
    <t>GC160</t>
  </si>
  <si>
    <t>Ovan made with love</t>
  </si>
  <si>
    <t>GC161</t>
  </si>
  <si>
    <t>Sao mặt cười nhỏ</t>
  </si>
  <si>
    <t>TR01</t>
  </si>
  <si>
    <t>Tranh tô màu cỡ đại</t>
  </si>
  <si>
    <t>TR02</t>
  </si>
  <si>
    <t>Tranh tô màu cỡ nhỏ</t>
  </si>
  <si>
    <t>Mặt mắt sao tròn</t>
  </si>
  <si>
    <t>Tổng kế toán</t>
  </si>
  <si>
    <t>Thực thu:</t>
  </si>
  <si>
    <t>Shop/HN/TI</t>
  </si>
  <si>
    <t>Ghi chú</t>
  </si>
  <si>
    <t>Người ghi</t>
  </si>
  <si>
    <t>Tên mặt hàng</t>
  </si>
  <si>
    <t>Doanh thu kế toán</t>
  </si>
  <si>
    <t>Thực thu</t>
  </si>
  <si>
    <t>Mã Combo</t>
  </si>
  <si>
    <t>Mã sp có trong combo</t>
  </si>
  <si>
    <t>Số lượng sp có trong combo</t>
  </si>
  <si>
    <t>Tên sp (Ko bắt buộc)</t>
  </si>
  <si>
    <t>Ghi chú (ko bắt buộc)</t>
  </si>
  <si>
    <t>Combo classic gồm: ĐS malay</t>
  </si>
  <si>
    <t>Túi khoen</t>
  </si>
  <si>
    <t>Khoen</t>
  </si>
  <si>
    <t>Set pha màu</t>
  </si>
  <si>
    <t>Combo Chef gồm: ĐS Hàn</t>
  </si>
  <si>
    <t>Dung dịch</t>
  </si>
  <si>
    <t>dđầu bắt kem</t>
  </si>
  <si>
    <t>kem mềm</t>
  </si>
  <si>
    <t>kem ủ</t>
  </si>
  <si>
    <t>keo sữa</t>
  </si>
  <si>
    <t>bút vẽ</t>
  </si>
  <si>
    <t>tấm phơi</t>
  </si>
  <si>
    <t>set màu</t>
  </si>
  <si>
    <t>Vải nỉ 1.6x0.5m =&gt; 0.5 vải 1 mét</t>
  </si>
  <si>
    <t>2 mặt hàng này giống nhau?</t>
  </si>
  <si>
    <t>Vải lót 0.5m =&gt; 0.5 vải lót 1 mét</t>
  </si>
  <si>
    <t>Bông nửa cân = 0.5 Bông 1 cân</t>
  </si>
  <si>
    <t>V1</t>
  </si>
  <si>
    <t>V10</t>
  </si>
  <si>
    <t>V11</t>
  </si>
  <si>
    <t>V14</t>
  </si>
  <si>
    <t>V16</t>
  </si>
  <si>
    <t>V19</t>
  </si>
  <si>
    <t>V20</t>
  </si>
  <si>
    <t>V22</t>
  </si>
  <si>
    <t>V25</t>
  </si>
  <si>
    <t>V26</t>
  </si>
  <si>
    <t>V28</t>
  </si>
  <si>
    <t>V32</t>
  </si>
  <si>
    <t>V34</t>
  </si>
  <si>
    <t>V36</t>
  </si>
  <si>
    <t>V37</t>
  </si>
  <si>
    <t>V38</t>
  </si>
  <si>
    <t>V40</t>
  </si>
  <si>
    <t>V42</t>
  </si>
  <si>
    <t>V43</t>
  </si>
  <si>
    <t>V44</t>
  </si>
  <si>
    <t>V46</t>
  </si>
  <si>
    <t>V47</t>
  </si>
  <si>
    <t>V49</t>
  </si>
  <si>
    <t>V50</t>
  </si>
  <si>
    <t>V8</t>
  </si>
  <si>
    <t>BC1</t>
  </si>
  <si>
    <t>BC2</t>
  </si>
  <si>
    <t>BC3</t>
  </si>
  <si>
    <t>BC4</t>
  </si>
  <si>
    <t>BC5</t>
  </si>
  <si>
    <t>BC6</t>
  </si>
  <si>
    <t>BC7</t>
  </si>
  <si>
    <t>BC8</t>
  </si>
  <si>
    <t>BC9</t>
  </si>
  <si>
    <t>BC10</t>
  </si>
  <si>
    <t>BC11</t>
  </si>
  <si>
    <t>BC12</t>
  </si>
  <si>
    <t>BC13</t>
  </si>
  <si>
    <t>BC14</t>
  </si>
  <si>
    <t>BC15</t>
  </si>
  <si>
    <t>BC16</t>
  </si>
  <si>
    <t>K1</t>
  </si>
  <si>
    <t>K2</t>
  </si>
  <si>
    <t>K3</t>
  </si>
  <si>
    <t>K4</t>
  </si>
  <si>
    <t>K5</t>
  </si>
  <si>
    <t>V1C</t>
  </si>
  <si>
    <t>V8C</t>
  </si>
  <si>
    <t>V10C</t>
  </si>
  <si>
    <t>V11C</t>
  </si>
  <si>
    <t>V14C</t>
  </si>
  <si>
    <t>V16C</t>
  </si>
  <si>
    <t>V19C</t>
  </si>
  <si>
    <t>V20C</t>
  </si>
  <si>
    <t>V22C</t>
  </si>
  <si>
    <t>V25C</t>
  </si>
  <si>
    <t>V26C</t>
  </si>
  <si>
    <t>V28C</t>
  </si>
  <si>
    <t>V32C</t>
  </si>
  <si>
    <t>V34C</t>
  </si>
  <si>
    <t>V36C</t>
  </si>
  <si>
    <t>V37C</t>
  </si>
  <si>
    <t>V38C</t>
  </si>
  <si>
    <t>V40C</t>
  </si>
  <si>
    <t>V42C</t>
  </si>
  <si>
    <t>V43C</t>
  </si>
  <si>
    <t>V44C</t>
  </si>
  <si>
    <t>V46C</t>
  </si>
  <si>
    <t>V47C</t>
  </si>
  <si>
    <t>V49C</t>
  </si>
  <si>
    <t>V50C</t>
  </si>
  <si>
    <t>BC1C</t>
  </si>
  <si>
    <t>BC2C</t>
  </si>
  <si>
    <t>BC3C</t>
  </si>
  <si>
    <t>BC4C</t>
  </si>
  <si>
    <t>BC5C</t>
  </si>
  <si>
    <t>BC6C</t>
  </si>
  <si>
    <t>BC7C</t>
  </si>
  <si>
    <t>BC8C</t>
  </si>
  <si>
    <t>BC9C</t>
  </si>
  <si>
    <t>BC10C</t>
  </si>
  <si>
    <t>BC11C</t>
  </si>
  <si>
    <t>BC12C</t>
  </si>
  <si>
    <t>BC13C</t>
  </si>
  <si>
    <t>BC14C</t>
  </si>
  <si>
    <t>BC15C</t>
  </si>
  <si>
    <t>BC16C</t>
  </si>
  <si>
    <t>K6</t>
  </si>
  <si>
    <t>K7</t>
  </si>
  <si>
    <t>K8</t>
  </si>
  <si>
    <t>Ca</t>
  </si>
  <si>
    <t>Sang/Chieu</t>
  </si>
  <si>
    <t>Người nhập</t>
  </si>
  <si>
    <t>Mã đơn</t>
  </si>
  <si>
    <t>SL</t>
  </si>
  <si>
    <t>TÌM KIẾM SẢN PHẨM</t>
  </si>
  <si>
    <t>Nhập tên sản phẩm muốn tìm kiếm</t>
  </si>
  <si>
    <t>Kết quả</t>
  </si>
  <si>
    <t>Mã sản phẩm</t>
  </si>
  <si>
    <t>Giá</t>
  </si>
  <si>
    <t>0</t>
  </si>
  <si>
    <t>ds11</t>
  </si>
  <si>
    <t>VT01</t>
  </si>
  <si>
    <t>test</t>
  </si>
  <si>
    <t>Shop</t>
  </si>
  <si>
    <t>tr40</t>
  </si>
  <si>
    <t>VT06</t>
  </si>
  <si>
    <t>VT04</t>
  </si>
  <si>
    <t>GATO SHOP</t>
  </si>
  <si>
    <t>Bánh rán Doraemon</t>
  </si>
  <si>
    <t>Cupcake vani</t>
  </si>
  <si>
    <t>Cupcake socola kem tươi</t>
  </si>
  <si>
    <t>Cupcake café kem tươi</t>
  </si>
  <si>
    <t>Cupcake trà xanh viết chữ yêu thương</t>
  </si>
  <si>
    <t>Cupcake socola viết chữ yêu thương</t>
  </si>
  <si>
    <t>Cookies tạo hình yêu thương</t>
  </si>
  <si>
    <t>Cookies chocochip</t>
  </si>
  <si>
    <t>Cookies trà xanh</t>
  </si>
  <si>
    <t>Cookies dừa hạnh nhân</t>
  </si>
  <si>
    <t>Donut 4 phong cách trang trí</t>
  </si>
  <si>
    <t>Gato mini ghép chữ (vani/socola)</t>
  </si>
  <si>
    <t>Gato mini trái tim (vani/socola)</t>
  </si>
  <si>
    <t>Tiramisu viết chữ</t>
  </si>
  <si>
    <t>Gato sinh nhật (Vani/socola/Dâu tây)</t>
  </si>
  <si>
    <t>GT01</t>
  </si>
  <si>
    <t>GT02</t>
  </si>
  <si>
    <t>GT03</t>
  </si>
  <si>
    <t>GT04</t>
  </si>
  <si>
    <t>GT05</t>
  </si>
  <si>
    <t>GT06</t>
  </si>
  <si>
    <t>GT07</t>
  </si>
  <si>
    <t>GT08</t>
  </si>
  <si>
    <t>GT09</t>
  </si>
  <si>
    <t>GT10</t>
  </si>
  <si>
    <t>GT11</t>
  </si>
  <si>
    <t>GT12</t>
  </si>
  <si>
    <t>GT13</t>
  </si>
  <si>
    <t>GT14</t>
  </si>
  <si>
    <t>GT15</t>
  </si>
  <si>
    <t>Sang</t>
  </si>
  <si>
    <t>shop</t>
  </si>
  <si>
    <t>gt15</t>
  </si>
  <si>
    <t>Gato sinh nhật (Vani/soco</t>
  </si>
  <si>
    <t>Huyền</t>
  </si>
  <si>
    <t>Lan</t>
  </si>
  <si>
    <t xml:space="preserve">Donut 4 phong cách trang </t>
  </si>
  <si>
    <t>tặng kèm 1 kem chanh leo</t>
  </si>
  <si>
    <t>tặng kèm 1 kem socola</t>
  </si>
  <si>
    <t>chieu</t>
  </si>
  <si>
    <t>gt06</t>
  </si>
  <si>
    <t>Cupcake socola viết chữ y</t>
  </si>
  <si>
    <t>tặng kèm mouse chanh leo</t>
  </si>
  <si>
    <t>Thạch chanh leo</t>
  </si>
  <si>
    <t>Thạch café sữa dừa</t>
  </si>
  <si>
    <t>Thạch socola sữa</t>
  </si>
  <si>
    <t>Caramen truyền thống</t>
  </si>
  <si>
    <t>Caramen trà xanh</t>
  </si>
  <si>
    <t>Kem socola</t>
  </si>
  <si>
    <t>Kem tiramisu</t>
  </si>
  <si>
    <t>Kem chanh leo</t>
  </si>
  <si>
    <t xml:space="preserve">Kem trà xanh </t>
  </si>
  <si>
    <t>Kem dừa</t>
  </si>
  <si>
    <t>Mousse chanh leo</t>
  </si>
  <si>
    <t>Mousse trà xanh delight</t>
  </si>
  <si>
    <t>GH01</t>
  </si>
  <si>
    <t>GH02</t>
  </si>
  <si>
    <t>GH04</t>
  </si>
  <si>
    <t>GH03</t>
  </si>
  <si>
    <t>GH05</t>
  </si>
  <si>
    <t>GH06</t>
  </si>
  <si>
    <t>GH07</t>
  </si>
  <si>
    <t>GH08</t>
  </si>
  <si>
    <t>GH09</t>
  </si>
  <si>
    <t>GH10</t>
  </si>
  <si>
    <t>GH11</t>
  </si>
  <si>
    <t>GH12</t>
  </si>
  <si>
    <t>Quỳnh</t>
  </si>
  <si>
    <t>gt05</t>
  </si>
  <si>
    <t>Cupcake trà xanh viết chữ</t>
  </si>
  <si>
    <t>gt03</t>
  </si>
  <si>
    <t>gh11</t>
  </si>
  <si>
    <t>Chieu</t>
  </si>
  <si>
    <t>thêm tiền trứng và kem</t>
  </si>
  <si>
    <t>gt12</t>
  </si>
  <si>
    <t>Gato mini ghép chữ (vani/</t>
  </si>
  <si>
    <t>kem chanh leo</t>
  </si>
  <si>
    <t>mousse chanh leo</t>
  </si>
  <si>
    <t>gt02</t>
  </si>
  <si>
    <t>thêm kem trang trí</t>
  </si>
  <si>
    <t>gt07</t>
  </si>
  <si>
    <t>Cookies tạo hình yêu thươ</t>
  </si>
  <si>
    <t>mousse trà xanh</t>
  </si>
  <si>
    <t>gt08</t>
  </si>
  <si>
    <t>khách trang trí cupcake trà xanh kem tươi</t>
  </si>
  <si>
    <t>sang</t>
  </si>
  <si>
    <t>Oanh</t>
  </si>
  <si>
    <t>gh12</t>
  </si>
  <si>
    <t>gh02</t>
  </si>
  <si>
    <t>sale</t>
  </si>
  <si>
    <t>gh01</t>
  </si>
  <si>
    <t>gh03</t>
  </si>
  <si>
    <t>gt04</t>
  </si>
  <si>
    <t>gt09</t>
  </si>
  <si>
    <t>tặng 2 kem chanh leo, 1 thạch cafe sữa</t>
  </si>
  <si>
    <t>tặng mousse chanh leo</t>
  </si>
  <si>
    <t>tặng mousse chanh le0</t>
  </si>
  <si>
    <t>khách làm trang trí kem tươi</t>
  </si>
  <si>
    <t>Hiền</t>
  </si>
  <si>
    <t>Hồng</t>
  </si>
  <si>
    <t>Không viết chữ</t>
  </si>
  <si>
    <t>Gt03</t>
  </si>
  <si>
    <t>Giảm giá</t>
  </si>
  <si>
    <t>Gato mini trái tim (vani/</t>
  </si>
  <si>
    <t>TT01</t>
  </si>
  <si>
    <t>Bánh dẻo cỡ vừa</t>
  </si>
  <si>
    <t>TT02</t>
  </si>
  <si>
    <t>Bánh Trung Thu ngàn lớp</t>
  </si>
  <si>
    <t>TT03</t>
  </si>
  <si>
    <t>Bánh Trung Thu thạch rau câu</t>
  </si>
  <si>
    <t>TT04</t>
  </si>
  <si>
    <t>Bánh dẻo cỡ nhỏ</t>
  </si>
  <si>
    <t>TT05</t>
  </si>
  <si>
    <t>Bánh nướng cỡ vừa</t>
  </si>
  <si>
    <t>TT06</t>
  </si>
  <si>
    <t>Bánh nướng nặn hình thú</t>
  </si>
  <si>
    <t>TT07</t>
  </si>
  <si>
    <t>Bánh nướng cỡ nhỏ</t>
  </si>
  <si>
    <t>TT08</t>
  </si>
  <si>
    <t>TT09</t>
  </si>
  <si>
    <t>Bánh nướng cỡ lớn</t>
  </si>
  <si>
    <t>TT10</t>
  </si>
  <si>
    <t>Combo Trung Thu bạn bè</t>
  </si>
  <si>
    <t>TT11</t>
  </si>
  <si>
    <t>Combo bé yêu</t>
  </si>
  <si>
    <t>TT12</t>
  </si>
  <si>
    <t>Combo Trung Thu gia đình</t>
  </si>
  <si>
    <t>TT13</t>
  </si>
  <si>
    <t>Combo gia đình đặc biệt</t>
  </si>
  <si>
    <t>Đơn hàng số</t>
  </si>
  <si>
    <t>Số điện thoại</t>
  </si>
  <si>
    <t>Trang</t>
  </si>
  <si>
    <t>sale khuyến mại</t>
  </si>
  <si>
    <t>gh09</t>
  </si>
  <si>
    <t>thạch chanh leo 40k</t>
  </si>
  <si>
    <t>giảm menu mùa hè</t>
  </si>
  <si>
    <t>Gt12</t>
  </si>
  <si>
    <t>Gt05</t>
  </si>
  <si>
    <t>Gt02</t>
  </si>
  <si>
    <t>thẻ tặng kèm 1 Gato mini</t>
  </si>
  <si>
    <t>Sale</t>
  </si>
  <si>
    <t>23</t>
  </si>
  <si>
    <t>bánh dẻo</t>
  </si>
  <si>
    <t>tt01</t>
  </si>
  <si>
    <t>tt02</t>
  </si>
  <si>
    <t>tt03</t>
  </si>
  <si>
    <t xml:space="preserve">Bánh Trung Thu thạch rau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</si>
</sst>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23">
    <font>
      <sz val="10"/>
      <color rgb="FF00000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8"/>
      <color theme="0"/>
      <name val="Arial"/>
      <family val="2"/>
    </font>
    <font>
      <sz val="8"/>
      <name val="Times New Roman"/>
      <family val="2"/>
    </font>
    <font>
      <sz val="8"/>
      <name val="Times New Roman"/>
      <family val="1"/>
    </font>
    <font>
      <sz val="10"/>
      <color theme="0"/>
      <name val="Arial"/>
      <family val="2"/>
    </font>
    <font>
      <sz val="8"/>
      <name val="Inherit"/>
    </font>
    <font>
      <sz val="8"/>
      <name val="Arial"/>
      <family val="2"/>
    </font>
    <font>
      <sz val="8"/>
      <color theme="1"/>
      <name val="Arial"/>
      <family val="2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b/>
      <sz val="8"/>
      <name val="Arial"/>
      <family val="2"/>
    </font>
    <font>
      <sz val="8"/>
      <color theme="1"/>
      <name val="Calibri"/>
      <family val="2"/>
      <scheme val="minor"/>
    </font>
    <font>
      <b/>
      <sz val="14"/>
      <color rgb="FF000000"/>
      <name val="Arial"/>
      <family val="2"/>
    </font>
    <font>
      <b/>
      <sz val="10"/>
      <color rgb="FF00000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2.1"/>
      <color rgb="FF000000"/>
      <name val="Calibri"/>
      <family val="2"/>
      <charset val="163"/>
      <scheme val="minor"/>
    </font>
    <font>
      <b/>
      <sz val="10"/>
      <name val="Arial"/>
      <family val="2"/>
    </font>
    <font>
      <sz val="10"/>
      <color rgb="FF222222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/>
      <top/>
      <bottom/>
      <diagonal/>
    </border>
    <border>
      <left/>
      <right/>
      <top style="thin">
        <color theme="8"/>
      </top>
      <bottom/>
      <diagonal/>
    </border>
    <border>
      <left style="thick">
        <color auto="1"/>
      </left>
      <right/>
      <top style="thin">
        <color theme="8"/>
      </top>
      <bottom/>
      <diagonal/>
    </border>
    <border>
      <left style="thin">
        <color theme="0" tint="-4.9989318521683403E-2"/>
      </left>
      <right/>
      <top/>
      <bottom/>
      <diagonal/>
    </border>
    <border>
      <left style="thin">
        <color theme="0" tint="-4.9989318521683403E-2"/>
      </left>
      <right/>
      <top style="thin">
        <color theme="8"/>
      </top>
      <bottom/>
      <diagonal/>
    </border>
    <border>
      <left/>
      <right style="thin">
        <color theme="0" tint="-4.9989318521683403E-2"/>
      </right>
      <top style="thin">
        <color theme="8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theme="0" tint="-4.9989318521683403E-2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43" fontId="3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2" fillId="0" borderId="0"/>
    <xf numFmtId="43" fontId="1" fillId="0" borderId="0" applyFont="0" applyFill="0" applyBorder="0" applyAlignment="0" applyProtection="0"/>
    <xf numFmtId="0" fontId="1" fillId="0" borderId="0"/>
  </cellStyleXfs>
  <cellXfs count="164">
    <xf numFmtId="0" fontId="0" fillId="0" borderId="0" xfId="0"/>
    <xf numFmtId="0" fontId="0" fillId="0" borderId="0" xfId="0" applyAlignment="1">
      <alignment wrapText="1"/>
    </xf>
    <xf numFmtId="0" fontId="5" fillId="2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6" fillId="4" borderId="1" xfId="0" applyNumberFormat="1" applyFont="1" applyFill="1" applyBorder="1" applyAlignment="1">
      <alignment horizontal="center" vertical="center"/>
    </xf>
    <xf numFmtId="0" fontId="7" fillId="4" borderId="1" xfId="0" applyNumberFormat="1" applyFont="1" applyFill="1" applyBorder="1" applyAlignment="1"/>
    <xf numFmtId="0" fontId="6" fillId="5" borderId="2" xfId="0" applyNumberFormat="1" applyFont="1" applyFill="1" applyBorder="1" applyAlignment="1">
      <alignment horizontal="center" vertical="center"/>
    </xf>
    <xf numFmtId="0" fontId="7" fillId="5" borderId="2" xfId="0" applyNumberFormat="1" applyFont="1" applyFill="1" applyBorder="1" applyAlignment="1"/>
    <xf numFmtId="0" fontId="6" fillId="5" borderId="1" xfId="0" applyNumberFormat="1" applyFont="1" applyFill="1" applyBorder="1" applyAlignment="1">
      <alignment horizontal="center" vertical="center"/>
    </xf>
    <xf numFmtId="0" fontId="7" fillId="5" borderId="1" xfId="0" applyNumberFormat="1" applyFont="1" applyFill="1" applyBorder="1" applyAlignment="1"/>
    <xf numFmtId="0" fontId="6" fillId="6" borderId="1" xfId="0" applyNumberFormat="1" applyFont="1" applyFill="1" applyBorder="1" applyAlignment="1">
      <alignment horizontal="center" vertical="center"/>
    </xf>
    <xf numFmtId="0" fontId="7" fillId="6" borderId="1" xfId="0" applyNumberFormat="1" applyFont="1" applyFill="1" applyBorder="1" applyAlignment="1"/>
    <xf numFmtId="0" fontId="10" fillId="7" borderId="1" xfId="0" applyFont="1" applyFill="1" applyBorder="1" applyAlignment="1">
      <alignment horizontal="center" vertical="center" wrapText="1"/>
    </xf>
    <xf numFmtId="0" fontId="11" fillId="7" borderId="1" xfId="0" applyFont="1" applyFill="1" applyBorder="1" applyAlignment="1">
      <alignment wrapText="1"/>
    </xf>
    <xf numFmtId="0" fontId="12" fillId="7" borderId="1" xfId="0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wrapText="1"/>
    </xf>
    <xf numFmtId="0" fontId="6" fillId="8" borderId="1" xfId="0" applyNumberFormat="1" applyFont="1" applyFill="1" applyBorder="1" applyAlignment="1">
      <alignment horizontal="center" vertical="center"/>
    </xf>
    <xf numFmtId="0" fontId="7" fillId="8" borderId="1" xfId="0" applyNumberFormat="1" applyFont="1" applyFill="1" applyBorder="1" applyAlignment="1"/>
    <xf numFmtId="0" fontId="9" fillId="8" borderId="1" xfId="0" applyFont="1" applyFill="1" applyBorder="1" applyAlignment="1">
      <alignment horizontal="center" vertical="center" wrapText="1"/>
    </xf>
    <xf numFmtId="0" fontId="10" fillId="8" borderId="1" xfId="0" applyFont="1" applyFill="1" applyBorder="1" applyAlignment="1">
      <alignment wrapText="1"/>
    </xf>
    <xf numFmtId="0" fontId="10" fillId="8" borderId="1" xfId="0" applyFont="1" applyFill="1" applyBorder="1" applyAlignment="1">
      <alignment horizontal="center" vertical="center" wrapText="1"/>
    </xf>
    <xf numFmtId="0" fontId="11" fillId="8" borderId="1" xfId="0" applyFont="1" applyFill="1" applyBorder="1" applyAlignment="1">
      <alignment wrapText="1"/>
    </xf>
    <xf numFmtId="0" fontId="6" fillId="9" borderId="1" xfId="0" applyNumberFormat="1" applyFont="1" applyFill="1" applyBorder="1" applyAlignment="1">
      <alignment horizontal="center" vertical="center"/>
    </xf>
    <xf numFmtId="0" fontId="7" fillId="9" borderId="1" xfId="0" applyNumberFormat="1" applyFont="1" applyFill="1" applyBorder="1" applyAlignment="1"/>
    <xf numFmtId="0" fontId="7" fillId="9" borderId="1" xfId="0" applyFont="1" applyFill="1" applyBorder="1"/>
    <xf numFmtId="0" fontId="6" fillId="10" borderId="1" xfId="0" applyNumberFormat="1" applyFont="1" applyFill="1" applyBorder="1" applyAlignment="1">
      <alignment horizontal="center" vertical="center"/>
    </xf>
    <xf numFmtId="0" fontId="7" fillId="10" borderId="1" xfId="0" applyNumberFormat="1" applyFont="1" applyFill="1" applyBorder="1" applyAlignment="1"/>
    <xf numFmtId="0" fontId="7" fillId="10" borderId="1" xfId="0" applyFont="1" applyFill="1" applyBorder="1"/>
    <xf numFmtId="0" fontId="0" fillId="0" borderId="0" xfId="0" applyAlignment="1">
      <alignment horizontal="right" wrapText="1"/>
    </xf>
    <xf numFmtId="0" fontId="0" fillId="4" borderId="0" xfId="0" applyFill="1" applyAlignment="1">
      <alignment wrapText="1"/>
    </xf>
    <xf numFmtId="0" fontId="0" fillId="0" borderId="1" xfId="0" applyBorder="1" applyAlignment="1">
      <alignment horizontal="right" wrapText="1"/>
    </xf>
    <xf numFmtId="0" fontId="0" fillId="4" borderId="0" xfId="0" applyFill="1" applyAlignment="1">
      <alignment horizontal="center" vertical="center" wrapText="1"/>
    </xf>
    <xf numFmtId="0" fontId="0" fillId="4" borderId="0" xfId="0" applyFill="1" applyAlignment="1">
      <alignment horizontal="right" wrapText="1"/>
    </xf>
    <xf numFmtId="0" fontId="8" fillId="3" borderId="3" xfId="0" applyFont="1" applyFill="1" applyBorder="1" applyAlignment="1">
      <alignment horizontal="center" vertical="center" wrapText="1"/>
    </xf>
    <xf numFmtId="164" fontId="0" fillId="0" borderId="1" xfId="1" applyNumberFormat="1" applyFont="1" applyBorder="1" applyAlignment="1">
      <alignment horizontal="right" wrapText="1"/>
    </xf>
    <xf numFmtId="164" fontId="0" fillId="4" borderId="0" xfId="1" applyNumberFormat="1" applyFont="1" applyFill="1" applyAlignment="1">
      <alignment horizontal="center" vertical="center" wrapText="1"/>
    </xf>
    <xf numFmtId="164" fontId="8" fillId="3" borderId="3" xfId="1" applyNumberFormat="1" applyFont="1" applyFill="1" applyBorder="1" applyAlignment="1">
      <alignment horizontal="center" vertical="center" wrapText="1"/>
    </xf>
    <xf numFmtId="164" fontId="0" fillId="0" borderId="0" xfId="1" applyNumberFormat="1" applyFont="1" applyAlignment="1">
      <alignment horizontal="center" vertical="center" wrapText="1"/>
    </xf>
    <xf numFmtId="164" fontId="0" fillId="0" borderId="0" xfId="0" applyNumberFormat="1"/>
    <xf numFmtId="164" fontId="0" fillId="0" borderId="0" xfId="1" applyNumberFormat="1" applyFont="1"/>
    <xf numFmtId="0" fontId="17" fillId="4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8" fillId="4" borderId="0" xfId="0" applyFont="1" applyFill="1" applyAlignment="1">
      <alignment wrapText="1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wrapText="1"/>
    </xf>
    <xf numFmtId="0" fontId="17" fillId="0" borderId="0" xfId="0" applyFont="1" applyAlignment="1">
      <alignment wrapText="1"/>
    </xf>
    <xf numFmtId="0" fontId="14" fillId="0" borderId="1" xfId="0" applyFont="1" applyBorder="1" applyAlignment="1">
      <alignment vertical="center" wrapText="1"/>
    </xf>
    <xf numFmtId="0" fontId="13" fillId="0" borderId="1" xfId="0" applyFont="1" applyBorder="1" applyAlignment="1">
      <alignment horizontal="center" vertical="center" wrapText="1"/>
    </xf>
    <xf numFmtId="0" fontId="10" fillId="0" borderId="0" xfId="0" applyFont="1" applyAlignment="1">
      <alignment wrapText="1"/>
    </xf>
    <xf numFmtId="0" fontId="12" fillId="0" borderId="0" xfId="0" applyFont="1" applyAlignment="1">
      <alignment wrapText="1"/>
    </xf>
    <xf numFmtId="49" fontId="0" fillId="0" borderId="0" xfId="0" applyNumberFormat="1" applyAlignment="1">
      <alignment horizontal="center" vertical="center"/>
    </xf>
    <xf numFmtId="0" fontId="18" fillId="0" borderId="0" xfId="0" applyFont="1" applyFill="1" applyBorder="1" applyAlignment="1">
      <alignment horizontal="center" vertical="center" wrapText="1"/>
    </xf>
    <xf numFmtId="0" fontId="15" fillId="11" borderId="2" xfId="3" applyFont="1" applyFill="1" applyBorder="1"/>
    <xf numFmtId="0" fontId="15" fillId="11" borderId="1" xfId="3" applyFont="1" applyFill="1" applyBorder="1"/>
    <xf numFmtId="0" fontId="0" fillId="0" borderId="1" xfId="0" applyNumberFormat="1" applyBorder="1" applyAlignment="1">
      <alignment horizontal="right" wrapText="1"/>
    </xf>
    <xf numFmtId="164" fontId="12" fillId="0" borderId="0" xfId="1" applyNumberFormat="1" applyFont="1" applyAlignment="1">
      <alignment wrapText="1"/>
    </xf>
    <xf numFmtId="164" fontId="13" fillId="0" borderId="1" xfId="1" applyNumberFormat="1" applyFont="1" applyBorder="1" applyAlignment="1">
      <alignment wrapText="1"/>
    </xf>
    <xf numFmtId="49" fontId="0" fillId="0" borderId="1" xfId="0" applyNumberFormat="1" applyBorder="1" applyAlignment="1">
      <alignment horizontal="right" wrapText="1"/>
    </xf>
    <xf numFmtId="0" fontId="0" fillId="0" borderId="0" xfId="0" applyFill="1" applyBorder="1" applyAlignment="1">
      <alignment horizontal="center" vertical="center" wrapText="1"/>
    </xf>
    <xf numFmtId="0" fontId="8" fillId="3" borderId="6" xfId="0" applyFont="1" applyFill="1" applyBorder="1" applyAlignment="1">
      <alignment horizontal="center" vertical="center" wrapText="1"/>
    </xf>
    <xf numFmtId="0" fontId="8" fillId="3" borderId="7" xfId="0" applyFont="1" applyFill="1" applyBorder="1" applyAlignment="1">
      <alignment horizontal="center" vertical="center" wrapText="1"/>
    </xf>
    <xf numFmtId="164" fontId="16" fillId="4" borderId="4" xfId="1" applyNumberFormat="1" applyFont="1" applyFill="1" applyBorder="1" applyAlignment="1">
      <alignment horizontal="right" vertical="center" wrapText="1"/>
    </xf>
    <xf numFmtId="164" fontId="16" fillId="4" borderId="5" xfId="1" applyNumberFormat="1" applyFont="1" applyFill="1" applyBorder="1" applyAlignment="1">
      <alignment horizontal="right" vertical="center" wrapText="1"/>
    </xf>
    <xf numFmtId="0" fontId="0" fillId="0" borderId="2" xfId="0" applyBorder="1" applyAlignment="1">
      <alignment horizontal="center" vertical="center" wrapText="1"/>
    </xf>
    <xf numFmtId="0" fontId="19" fillId="4" borderId="0" xfId="0" applyFont="1" applyFill="1" applyBorder="1" applyAlignment="1">
      <alignment horizontal="center" vertical="center"/>
    </xf>
    <xf numFmtId="0" fontId="0" fillId="0" borderId="0" xfId="0" applyBorder="1"/>
    <xf numFmtId="0" fontId="0" fillId="0" borderId="0" xfId="0" applyFill="1" applyBorder="1" applyProtection="1"/>
    <xf numFmtId="164" fontId="0" fillId="0" borderId="0" xfId="1" applyNumberFormat="1" applyFont="1" applyFill="1" applyBorder="1" applyProtection="1"/>
    <xf numFmtId="164" fontId="18" fillId="0" borderId="0" xfId="1" applyNumberFormat="1" applyFont="1" applyFill="1" applyBorder="1" applyAlignment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0" borderId="0" xfId="0" applyFill="1" applyBorder="1"/>
    <xf numFmtId="164" fontId="0" fillId="0" borderId="0" xfId="1" applyNumberFormat="1" applyFont="1" applyFill="1" applyBorder="1"/>
    <xf numFmtId="0" fontId="20" fillId="0" borderId="0" xfId="0" applyFont="1" applyFill="1" applyBorder="1" applyAlignment="1">
      <alignment horizontal="left" wrapText="1" readingOrder="1"/>
    </xf>
    <xf numFmtId="0" fontId="20" fillId="0" borderId="0" xfId="0" applyFont="1" applyFill="1" applyBorder="1" applyAlignment="1">
      <alignment horizontal="right" wrapText="1" readingOrder="1"/>
    </xf>
    <xf numFmtId="0" fontId="20" fillId="0" borderId="0" xfId="0" applyFont="1" applyFill="1" applyBorder="1"/>
    <xf numFmtId="0" fontId="19" fillId="0" borderId="0" xfId="0" applyFont="1" applyFill="1" applyBorder="1" applyAlignment="1">
      <alignment horizontal="center"/>
    </xf>
    <xf numFmtId="0" fontId="19" fillId="0" borderId="0" xfId="0" applyFont="1" applyFill="1" applyBorder="1"/>
    <xf numFmtId="0" fontId="0" fillId="0" borderId="0" xfId="0" applyFill="1" applyBorder="1" applyAlignment="1">
      <alignment horizontal="center" wrapText="1"/>
    </xf>
    <xf numFmtId="0" fontId="0" fillId="0" borderId="8" xfId="0" applyBorder="1"/>
    <xf numFmtId="49" fontId="21" fillId="12" borderId="9" xfId="0" applyNumberFormat="1" applyFont="1" applyFill="1" applyBorder="1" applyAlignment="1">
      <alignment horizontal="center" vertical="center"/>
    </xf>
    <xf numFmtId="0" fontId="21" fillId="12" borderId="9" xfId="0" applyFont="1" applyFill="1" applyBorder="1" applyAlignment="1">
      <alignment horizontal="center" vertical="center"/>
    </xf>
    <xf numFmtId="0" fontId="18" fillId="12" borderId="9" xfId="0" applyFont="1" applyFill="1" applyBorder="1"/>
    <xf numFmtId="0" fontId="18" fillId="12" borderId="9" xfId="0" applyFont="1" applyFill="1" applyBorder="1" applyAlignment="1">
      <alignment horizontal="center"/>
    </xf>
    <xf numFmtId="164" fontId="18" fillId="12" borderId="9" xfId="1" applyNumberFormat="1" applyFont="1" applyFill="1" applyBorder="1"/>
    <xf numFmtId="164" fontId="18" fillId="12" borderId="9" xfId="0" applyNumberFormat="1" applyFont="1" applyFill="1" applyBorder="1"/>
    <xf numFmtId="0" fontId="18" fillId="12" borderId="10" xfId="0" applyFont="1" applyFill="1" applyBorder="1"/>
    <xf numFmtId="0" fontId="0" fillId="0" borderId="0" xfId="0" applyNumberFormat="1" applyAlignment="1">
      <alignment horizontal="center" vertical="center"/>
    </xf>
    <xf numFmtId="0" fontId="21" fillId="12" borderId="9" xfId="0" applyNumberFormat="1" applyFont="1" applyFill="1" applyBorder="1" applyAlignment="1">
      <alignment horizontal="center" vertical="center"/>
    </xf>
    <xf numFmtId="164" fontId="17" fillId="4" borderId="1" xfId="1" applyNumberFormat="1" applyFont="1" applyFill="1" applyBorder="1" applyAlignment="1">
      <alignment horizontal="right" wrapText="1"/>
    </xf>
    <xf numFmtId="49" fontId="21" fillId="12" borderId="12" xfId="0" applyNumberFormat="1" applyFont="1" applyFill="1" applyBorder="1" applyAlignment="1">
      <alignment horizontal="center" vertical="center"/>
    </xf>
    <xf numFmtId="0" fontId="18" fillId="12" borderId="13" xfId="0" applyFont="1" applyFill="1" applyBorder="1"/>
    <xf numFmtId="0" fontId="0" fillId="0" borderId="0" xfId="0" applyAlignment="1">
      <alignment horizontal="center"/>
    </xf>
    <xf numFmtId="0" fontId="14" fillId="12" borderId="11" xfId="0" applyFont="1" applyFill="1" applyBorder="1" applyAlignment="1">
      <alignment horizontal="center" vertical="center" wrapText="1"/>
    </xf>
    <xf numFmtId="0" fontId="14" fillId="12" borderId="14" xfId="0" applyFont="1" applyFill="1" applyBorder="1" applyAlignment="1">
      <alignment horizontal="center" vertical="center" wrapText="1"/>
    </xf>
    <xf numFmtId="49" fontId="14" fillId="12" borderId="14" xfId="0" applyNumberFormat="1" applyFont="1" applyFill="1" applyBorder="1" applyAlignment="1">
      <alignment horizontal="center" vertical="center" wrapText="1"/>
    </xf>
    <xf numFmtId="0" fontId="14" fillId="12" borderId="14" xfId="0" applyNumberFormat="1" applyFont="1" applyFill="1" applyBorder="1" applyAlignment="1">
      <alignment horizontal="center" vertical="center" wrapText="1"/>
    </xf>
    <xf numFmtId="0" fontId="14" fillId="12" borderId="8" xfId="0" applyFont="1" applyFill="1" applyBorder="1" applyAlignment="1">
      <alignment horizontal="center" vertical="center" wrapText="1"/>
    </xf>
    <xf numFmtId="164" fontId="14" fillId="12" borderId="14" xfId="1" applyNumberFormat="1" applyFont="1" applyFill="1" applyBorder="1" applyAlignment="1">
      <alignment horizontal="center" vertical="center" wrapText="1"/>
    </xf>
    <xf numFmtId="164" fontId="14" fillId="12" borderId="14" xfId="2" applyNumberFormat="1" applyFont="1" applyFill="1" applyBorder="1" applyAlignment="1">
      <alignment horizontal="center" vertical="center" wrapText="1"/>
    </xf>
    <xf numFmtId="0" fontId="14" fillId="12" borderId="15" xfId="0" applyFont="1" applyFill="1" applyBorder="1" applyAlignment="1">
      <alignment horizontal="center" vertical="center" wrapText="1"/>
    </xf>
    <xf numFmtId="0" fontId="22" fillId="13" borderId="0" xfId="0" applyFont="1" applyFill="1" applyAlignment="1">
      <alignment horizontal="left" wrapText="1"/>
    </xf>
    <xf numFmtId="0" fontId="22" fillId="0" borderId="0" xfId="0" applyFont="1"/>
    <xf numFmtId="0" fontId="22" fillId="0" borderId="0" xfId="0" applyFont="1" applyFill="1" applyBorder="1"/>
    <xf numFmtId="0" fontId="17" fillId="4" borderId="0" xfId="0" applyFont="1" applyFill="1" applyAlignment="1">
      <alignment wrapText="1"/>
    </xf>
    <xf numFmtId="0" fontId="17" fillId="4" borderId="0" xfId="0" applyFont="1" applyFill="1" applyAlignment="1"/>
    <xf numFmtId="0" fontId="8" fillId="3" borderId="1" xfId="0" applyFont="1" applyFill="1" applyBorder="1" applyAlignment="1">
      <alignment wrapText="1"/>
    </xf>
    <xf numFmtId="0" fontId="0" fillId="4" borderId="1" xfId="0" applyFill="1" applyBorder="1" applyAlignment="1"/>
    <xf numFmtId="164" fontId="0" fillId="4" borderId="1" xfId="1" applyNumberFormat="1" applyFont="1" applyFill="1" applyBorder="1" applyAlignment="1"/>
    <xf numFmtId="0" fontId="18" fillId="4" borderId="1" xfId="0" applyFont="1" applyFill="1" applyBorder="1" applyAlignment="1"/>
    <xf numFmtId="164" fontId="18" fillId="4" borderId="1" xfId="1" applyNumberFormat="1" applyFont="1" applyFill="1" applyBorder="1" applyAlignment="1"/>
    <xf numFmtId="9" fontId="0" fillId="4" borderId="1" xfId="0" applyNumberFormat="1" applyFill="1" applyBorder="1" applyAlignment="1">
      <alignment horizontal="right" wrapText="1"/>
    </xf>
    <xf numFmtId="0" fontId="0" fillId="4" borderId="1" xfId="0" applyFill="1" applyBorder="1" applyAlignment="1">
      <alignment wrapText="1"/>
    </xf>
    <xf numFmtId="0" fontId="19" fillId="4" borderId="1" xfId="0" applyFont="1" applyFill="1" applyBorder="1" applyAlignment="1">
      <alignment horizontal="center" vertical="center"/>
    </xf>
    <xf numFmtId="0" fontId="22" fillId="0" borderId="0" xfId="0" applyFont="1" applyProtection="1"/>
    <xf numFmtId="49" fontId="18" fillId="0" borderId="12" xfId="0" applyNumberFormat="1" applyFont="1" applyBorder="1" applyAlignment="1">
      <alignment horizontal="center" vertical="center"/>
    </xf>
    <xf numFmtId="49" fontId="18" fillId="0" borderId="9" xfId="0" applyNumberFormat="1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18" fillId="0" borderId="9" xfId="0" applyNumberFormat="1" applyFont="1" applyBorder="1" applyAlignment="1">
      <alignment horizontal="center" vertical="center"/>
    </xf>
    <xf numFmtId="0" fontId="18" fillId="0" borderId="10" xfId="0" applyFont="1" applyBorder="1"/>
    <xf numFmtId="0" fontId="18" fillId="0" borderId="9" xfId="0" applyFont="1" applyBorder="1"/>
    <xf numFmtId="164" fontId="18" fillId="0" borderId="9" xfId="1" applyNumberFormat="1" applyFont="1" applyBorder="1"/>
    <xf numFmtId="164" fontId="18" fillId="0" borderId="9" xfId="0" applyNumberFormat="1" applyFont="1" applyBorder="1"/>
    <xf numFmtId="0" fontId="18" fillId="0" borderId="13" xfId="0" applyFont="1" applyBorder="1"/>
    <xf numFmtId="164" fontId="21" fillId="0" borderId="9" xfId="0" applyNumberFormat="1" applyFont="1" applyBorder="1"/>
    <xf numFmtId="0" fontId="21" fillId="0" borderId="13" xfId="0" applyFont="1" applyBorder="1"/>
    <xf numFmtId="0" fontId="10" fillId="14" borderId="1" xfId="0" applyFont="1" applyFill="1" applyBorder="1" applyAlignment="1">
      <alignment wrapText="1"/>
    </xf>
    <xf numFmtId="0" fontId="12" fillId="14" borderId="1" xfId="0" applyFont="1" applyFill="1" applyBorder="1" applyAlignment="1">
      <alignment wrapText="1"/>
    </xf>
    <xf numFmtId="164" fontId="12" fillId="14" borderId="1" xfId="1" applyNumberFormat="1" applyFont="1" applyFill="1" applyBorder="1" applyAlignment="1">
      <alignment wrapText="1"/>
    </xf>
    <xf numFmtId="0" fontId="17" fillId="15" borderId="0" xfId="0" applyFont="1" applyFill="1" applyAlignment="1">
      <alignment horizontal="center" vertical="center"/>
    </xf>
    <xf numFmtId="49" fontId="17" fillId="15" borderId="0" xfId="0" applyNumberFormat="1" applyFont="1" applyFill="1" applyAlignment="1">
      <alignment horizontal="center" vertical="center"/>
    </xf>
    <xf numFmtId="0" fontId="17" fillId="15" borderId="0" xfId="0" applyFont="1" applyFill="1" applyAlignment="1">
      <alignment horizontal="center"/>
    </xf>
    <xf numFmtId="0" fontId="17" fillId="15" borderId="0" xfId="0" applyNumberFormat="1" applyFont="1" applyFill="1" applyAlignment="1">
      <alignment horizontal="center" vertical="center"/>
    </xf>
    <xf numFmtId="0" fontId="17" fillId="15" borderId="8" xfId="0" applyFont="1" applyFill="1" applyBorder="1"/>
    <xf numFmtId="0" fontId="17" fillId="15" borderId="0" xfId="0" applyFont="1" applyFill="1"/>
    <xf numFmtId="0" fontId="17" fillId="15" borderId="0" xfId="0" applyFont="1" applyFill="1" applyBorder="1"/>
    <xf numFmtId="164" fontId="17" fillId="15" borderId="0" xfId="1" applyNumberFormat="1" applyFont="1" applyFill="1"/>
    <xf numFmtId="164" fontId="17" fillId="15" borderId="0" xfId="0" applyNumberFormat="1" applyFont="1" applyFill="1"/>
    <xf numFmtId="0" fontId="10" fillId="16" borderId="1" xfId="0" applyFont="1" applyFill="1" applyBorder="1" applyAlignment="1">
      <alignment wrapText="1"/>
    </xf>
    <xf numFmtId="0" fontId="12" fillId="16" borderId="1" xfId="0" applyFont="1" applyFill="1" applyBorder="1" applyAlignment="1">
      <alignment wrapText="1"/>
    </xf>
    <xf numFmtId="164" fontId="12" fillId="16" borderId="1" xfId="1" applyNumberFormat="1" applyFont="1" applyFill="1" applyBorder="1" applyAlignment="1">
      <alignment wrapText="1"/>
    </xf>
    <xf numFmtId="0" fontId="0" fillId="0" borderId="0" xfId="0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NumberFormat="1" applyBorder="1" applyAlignment="1">
      <alignment horizontal="center" vertical="center"/>
    </xf>
    <xf numFmtId="164" fontId="4" fillId="0" borderId="0" xfId="1" applyNumberFormat="1" applyFont="1" applyBorder="1"/>
    <xf numFmtId="164" fontId="0" fillId="0" borderId="0" xfId="0" applyNumberFormat="1" applyBorder="1"/>
    <xf numFmtId="0" fontId="17" fillId="15" borderId="0" xfId="0" applyFont="1" applyFill="1" applyBorder="1" applyAlignment="1">
      <alignment horizontal="center" vertical="center"/>
    </xf>
    <xf numFmtId="49" fontId="17" fillId="15" borderId="0" xfId="0" applyNumberFormat="1" applyFont="1" applyFill="1" applyBorder="1" applyAlignment="1">
      <alignment horizontal="center" vertical="center"/>
    </xf>
    <xf numFmtId="0" fontId="17" fillId="15" borderId="0" xfId="0" applyFont="1" applyFill="1" applyBorder="1" applyAlignment="1">
      <alignment horizontal="center"/>
    </xf>
    <xf numFmtId="0" fontId="17" fillId="15" borderId="0" xfId="0" applyNumberFormat="1" applyFont="1" applyFill="1" applyBorder="1" applyAlignment="1">
      <alignment horizontal="center" vertical="center"/>
    </xf>
    <xf numFmtId="164" fontId="17" fillId="15" borderId="0" xfId="1" applyNumberFormat="1" applyFont="1" applyFill="1" applyBorder="1"/>
    <xf numFmtId="164" fontId="17" fillId="15" borderId="0" xfId="0" applyNumberFormat="1" applyFont="1" applyFill="1" applyBorder="1"/>
    <xf numFmtId="164" fontId="0" fillId="15" borderId="0" xfId="1" applyNumberFormat="1" applyFont="1" applyFill="1"/>
    <xf numFmtId="0" fontId="10" fillId="17" borderId="1" xfId="0" applyFont="1" applyFill="1" applyBorder="1" applyAlignment="1">
      <alignment wrapText="1"/>
    </xf>
    <xf numFmtId="0" fontId="12" fillId="17" borderId="1" xfId="0" applyFont="1" applyFill="1" applyBorder="1" applyAlignment="1">
      <alignment wrapText="1"/>
    </xf>
    <xf numFmtId="164" fontId="12" fillId="17" borderId="1" xfId="1" applyNumberFormat="1" applyFont="1" applyFill="1" applyBorder="1" applyAlignment="1">
      <alignment wrapText="1"/>
    </xf>
    <xf numFmtId="0" fontId="0" fillId="18" borderId="1" xfId="0" applyFill="1" applyBorder="1" applyAlignment="1">
      <alignment horizontal="center" vertical="center" wrapText="1"/>
    </xf>
    <xf numFmtId="0" fontId="0" fillId="18" borderId="1" xfId="0" applyFill="1" applyBorder="1" applyAlignment="1">
      <alignment horizontal="right" wrapText="1"/>
    </xf>
    <xf numFmtId="164" fontId="14" fillId="12" borderId="19" xfId="2" applyNumberFormat="1" applyFont="1" applyFill="1" applyBorder="1" applyAlignment="1">
      <alignment horizontal="center" vertical="center" wrapText="1"/>
    </xf>
    <xf numFmtId="0" fontId="0" fillId="0" borderId="16" xfId="0" applyFill="1" applyBorder="1" applyAlignment="1">
      <alignment horizontal="center" wrapText="1"/>
    </xf>
    <xf numFmtId="0" fontId="0" fillId="0" borderId="17" xfId="0" applyFill="1" applyBorder="1" applyAlignment="1">
      <alignment horizontal="center" wrapText="1"/>
    </xf>
    <xf numFmtId="0" fontId="0" fillId="0" borderId="18" xfId="0" applyFill="1" applyBorder="1" applyAlignment="1">
      <alignment horizontal="center" wrapText="1"/>
    </xf>
  </cellXfs>
  <cellStyles count="6">
    <cellStyle name="Comma" xfId="1" builtinId="3"/>
    <cellStyle name="Comma 2" xfId="2"/>
    <cellStyle name="Comma 3" xfId="4"/>
    <cellStyle name="Normal" xfId="0" builtinId="0"/>
    <cellStyle name="Normal 2" xfId="3"/>
    <cellStyle name="Normal 2 2" xfId="5"/>
  </cellStyles>
  <dxfs count="15"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4" formatCode="_(* #,##0_);_(* \(#,##0\);_(* &quot;-&quot;??_);_(@_)"/>
    </dxf>
    <dxf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4" formatCode="_(* #,##0_);_(* \(#,##0\);_(* &quot;-&quot;??_);_(@_)"/>
    </dxf>
    <dxf>
      <border diagonalUp="0" diagonalDown="0">
        <left style="thick">
          <color auto="1"/>
        </left>
        <right/>
        <top/>
        <bottom/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0" tint="-4.9989318521683403E-2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_(* #,##0_);_(* \(#,##0\);_(* &quot;-&quot;??_);_(@_)"/>
      <fill>
        <patternFill patternType="solid">
          <fgColor indexed="64"/>
          <bgColor theme="8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276225</xdr:colOff>
          <xdr:row>22</xdr:row>
          <xdr:rowOff>66675</xdr:rowOff>
        </xdr:from>
        <xdr:to>
          <xdr:col>8</xdr:col>
          <xdr:colOff>695325</xdr:colOff>
          <xdr:row>25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Ghi vào Sheet Tổng Hợp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0</xdr:row>
          <xdr:rowOff>114300</xdr:rowOff>
        </xdr:from>
        <xdr:to>
          <xdr:col>8</xdr:col>
          <xdr:colOff>523875</xdr:colOff>
          <xdr:row>2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Xóa dữ liệu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2</xdr:row>
          <xdr:rowOff>66675</xdr:rowOff>
        </xdr:from>
        <xdr:to>
          <xdr:col>14</xdr:col>
          <xdr:colOff>190500</xdr:colOff>
          <xdr:row>4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Tìm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O445" totalsRowShown="0" headerRowDxfId="14" dataDxfId="13" tableBorderDxfId="12" headerRowCellStyle="Comma 2" dataCellStyle="Comma">
  <autoFilter ref="A1:O445"/>
  <tableColumns count="15">
    <tableColumn id="1" name="Ngày" dataDxfId="11"/>
    <tableColumn id="2" name="Ca" dataDxfId="10"/>
    <tableColumn id="3" name="Người nhập" dataDxfId="9"/>
    <tableColumn id="4" name="Shop/HN/TI" dataDxfId="8"/>
    <tableColumn id="5" name="Mã đơn" dataDxfId="7"/>
    <tableColumn id="6" name="Mã SP" dataDxfId="6"/>
    <tableColumn id="7" name="Tên mặt hàng"/>
    <tableColumn id="8" name="SL"/>
    <tableColumn id="9" name="Đơn giá"/>
    <tableColumn id="10" name="Thành tiền"/>
    <tableColumn id="11" name="Doanh thu kế toán" dataDxfId="5" dataCellStyle="Comma"/>
    <tableColumn id="12" name="Chiết khấu" dataDxfId="4" dataCellStyle="Comma"/>
    <tableColumn id="13" name="Thực thu" dataDxfId="3" dataCellStyle="Comma"/>
    <tableColumn id="14" name="Ghi chú" dataDxfId="2"/>
    <tableColumn id="15" name="Số điện thoại" dataDxfId="1" dataCellStyle="Comma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2"/>
  <sheetViews>
    <sheetView workbookViewId="0">
      <selection activeCell="E29" sqref="E29"/>
    </sheetView>
  </sheetViews>
  <sheetFormatPr defaultColWidth="8.85546875" defaultRowHeight="12.75"/>
  <cols>
    <col min="2" max="2" width="16.42578125" customWidth="1"/>
    <col min="3" max="3" width="3.28515625" customWidth="1"/>
    <col min="5" max="5" width="21.42578125" customWidth="1"/>
    <col min="6" max="6" width="3.28515625" customWidth="1"/>
    <col min="8" max="8" width="17.42578125" customWidth="1"/>
    <col min="9" max="9" width="3.42578125" customWidth="1"/>
    <col min="11" max="11" width="14.140625" customWidth="1"/>
  </cols>
  <sheetData>
    <row r="1" spans="1:11">
      <c r="A1" s="2" t="s">
        <v>0</v>
      </c>
      <c r="B1" s="2" t="s">
        <v>1</v>
      </c>
      <c r="C1" s="1"/>
      <c r="D1" s="1"/>
      <c r="E1" s="1"/>
      <c r="F1" s="1"/>
      <c r="G1" s="1"/>
      <c r="H1" s="1"/>
    </row>
    <row r="2" spans="1:11">
      <c r="A2" s="8" t="s">
        <v>2</v>
      </c>
      <c r="B2" s="9" t="s">
        <v>3</v>
      </c>
      <c r="C2" s="1"/>
      <c r="D2" s="24" t="s">
        <v>196</v>
      </c>
      <c r="E2" s="25" t="s">
        <v>197</v>
      </c>
      <c r="F2" s="1"/>
      <c r="G2" s="18" t="s">
        <v>284</v>
      </c>
      <c r="H2" s="19" t="s">
        <v>285</v>
      </c>
      <c r="J2" s="6" t="s">
        <v>169</v>
      </c>
      <c r="K2" s="7" t="s">
        <v>170</v>
      </c>
    </row>
    <row r="3" spans="1:11">
      <c r="A3" s="10" t="s">
        <v>6</v>
      </c>
      <c r="B3" s="11" t="s">
        <v>7</v>
      </c>
      <c r="C3" s="1"/>
      <c r="D3" s="24" t="s">
        <v>198</v>
      </c>
      <c r="E3" s="26" t="s">
        <v>3</v>
      </c>
      <c r="F3" s="1"/>
      <c r="G3" s="18" t="s">
        <v>286</v>
      </c>
      <c r="H3" s="19" t="s">
        <v>287</v>
      </c>
      <c r="J3" s="6" t="s">
        <v>171</v>
      </c>
      <c r="K3" s="7" t="s">
        <v>172</v>
      </c>
    </row>
    <row r="4" spans="1:11">
      <c r="A4" s="10" t="s">
        <v>8</v>
      </c>
      <c r="B4" s="11" t="s">
        <v>9</v>
      </c>
      <c r="C4" s="1"/>
      <c r="D4" s="24" t="s">
        <v>199</v>
      </c>
      <c r="E4" s="26" t="s">
        <v>83</v>
      </c>
      <c r="F4" s="1"/>
      <c r="G4" s="18" t="s">
        <v>288</v>
      </c>
      <c r="H4" s="19" t="s">
        <v>289</v>
      </c>
      <c r="J4" s="6" t="s">
        <v>173</v>
      </c>
      <c r="K4" s="7" t="s">
        <v>174</v>
      </c>
    </row>
    <row r="5" spans="1:11">
      <c r="A5" s="10" t="s">
        <v>10</v>
      </c>
      <c r="B5" s="11" t="s">
        <v>11</v>
      </c>
      <c r="C5" s="1"/>
      <c r="D5" s="24" t="s">
        <v>200</v>
      </c>
      <c r="E5" s="26" t="s">
        <v>201</v>
      </c>
      <c r="F5" s="1"/>
      <c r="G5" s="18" t="s">
        <v>290</v>
      </c>
      <c r="H5" s="19" t="s">
        <v>291</v>
      </c>
      <c r="J5" s="6" t="s">
        <v>175</v>
      </c>
      <c r="K5" s="7" t="s">
        <v>176</v>
      </c>
    </row>
    <row r="6" spans="1:11">
      <c r="A6" s="10" t="s">
        <v>12</v>
      </c>
      <c r="B6" s="11" t="s">
        <v>13</v>
      </c>
      <c r="C6" s="1"/>
      <c r="D6" s="24" t="s">
        <v>202</v>
      </c>
      <c r="E6" s="26" t="s">
        <v>203</v>
      </c>
      <c r="F6" s="1"/>
      <c r="G6" s="18" t="s">
        <v>292</v>
      </c>
      <c r="H6" s="19" t="s">
        <v>293</v>
      </c>
      <c r="J6" s="6" t="s">
        <v>177</v>
      </c>
      <c r="K6" s="7" t="s">
        <v>178</v>
      </c>
    </row>
    <row r="7" spans="1:11">
      <c r="A7" s="10" t="s">
        <v>20</v>
      </c>
      <c r="B7" s="11" t="s">
        <v>21</v>
      </c>
      <c r="C7" s="1"/>
      <c r="D7" s="24" t="s">
        <v>204</v>
      </c>
      <c r="E7" s="26" t="s">
        <v>205</v>
      </c>
      <c r="F7" s="1"/>
      <c r="G7" s="18" t="s">
        <v>294</v>
      </c>
      <c r="H7" s="19" t="s">
        <v>295</v>
      </c>
      <c r="J7" s="6" t="s">
        <v>179</v>
      </c>
      <c r="K7" s="7" t="s">
        <v>180</v>
      </c>
    </row>
    <row r="8" spans="1:11">
      <c r="A8" s="10" t="s">
        <v>22</v>
      </c>
      <c r="B8" s="11" t="s">
        <v>23</v>
      </c>
      <c r="C8" s="1"/>
      <c r="D8" s="24" t="s">
        <v>206</v>
      </c>
      <c r="E8" s="26" t="s">
        <v>207</v>
      </c>
      <c r="F8" s="1"/>
      <c r="G8" s="18" t="s">
        <v>296</v>
      </c>
      <c r="H8" s="19" t="s">
        <v>297</v>
      </c>
      <c r="J8" s="6" t="s">
        <v>181</v>
      </c>
      <c r="K8" s="7" t="s">
        <v>182</v>
      </c>
    </row>
    <row r="9" spans="1:11">
      <c r="A9" s="10" t="s">
        <v>24</v>
      </c>
      <c r="B9" s="11" t="s">
        <v>25</v>
      </c>
      <c r="C9" s="1"/>
      <c r="D9" s="24" t="s">
        <v>208</v>
      </c>
      <c r="E9" s="26" t="s">
        <v>209</v>
      </c>
      <c r="F9" s="1"/>
      <c r="G9" s="18" t="s">
        <v>298</v>
      </c>
      <c r="H9" s="19" t="s">
        <v>299</v>
      </c>
      <c r="J9" s="6" t="s">
        <v>183</v>
      </c>
      <c r="K9" s="7" t="s">
        <v>184</v>
      </c>
    </row>
    <row r="10" spans="1:11">
      <c r="A10" s="10" t="s">
        <v>26</v>
      </c>
      <c r="B10" s="11" t="s">
        <v>27</v>
      </c>
      <c r="C10" s="1"/>
      <c r="D10" s="24" t="s">
        <v>210</v>
      </c>
      <c r="E10" s="26" t="s">
        <v>211</v>
      </c>
      <c r="F10" s="1"/>
      <c r="G10" s="18" t="s">
        <v>300</v>
      </c>
      <c r="H10" s="19" t="s">
        <v>301</v>
      </c>
      <c r="J10" s="6" t="s">
        <v>185</v>
      </c>
      <c r="K10" s="7" t="s">
        <v>99</v>
      </c>
    </row>
    <row r="11" spans="1:11">
      <c r="A11" s="10" t="s">
        <v>28</v>
      </c>
      <c r="B11" s="11" t="s">
        <v>29</v>
      </c>
      <c r="C11" s="1"/>
      <c r="D11" s="1"/>
      <c r="E11" s="1"/>
      <c r="F11" s="1"/>
      <c r="G11" s="18" t="s">
        <v>302</v>
      </c>
      <c r="H11" s="19" t="s">
        <v>303</v>
      </c>
      <c r="J11" s="6" t="s">
        <v>186</v>
      </c>
      <c r="K11" s="7" t="s">
        <v>187</v>
      </c>
    </row>
    <row r="12" spans="1:11">
      <c r="A12" s="10" t="s">
        <v>30</v>
      </c>
      <c r="B12" s="11" t="s">
        <v>31</v>
      </c>
      <c r="C12" s="1"/>
      <c r="D12" s="27" t="s">
        <v>212</v>
      </c>
      <c r="E12" s="29" t="s">
        <v>213</v>
      </c>
      <c r="F12" s="1"/>
      <c r="G12" s="18" t="s">
        <v>304</v>
      </c>
      <c r="H12" s="19" t="s">
        <v>305</v>
      </c>
      <c r="J12" s="6" t="s">
        <v>188</v>
      </c>
      <c r="K12" s="7" t="s">
        <v>189</v>
      </c>
    </row>
    <row r="13" spans="1:11">
      <c r="A13" s="10" t="s">
        <v>32</v>
      </c>
      <c r="B13" s="11" t="s">
        <v>33</v>
      </c>
      <c r="C13" s="1"/>
      <c r="D13" s="27" t="s">
        <v>214</v>
      </c>
      <c r="E13" s="29" t="s">
        <v>215</v>
      </c>
      <c r="F13" s="1"/>
      <c r="G13" s="18" t="s">
        <v>306</v>
      </c>
      <c r="H13" s="19" t="s">
        <v>307</v>
      </c>
      <c r="J13" s="6" t="s">
        <v>190</v>
      </c>
      <c r="K13" s="7" t="s">
        <v>191</v>
      </c>
    </row>
    <row r="14" spans="1:11">
      <c r="A14" s="10" t="s">
        <v>34</v>
      </c>
      <c r="B14" s="11" t="s">
        <v>35</v>
      </c>
      <c r="C14" s="1"/>
      <c r="D14" s="27" t="s">
        <v>216</v>
      </c>
      <c r="E14" s="29" t="s">
        <v>217</v>
      </c>
      <c r="F14" s="1"/>
      <c r="G14" s="18" t="s">
        <v>308</v>
      </c>
      <c r="H14" s="19" t="s">
        <v>309</v>
      </c>
      <c r="J14" s="6" t="s">
        <v>192</v>
      </c>
      <c r="K14" s="7" t="s">
        <v>193</v>
      </c>
    </row>
    <row r="15" spans="1:11">
      <c r="A15" s="10" t="s">
        <v>36</v>
      </c>
      <c r="B15" s="11" t="s">
        <v>37</v>
      </c>
      <c r="C15" s="1"/>
      <c r="D15" s="27" t="s">
        <v>218</v>
      </c>
      <c r="E15" s="29" t="s">
        <v>219</v>
      </c>
      <c r="F15" s="1"/>
      <c r="G15" s="18" t="s">
        <v>310</v>
      </c>
      <c r="H15" s="19" t="s">
        <v>311</v>
      </c>
      <c r="J15" s="6" t="s">
        <v>194</v>
      </c>
      <c r="K15" s="7" t="s">
        <v>195</v>
      </c>
    </row>
    <row r="16" spans="1:11">
      <c r="A16" s="10" t="s">
        <v>38</v>
      </c>
      <c r="B16" s="11" t="s">
        <v>39</v>
      </c>
      <c r="C16" s="1"/>
      <c r="D16" s="27" t="s">
        <v>220</v>
      </c>
      <c r="E16" s="29" t="s">
        <v>221</v>
      </c>
      <c r="F16" s="1"/>
      <c r="G16" s="18" t="s">
        <v>464</v>
      </c>
      <c r="H16" s="19" t="s">
        <v>465</v>
      </c>
    </row>
    <row r="17" spans="1:8">
      <c r="A17" s="10" t="s">
        <v>40</v>
      </c>
      <c r="B17" s="11" t="s">
        <v>41</v>
      </c>
      <c r="C17" s="1"/>
      <c r="D17" s="27" t="s">
        <v>222</v>
      </c>
      <c r="E17" s="28" t="s">
        <v>223</v>
      </c>
      <c r="F17" s="1"/>
      <c r="G17" s="18" t="s">
        <v>312</v>
      </c>
      <c r="H17" s="19" t="s">
        <v>313</v>
      </c>
    </row>
    <row r="18" spans="1:8">
      <c r="A18" s="10" t="s">
        <v>42</v>
      </c>
      <c r="B18" s="11" t="s">
        <v>43</v>
      </c>
      <c r="C18" s="1"/>
      <c r="D18" s="27" t="s">
        <v>224</v>
      </c>
      <c r="E18" s="28" t="s">
        <v>225</v>
      </c>
      <c r="F18" s="1"/>
      <c r="G18" s="18" t="s">
        <v>314</v>
      </c>
      <c r="H18" s="19" t="s">
        <v>315</v>
      </c>
    </row>
    <row r="19" spans="1:8">
      <c r="A19" s="10" t="s">
        <v>44</v>
      </c>
      <c r="B19" s="11" t="s">
        <v>45</v>
      </c>
      <c r="C19" s="1"/>
      <c r="D19" s="27" t="s">
        <v>226</v>
      </c>
      <c r="E19" s="28" t="s">
        <v>227</v>
      </c>
      <c r="F19" s="1"/>
      <c r="G19" s="18" t="s">
        <v>316</v>
      </c>
      <c r="H19" s="19" t="s">
        <v>317</v>
      </c>
    </row>
    <row r="20" spans="1:8">
      <c r="A20" s="10" t="s">
        <v>46</v>
      </c>
      <c r="B20" s="11" t="s">
        <v>47</v>
      </c>
      <c r="C20" s="1"/>
      <c r="D20" s="27" t="s">
        <v>228</v>
      </c>
      <c r="E20" s="28" t="s">
        <v>229</v>
      </c>
      <c r="F20" s="1"/>
      <c r="G20" s="18" t="s">
        <v>318</v>
      </c>
      <c r="H20" s="19" t="s">
        <v>319</v>
      </c>
    </row>
    <row r="21" spans="1:8">
      <c r="A21" s="10" t="s">
        <v>48</v>
      </c>
      <c r="B21" s="11" t="s">
        <v>49</v>
      </c>
      <c r="C21" s="1"/>
      <c r="D21" s="27" t="s">
        <v>230</v>
      </c>
      <c r="E21" s="28" t="s">
        <v>231</v>
      </c>
      <c r="F21" s="1"/>
      <c r="G21" s="18" t="s">
        <v>320</v>
      </c>
      <c r="H21" s="19" t="s">
        <v>321</v>
      </c>
    </row>
    <row r="22" spans="1:8">
      <c r="A22" s="10" t="s">
        <v>50</v>
      </c>
      <c r="B22" s="11" t="s">
        <v>51</v>
      </c>
      <c r="C22" s="1"/>
      <c r="D22" s="27" t="s">
        <v>232</v>
      </c>
      <c r="E22" s="28" t="s">
        <v>233</v>
      </c>
      <c r="F22" s="1"/>
      <c r="G22" s="18" t="s">
        <v>322</v>
      </c>
      <c r="H22" s="19" t="s">
        <v>323</v>
      </c>
    </row>
    <row r="23" spans="1:8">
      <c r="A23" s="10" t="s">
        <v>52</v>
      </c>
      <c r="B23" s="11" t="s">
        <v>53</v>
      </c>
      <c r="C23" s="1"/>
      <c r="D23" s="27" t="s">
        <v>234</v>
      </c>
      <c r="E23" s="28" t="s">
        <v>235</v>
      </c>
      <c r="F23" s="1"/>
      <c r="G23" s="18" t="s">
        <v>324</v>
      </c>
      <c r="H23" s="19" t="s">
        <v>325</v>
      </c>
    </row>
    <row r="24" spans="1:8">
      <c r="A24" s="10" t="s">
        <v>54</v>
      </c>
      <c r="B24" s="11" t="s">
        <v>55</v>
      </c>
      <c r="C24" s="1"/>
      <c r="D24" s="27" t="s">
        <v>236</v>
      </c>
      <c r="E24" s="28" t="s">
        <v>237</v>
      </c>
      <c r="F24" s="1"/>
      <c r="G24" s="18" t="s">
        <v>466</v>
      </c>
      <c r="H24" s="19" t="s">
        <v>467</v>
      </c>
    </row>
    <row r="25" spans="1:8">
      <c r="A25" s="10" t="s">
        <v>56</v>
      </c>
      <c r="B25" s="11" t="s">
        <v>57</v>
      </c>
      <c r="C25" s="1"/>
      <c r="D25" s="27" t="s">
        <v>238</v>
      </c>
      <c r="E25" s="28" t="s">
        <v>239</v>
      </c>
      <c r="F25" s="1"/>
      <c r="G25" s="18" t="s">
        <v>468</v>
      </c>
      <c r="H25" s="19" t="s">
        <v>469</v>
      </c>
    </row>
    <row r="26" spans="1:8">
      <c r="A26" s="10" t="s">
        <v>58</v>
      </c>
      <c r="B26" s="11" t="s">
        <v>59</v>
      </c>
      <c r="C26" s="1"/>
      <c r="D26" s="27" t="s">
        <v>240</v>
      </c>
      <c r="E26" s="28" t="s">
        <v>241</v>
      </c>
      <c r="F26" s="1"/>
      <c r="G26" s="1"/>
      <c r="H26" s="1"/>
    </row>
    <row r="27" spans="1:8">
      <c r="A27" s="10" t="s">
        <v>60</v>
      </c>
      <c r="B27" s="11" t="s">
        <v>61</v>
      </c>
      <c r="C27" s="1"/>
      <c r="D27" s="27" t="s">
        <v>242</v>
      </c>
      <c r="E27" s="28" t="s">
        <v>243</v>
      </c>
      <c r="F27" s="1"/>
      <c r="G27" s="18" t="s">
        <v>326</v>
      </c>
      <c r="H27" s="19" t="s">
        <v>327</v>
      </c>
    </row>
    <row r="28" spans="1:8">
      <c r="A28" s="10" t="s">
        <v>62</v>
      </c>
      <c r="B28" s="11" t="s">
        <v>63</v>
      </c>
      <c r="C28" s="1"/>
      <c r="D28" s="1"/>
      <c r="E28" s="1"/>
      <c r="F28" s="1"/>
      <c r="G28" s="18" t="s">
        <v>328</v>
      </c>
      <c r="H28" s="19" t="s">
        <v>329</v>
      </c>
    </row>
    <row r="29" spans="1:8">
      <c r="A29" s="10" t="s">
        <v>64</v>
      </c>
      <c r="B29" s="11" t="s">
        <v>65</v>
      </c>
      <c r="C29" s="1"/>
      <c r="D29" s="12" t="s">
        <v>244</v>
      </c>
      <c r="E29" s="13" t="s">
        <v>245</v>
      </c>
      <c r="F29" s="1"/>
      <c r="G29" s="20" t="s">
        <v>330</v>
      </c>
      <c r="H29" s="21" t="s">
        <v>331</v>
      </c>
    </row>
    <row r="30" spans="1:8">
      <c r="A30" s="10" t="s">
        <v>66</v>
      </c>
      <c r="B30" s="11" t="s">
        <v>67</v>
      </c>
      <c r="C30" s="1"/>
      <c r="D30" s="12" t="s">
        <v>246</v>
      </c>
      <c r="E30" s="13" t="s">
        <v>247</v>
      </c>
      <c r="F30" s="1"/>
      <c r="G30" s="20" t="s">
        <v>332</v>
      </c>
      <c r="H30" s="21" t="s">
        <v>333</v>
      </c>
    </row>
    <row r="31" spans="1:8">
      <c r="A31" s="10" t="s">
        <v>68</v>
      </c>
      <c r="B31" s="11" t="s">
        <v>69</v>
      </c>
      <c r="C31" s="1"/>
      <c r="D31" s="12" t="s">
        <v>248</v>
      </c>
      <c r="E31" s="13" t="s">
        <v>249</v>
      </c>
      <c r="F31" s="1"/>
      <c r="G31" s="20" t="s">
        <v>334</v>
      </c>
      <c r="H31" s="21" t="s">
        <v>335</v>
      </c>
    </row>
    <row r="32" spans="1:8">
      <c r="A32" s="10" t="s">
        <v>70</v>
      </c>
      <c r="B32" s="11" t="s">
        <v>71</v>
      </c>
      <c r="C32" s="1"/>
      <c r="D32" s="12" t="s">
        <v>250</v>
      </c>
      <c r="E32" s="13" t="s">
        <v>251</v>
      </c>
      <c r="F32" s="1"/>
      <c r="G32" s="20" t="s">
        <v>336</v>
      </c>
      <c r="H32" s="21" t="s">
        <v>337</v>
      </c>
    </row>
    <row r="33" spans="1:8">
      <c r="A33" s="10" t="s">
        <v>72</v>
      </c>
      <c r="B33" s="11" t="s">
        <v>73</v>
      </c>
      <c r="C33" s="1"/>
      <c r="D33" s="12" t="s">
        <v>252</v>
      </c>
      <c r="E33" s="13" t="s">
        <v>253</v>
      </c>
      <c r="F33" s="1"/>
      <c r="G33" s="20" t="s">
        <v>338</v>
      </c>
      <c r="H33" s="21" t="s">
        <v>339</v>
      </c>
    </row>
    <row r="34" spans="1:8">
      <c r="A34" s="10" t="s">
        <v>74</v>
      </c>
      <c r="B34" s="11" t="s">
        <v>75</v>
      </c>
      <c r="C34" s="1"/>
      <c r="D34" s="12" t="s">
        <v>254</v>
      </c>
      <c r="E34" s="13" t="s">
        <v>255</v>
      </c>
      <c r="F34" s="1"/>
      <c r="G34" s="20" t="s">
        <v>340</v>
      </c>
      <c r="H34" s="21" t="s">
        <v>341</v>
      </c>
    </row>
    <row r="35" spans="1:8">
      <c r="A35" s="10" t="s">
        <v>76</v>
      </c>
      <c r="B35" s="11" t="s">
        <v>77</v>
      </c>
      <c r="C35" s="1"/>
      <c r="D35" s="12" t="s">
        <v>256</v>
      </c>
      <c r="E35" s="13" t="s">
        <v>257</v>
      </c>
      <c r="F35" s="1"/>
      <c r="G35" s="20" t="s">
        <v>342</v>
      </c>
      <c r="H35" s="21" t="s">
        <v>343</v>
      </c>
    </row>
    <row r="36" spans="1:8">
      <c r="A36" s="10" t="s">
        <v>78</v>
      </c>
      <c r="B36" s="11" t="s">
        <v>79</v>
      </c>
      <c r="C36" s="1"/>
      <c r="D36" s="12" t="s">
        <v>258</v>
      </c>
      <c r="E36" s="13" t="s">
        <v>259</v>
      </c>
      <c r="F36" s="1"/>
      <c r="G36" s="20" t="s">
        <v>344</v>
      </c>
      <c r="H36" s="21" t="s">
        <v>345</v>
      </c>
    </row>
    <row r="37" spans="1:8">
      <c r="A37" s="10" t="s">
        <v>80</v>
      </c>
      <c r="B37" s="11" t="s">
        <v>81</v>
      </c>
      <c r="C37" s="1"/>
      <c r="D37" s="12" t="s">
        <v>260</v>
      </c>
      <c r="E37" s="13" t="s">
        <v>261</v>
      </c>
      <c r="F37" s="1"/>
      <c r="G37" s="20" t="s">
        <v>346</v>
      </c>
      <c r="H37" s="21" t="s">
        <v>347</v>
      </c>
    </row>
    <row r="38" spans="1:8">
      <c r="A38" s="10" t="s">
        <v>82</v>
      </c>
      <c r="B38" s="11" t="s">
        <v>83</v>
      </c>
      <c r="C38" s="1"/>
      <c r="D38" s="12" t="s">
        <v>262</v>
      </c>
      <c r="E38" s="13" t="s">
        <v>263</v>
      </c>
      <c r="F38" s="1"/>
      <c r="G38" s="20" t="s">
        <v>348</v>
      </c>
      <c r="H38" s="21" t="s">
        <v>349</v>
      </c>
    </row>
    <row r="39" spans="1:8">
      <c r="A39" s="10" t="s">
        <v>84</v>
      </c>
      <c r="B39" s="11" t="s">
        <v>9</v>
      </c>
      <c r="C39" s="1"/>
      <c r="D39" s="12" t="s">
        <v>264</v>
      </c>
      <c r="E39" s="13" t="s">
        <v>265</v>
      </c>
      <c r="F39" s="1"/>
      <c r="G39" s="20" t="s">
        <v>350</v>
      </c>
      <c r="H39" s="21" t="s">
        <v>351</v>
      </c>
    </row>
    <row r="40" spans="1:8">
      <c r="A40" s="10" t="s">
        <v>85</v>
      </c>
      <c r="B40" s="11" t="s">
        <v>86</v>
      </c>
      <c r="C40" s="1"/>
      <c r="D40" s="12" t="s">
        <v>266</v>
      </c>
      <c r="E40" s="13" t="s">
        <v>267</v>
      </c>
      <c r="F40" s="1"/>
      <c r="G40" s="20" t="s">
        <v>352</v>
      </c>
      <c r="H40" s="21" t="s">
        <v>353</v>
      </c>
    </row>
    <row r="41" spans="1:8">
      <c r="A41" s="10" t="s">
        <v>87</v>
      </c>
      <c r="B41" s="11" t="s">
        <v>37</v>
      </c>
      <c r="C41" s="1"/>
      <c r="D41" s="12" t="s">
        <v>268</v>
      </c>
      <c r="E41" s="13" t="s">
        <v>269</v>
      </c>
      <c r="F41" s="1"/>
      <c r="G41" s="20" t="s">
        <v>354</v>
      </c>
      <c r="H41" s="21" t="s">
        <v>355</v>
      </c>
    </row>
    <row r="42" spans="1:8">
      <c r="A42" s="10" t="s">
        <v>88</v>
      </c>
      <c r="B42" s="11" t="s">
        <v>89</v>
      </c>
      <c r="C42" s="1"/>
      <c r="D42" s="12" t="s">
        <v>270</v>
      </c>
      <c r="E42" s="13" t="s">
        <v>271</v>
      </c>
      <c r="F42" s="1"/>
      <c r="G42" s="20" t="s">
        <v>356</v>
      </c>
      <c r="H42" s="21" t="s">
        <v>357</v>
      </c>
    </row>
    <row r="43" spans="1:8">
      <c r="A43" s="10" t="s">
        <v>90</v>
      </c>
      <c r="B43" s="11" t="s">
        <v>31</v>
      </c>
      <c r="C43" s="1"/>
      <c r="D43" s="12" t="s">
        <v>272</v>
      </c>
      <c r="E43" s="13" t="s">
        <v>273</v>
      </c>
      <c r="F43" s="1"/>
      <c r="G43" s="20" t="s">
        <v>358</v>
      </c>
      <c r="H43" s="21" t="s">
        <v>359</v>
      </c>
    </row>
    <row r="44" spans="1:8">
      <c r="A44" s="10" t="s">
        <v>91</v>
      </c>
      <c r="B44" s="11" t="s">
        <v>51</v>
      </c>
      <c r="C44" s="1"/>
      <c r="D44" s="12" t="s">
        <v>274</v>
      </c>
      <c r="E44" s="13" t="s">
        <v>275</v>
      </c>
      <c r="F44" s="1"/>
      <c r="G44" s="20" t="s">
        <v>360</v>
      </c>
      <c r="H44" s="21" t="s">
        <v>361</v>
      </c>
    </row>
    <row r="45" spans="1:8">
      <c r="A45" s="10" t="s">
        <v>92</v>
      </c>
      <c r="B45" s="11" t="s">
        <v>93</v>
      </c>
      <c r="C45" s="1"/>
      <c r="D45" s="12" t="s">
        <v>276</v>
      </c>
      <c r="E45" s="13" t="s">
        <v>277</v>
      </c>
      <c r="F45" s="1"/>
      <c r="G45" s="20" t="s">
        <v>362</v>
      </c>
      <c r="H45" s="21" t="s">
        <v>363</v>
      </c>
    </row>
    <row r="46" spans="1:8">
      <c r="A46" s="10" t="s">
        <v>94</v>
      </c>
      <c r="B46" s="11" t="s">
        <v>95</v>
      </c>
      <c r="C46" s="1"/>
      <c r="D46" s="12" t="s">
        <v>278</v>
      </c>
      <c r="E46" s="13" t="s">
        <v>279</v>
      </c>
      <c r="F46" s="1"/>
      <c r="G46" s="20" t="s">
        <v>364</v>
      </c>
      <c r="H46" s="21" t="s">
        <v>365</v>
      </c>
    </row>
    <row r="47" spans="1:8">
      <c r="A47" s="10" t="s">
        <v>96</v>
      </c>
      <c r="B47" s="11" t="s">
        <v>97</v>
      </c>
      <c r="C47" s="1"/>
      <c r="D47" s="12" t="s">
        <v>280</v>
      </c>
      <c r="E47" s="13" t="s">
        <v>281</v>
      </c>
      <c r="F47" s="1"/>
      <c r="G47" s="20" t="s">
        <v>366</v>
      </c>
      <c r="H47" s="21" t="s">
        <v>367</v>
      </c>
    </row>
    <row r="48" spans="1:8">
      <c r="A48" s="10" t="s">
        <v>98</v>
      </c>
      <c r="B48" s="11" t="s">
        <v>99</v>
      </c>
      <c r="C48" s="1"/>
      <c r="D48" s="12" t="s">
        <v>282</v>
      </c>
      <c r="E48" s="13" t="s">
        <v>283</v>
      </c>
      <c r="F48" s="1"/>
      <c r="G48" s="20" t="s">
        <v>368</v>
      </c>
      <c r="H48" s="21" t="s">
        <v>369</v>
      </c>
    </row>
    <row r="49" spans="1:8">
      <c r="A49" s="10" t="s">
        <v>100</v>
      </c>
      <c r="B49" s="11" t="s">
        <v>101</v>
      </c>
      <c r="C49" s="1"/>
      <c r="D49" s="1"/>
      <c r="E49" s="1"/>
      <c r="F49" s="1"/>
      <c r="G49" s="20" t="s">
        <v>370</v>
      </c>
      <c r="H49" s="21" t="s">
        <v>371</v>
      </c>
    </row>
    <row r="50" spans="1:8">
      <c r="A50" s="10" t="s">
        <v>102</v>
      </c>
      <c r="B50" s="11" t="s">
        <v>41</v>
      </c>
      <c r="C50" s="1"/>
      <c r="D50" s="14" t="s">
        <v>411</v>
      </c>
      <c r="E50" s="15" t="s">
        <v>412</v>
      </c>
      <c r="F50" s="1"/>
      <c r="G50" s="20" t="s">
        <v>372</v>
      </c>
      <c r="H50" s="21" t="s">
        <v>373</v>
      </c>
    </row>
    <row r="51" spans="1:8">
      <c r="A51" s="10" t="s">
        <v>103</v>
      </c>
      <c r="B51" s="11" t="s">
        <v>104</v>
      </c>
      <c r="C51" s="1"/>
      <c r="D51" s="14" t="s">
        <v>413</v>
      </c>
      <c r="E51" s="15" t="s">
        <v>414</v>
      </c>
      <c r="F51" s="1"/>
      <c r="G51" s="20" t="s">
        <v>374</v>
      </c>
      <c r="H51" s="21" t="s">
        <v>375</v>
      </c>
    </row>
    <row r="52" spans="1:8">
      <c r="A52" s="10" t="s">
        <v>105</v>
      </c>
      <c r="B52" s="11" t="s">
        <v>106</v>
      </c>
      <c r="C52" s="1"/>
      <c r="D52" s="14" t="s">
        <v>415</v>
      </c>
      <c r="E52" s="15" t="s">
        <v>416</v>
      </c>
      <c r="F52" s="1"/>
      <c r="G52" s="20" t="s">
        <v>376</v>
      </c>
      <c r="H52" s="21" t="s">
        <v>377</v>
      </c>
    </row>
    <row r="53" spans="1:8">
      <c r="A53" s="10" t="s">
        <v>107</v>
      </c>
      <c r="B53" s="11" t="s">
        <v>108</v>
      </c>
      <c r="C53" s="1"/>
      <c r="D53" s="14" t="s">
        <v>417</v>
      </c>
      <c r="E53" s="15" t="s">
        <v>418</v>
      </c>
      <c r="F53" s="1"/>
      <c r="G53" s="20" t="s">
        <v>378</v>
      </c>
      <c r="H53" s="21" t="s">
        <v>379</v>
      </c>
    </row>
    <row r="54" spans="1:8">
      <c r="A54" s="10" t="s">
        <v>109</v>
      </c>
      <c r="B54" s="11" t="s">
        <v>110</v>
      </c>
      <c r="C54" s="1"/>
      <c r="D54" s="14" t="s">
        <v>419</v>
      </c>
      <c r="E54" s="15" t="s">
        <v>420</v>
      </c>
      <c r="F54" s="1"/>
      <c r="G54" s="20" t="s">
        <v>380</v>
      </c>
      <c r="H54" s="21" t="s">
        <v>381</v>
      </c>
    </row>
    <row r="55" spans="1:8">
      <c r="A55" s="10" t="s">
        <v>111</v>
      </c>
      <c r="B55" s="11" t="s">
        <v>112</v>
      </c>
      <c r="C55" s="1"/>
      <c r="D55" s="16" t="s">
        <v>421</v>
      </c>
      <c r="E55" s="17" t="s">
        <v>422</v>
      </c>
      <c r="F55" s="1"/>
      <c r="G55" s="20" t="s">
        <v>382</v>
      </c>
      <c r="H55" s="21" t="s">
        <v>383</v>
      </c>
    </row>
    <row r="56" spans="1:8">
      <c r="A56" s="10" t="s">
        <v>113</v>
      </c>
      <c r="B56" s="11" t="s">
        <v>114</v>
      </c>
      <c r="C56" s="1"/>
      <c r="D56" s="16" t="s">
        <v>423</v>
      </c>
      <c r="E56" s="17" t="s">
        <v>424</v>
      </c>
      <c r="F56" s="1"/>
      <c r="G56" s="20" t="s">
        <v>384</v>
      </c>
      <c r="H56" s="21" t="s">
        <v>385</v>
      </c>
    </row>
    <row r="57" spans="1:8">
      <c r="A57" s="10" t="s">
        <v>115</v>
      </c>
      <c r="B57" s="11" t="s">
        <v>116</v>
      </c>
      <c r="C57" s="1"/>
      <c r="D57" s="16" t="s">
        <v>425</v>
      </c>
      <c r="E57" s="17" t="s">
        <v>426</v>
      </c>
      <c r="F57" s="1"/>
      <c r="G57" s="20" t="s">
        <v>386</v>
      </c>
      <c r="H57" s="21" t="s">
        <v>387</v>
      </c>
    </row>
    <row r="58" spans="1:8">
      <c r="A58" s="10" t="s">
        <v>117</v>
      </c>
      <c r="B58" s="11" t="s">
        <v>118</v>
      </c>
      <c r="C58" s="1"/>
      <c r="D58" s="16" t="s">
        <v>427</v>
      </c>
      <c r="E58" s="17" t="s">
        <v>428</v>
      </c>
      <c r="F58" s="1"/>
      <c r="G58" s="20" t="s">
        <v>388</v>
      </c>
      <c r="H58" s="21" t="s">
        <v>389</v>
      </c>
    </row>
    <row r="59" spans="1:8">
      <c r="A59" s="10" t="s">
        <v>119</v>
      </c>
      <c r="B59" s="11" t="s">
        <v>120</v>
      </c>
      <c r="C59" s="1"/>
      <c r="D59" s="16" t="s">
        <v>429</v>
      </c>
      <c r="E59" s="17" t="s">
        <v>430</v>
      </c>
      <c r="F59" s="1"/>
      <c r="G59" s="20" t="s">
        <v>390</v>
      </c>
      <c r="H59" s="21" t="s">
        <v>391</v>
      </c>
    </row>
    <row r="60" spans="1:8">
      <c r="A60" s="10" t="s">
        <v>121</v>
      </c>
      <c r="B60" s="11" t="s">
        <v>122</v>
      </c>
      <c r="C60" s="1"/>
      <c r="D60" s="16" t="s">
        <v>431</v>
      </c>
      <c r="E60" s="17" t="s">
        <v>432</v>
      </c>
      <c r="F60" s="1"/>
      <c r="G60" s="20" t="s">
        <v>392</v>
      </c>
      <c r="H60" s="21" t="s">
        <v>35</v>
      </c>
    </row>
    <row r="61" spans="1:8">
      <c r="A61" s="10" t="s">
        <v>123</v>
      </c>
      <c r="B61" s="11" t="s">
        <v>124</v>
      </c>
      <c r="C61" s="1"/>
      <c r="D61" s="16" t="s">
        <v>433</v>
      </c>
      <c r="E61" s="17" t="s">
        <v>434</v>
      </c>
      <c r="F61" s="1"/>
      <c r="G61" s="20" t="s">
        <v>393</v>
      </c>
      <c r="H61" s="21" t="s">
        <v>394</v>
      </c>
    </row>
    <row r="62" spans="1:8">
      <c r="A62" s="10" t="s">
        <v>125</v>
      </c>
      <c r="B62" s="11" t="s">
        <v>126</v>
      </c>
      <c r="C62" s="1"/>
      <c r="D62" s="16" t="s">
        <v>435</v>
      </c>
      <c r="E62" s="17" t="s">
        <v>436</v>
      </c>
      <c r="F62" s="1"/>
      <c r="G62" s="20" t="s">
        <v>395</v>
      </c>
      <c r="H62" s="21" t="s">
        <v>396</v>
      </c>
    </row>
    <row r="63" spans="1:8">
      <c r="A63" s="10" t="s">
        <v>127</v>
      </c>
      <c r="B63" s="11" t="s">
        <v>128</v>
      </c>
      <c r="C63" s="1"/>
      <c r="D63" s="16" t="s">
        <v>437</v>
      </c>
      <c r="E63" s="17" t="s">
        <v>438</v>
      </c>
      <c r="F63" s="1"/>
      <c r="G63" s="20" t="s">
        <v>397</v>
      </c>
      <c r="H63" s="21" t="s">
        <v>398</v>
      </c>
    </row>
    <row r="64" spans="1:8">
      <c r="A64" s="10" t="s">
        <v>129</v>
      </c>
      <c r="B64" s="11" t="s">
        <v>130</v>
      </c>
      <c r="C64" s="1"/>
      <c r="D64" s="16" t="s">
        <v>439</v>
      </c>
      <c r="E64" s="17" t="s">
        <v>440</v>
      </c>
      <c r="F64" s="1"/>
      <c r="G64" s="20" t="s">
        <v>399</v>
      </c>
      <c r="H64" s="21" t="s">
        <v>400</v>
      </c>
    </row>
    <row r="65" spans="1:8">
      <c r="A65" s="10" t="s">
        <v>131</v>
      </c>
      <c r="B65" s="11" t="s">
        <v>132</v>
      </c>
      <c r="C65" s="1"/>
      <c r="D65" s="16" t="s">
        <v>441</v>
      </c>
      <c r="E65" s="17" t="s">
        <v>442</v>
      </c>
      <c r="F65" s="1"/>
      <c r="G65" s="20" t="s">
        <v>401</v>
      </c>
      <c r="H65" s="21" t="s">
        <v>402</v>
      </c>
    </row>
    <row r="66" spans="1:8">
      <c r="A66" s="10" t="s">
        <v>133</v>
      </c>
      <c r="B66" s="11" t="s">
        <v>134</v>
      </c>
      <c r="C66" s="1"/>
      <c r="D66" s="16" t="s">
        <v>443</v>
      </c>
      <c r="E66" s="17" t="s">
        <v>444</v>
      </c>
      <c r="F66" s="1"/>
      <c r="G66" s="20" t="s">
        <v>403</v>
      </c>
      <c r="H66" s="21" t="s">
        <v>404</v>
      </c>
    </row>
    <row r="67" spans="1:8">
      <c r="A67" s="10" t="s">
        <v>135</v>
      </c>
      <c r="B67" s="11" t="s">
        <v>136</v>
      </c>
      <c r="C67" s="1"/>
      <c r="D67" s="16" t="s">
        <v>445</v>
      </c>
      <c r="E67" s="17" t="s">
        <v>446</v>
      </c>
      <c r="F67" s="1"/>
      <c r="G67" s="20" t="s">
        <v>405</v>
      </c>
      <c r="H67" s="21" t="s">
        <v>406</v>
      </c>
    </row>
    <row r="68" spans="1:8">
      <c r="A68" s="10" t="s">
        <v>137</v>
      </c>
      <c r="B68" s="11" t="s">
        <v>138</v>
      </c>
      <c r="C68" s="1"/>
      <c r="D68" s="16" t="s">
        <v>447</v>
      </c>
      <c r="E68" s="17" t="s">
        <v>448</v>
      </c>
      <c r="F68" s="1"/>
      <c r="G68" s="20" t="s">
        <v>407</v>
      </c>
      <c r="H68" s="21" t="s">
        <v>408</v>
      </c>
    </row>
    <row r="69" spans="1:8">
      <c r="A69" s="10" t="s">
        <v>139</v>
      </c>
      <c r="B69" s="11" t="s">
        <v>140</v>
      </c>
      <c r="C69" s="1"/>
      <c r="D69" s="16" t="s">
        <v>449</v>
      </c>
      <c r="E69" s="17" t="s">
        <v>450</v>
      </c>
      <c r="F69" s="1"/>
      <c r="G69" s="20" t="s">
        <v>409</v>
      </c>
      <c r="H69" s="21" t="s">
        <v>410</v>
      </c>
    </row>
    <row r="70" spans="1:8">
      <c r="A70" s="10" t="s">
        <v>141</v>
      </c>
      <c r="B70" s="11" t="s">
        <v>142</v>
      </c>
      <c r="C70" s="1"/>
      <c r="D70" s="16" t="s">
        <v>451</v>
      </c>
      <c r="E70" s="17" t="s">
        <v>452</v>
      </c>
      <c r="F70" s="1"/>
      <c r="G70" s="20" t="s">
        <v>470</v>
      </c>
      <c r="H70" s="21" t="s">
        <v>471</v>
      </c>
    </row>
    <row r="71" spans="1:8">
      <c r="A71" s="10" t="s">
        <v>143</v>
      </c>
      <c r="B71" s="11" t="s">
        <v>144</v>
      </c>
      <c r="C71" s="1"/>
      <c r="D71" s="16" t="s">
        <v>453</v>
      </c>
      <c r="E71" s="17" t="s">
        <v>454</v>
      </c>
      <c r="F71" s="1"/>
      <c r="G71" s="20" t="s">
        <v>472</v>
      </c>
      <c r="H71" s="21" t="s">
        <v>473</v>
      </c>
    </row>
    <row r="72" spans="1:8">
      <c r="A72" s="10" t="s">
        <v>145</v>
      </c>
      <c r="B72" s="11" t="s">
        <v>146</v>
      </c>
      <c r="C72" s="1"/>
      <c r="D72" s="16" t="s">
        <v>455</v>
      </c>
      <c r="E72" s="17" t="s">
        <v>456</v>
      </c>
      <c r="F72" s="1"/>
      <c r="G72" s="22" t="s">
        <v>474</v>
      </c>
      <c r="H72" s="23" t="s">
        <v>475</v>
      </c>
    </row>
    <row r="73" spans="1:8">
      <c r="A73" s="10" t="s">
        <v>147</v>
      </c>
      <c r="B73" s="11" t="s">
        <v>148</v>
      </c>
      <c r="C73" s="1"/>
      <c r="D73" s="16" t="s">
        <v>457</v>
      </c>
      <c r="E73" s="17" t="s">
        <v>458</v>
      </c>
      <c r="F73" s="1"/>
      <c r="G73" s="22" t="s">
        <v>476</v>
      </c>
      <c r="H73" s="23" t="s">
        <v>477</v>
      </c>
    </row>
    <row r="74" spans="1:8">
      <c r="A74" s="10" t="s">
        <v>149</v>
      </c>
      <c r="B74" s="11" t="s">
        <v>150</v>
      </c>
      <c r="C74" s="1"/>
      <c r="D74" s="16" t="s">
        <v>459</v>
      </c>
      <c r="E74" s="17" t="s">
        <v>460</v>
      </c>
      <c r="F74" s="1"/>
      <c r="G74" s="22" t="s">
        <v>478</v>
      </c>
      <c r="H74" s="23" t="s">
        <v>479</v>
      </c>
    </row>
    <row r="75" spans="1:8">
      <c r="A75" s="10" t="s">
        <v>151</v>
      </c>
      <c r="B75" s="11" t="s">
        <v>152</v>
      </c>
      <c r="C75" s="1"/>
      <c r="D75" s="16" t="s">
        <v>461</v>
      </c>
      <c r="E75" s="17" t="s">
        <v>462</v>
      </c>
      <c r="F75" s="1"/>
      <c r="G75" s="22" t="s">
        <v>480</v>
      </c>
      <c r="H75" s="23" t="s">
        <v>481</v>
      </c>
    </row>
    <row r="76" spans="1:8">
      <c r="A76" s="10" t="s">
        <v>153</v>
      </c>
      <c r="B76" s="11" t="s">
        <v>154</v>
      </c>
      <c r="C76" s="1"/>
      <c r="D76" s="16" t="s">
        <v>505</v>
      </c>
      <c r="E76" s="17" t="s">
        <v>506</v>
      </c>
      <c r="F76" s="1"/>
      <c r="G76" s="22" t="s">
        <v>482</v>
      </c>
      <c r="H76" s="23" t="s">
        <v>483</v>
      </c>
    </row>
    <row r="77" spans="1:8">
      <c r="A77" s="10" t="s">
        <v>155</v>
      </c>
      <c r="B77" s="11" t="s">
        <v>156</v>
      </c>
      <c r="C77" s="1"/>
      <c r="D77" s="16" t="s">
        <v>507</v>
      </c>
      <c r="E77" s="17" t="s">
        <v>508</v>
      </c>
      <c r="F77" s="1"/>
      <c r="G77" s="22" t="s">
        <v>484</v>
      </c>
      <c r="H77" s="23" t="s">
        <v>485</v>
      </c>
    </row>
    <row r="78" spans="1:8">
      <c r="A78" s="10" t="s">
        <v>157</v>
      </c>
      <c r="B78" s="11" t="s">
        <v>158</v>
      </c>
      <c r="C78" s="1"/>
      <c r="D78" s="1"/>
      <c r="E78" s="1"/>
      <c r="F78" s="1"/>
      <c r="G78" s="22" t="s">
        <v>486</v>
      </c>
      <c r="H78" s="23" t="s">
        <v>487</v>
      </c>
    </row>
    <row r="79" spans="1:8">
      <c r="A79" s="10" t="s">
        <v>159</v>
      </c>
      <c r="B79" s="11" t="s">
        <v>160</v>
      </c>
      <c r="C79" s="1"/>
      <c r="D79" s="1"/>
      <c r="E79" s="1"/>
      <c r="F79" s="1"/>
      <c r="G79" s="22" t="s">
        <v>488</v>
      </c>
      <c r="H79" s="23" t="s">
        <v>489</v>
      </c>
    </row>
    <row r="80" spans="1:8">
      <c r="A80" s="10" t="s">
        <v>161</v>
      </c>
      <c r="B80" s="11" t="s">
        <v>162</v>
      </c>
      <c r="C80" s="1"/>
      <c r="D80" s="1"/>
      <c r="E80" s="1"/>
      <c r="F80" s="1"/>
      <c r="G80" s="22" t="s">
        <v>490</v>
      </c>
      <c r="H80" s="23" t="s">
        <v>509</v>
      </c>
    </row>
    <row r="81" spans="1:8">
      <c r="A81" s="10" t="s">
        <v>163</v>
      </c>
      <c r="B81" s="11" t="s">
        <v>164</v>
      </c>
      <c r="C81" s="1"/>
      <c r="D81" s="1"/>
      <c r="E81" s="1"/>
      <c r="F81" s="1"/>
      <c r="G81" s="22" t="s">
        <v>491</v>
      </c>
      <c r="H81" s="23" t="s">
        <v>492</v>
      </c>
    </row>
    <row r="82" spans="1:8">
      <c r="A82" s="10" t="s">
        <v>165</v>
      </c>
      <c r="B82" s="11" t="s">
        <v>166</v>
      </c>
      <c r="C82" s="1"/>
      <c r="D82" s="1"/>
      <c r="E82" s="1"/>
      <c r="F82" s="1"/>
      <c r="G82" s="22" t="s">
        <v>493</v>
      </c>
      <c r="H82" s="23" t="s">
        <v>494</v>
      </c>
    </row>
    <row r="83" spans="1:8">
      <c r="A83" s="10" t="s">
        <v>167</v>
      </c>
      <c r="B83" s="11" t="s">
        <v>168</v>
      </c>
      <c r="C83" s="1"/>
      <c r="D83" s="1"/>
      <c r="E83" s="1"/>
      <c r="F83" s="1"/>
      <c r="G83" s="22" t="s">
        <v>495</v>
      </c>
      <c r="H83" s="23" t="s">
        <v>496</v>
      </c>
    </row>
    <row r="84" spans="1:8">
      <c r="A84" s="5"/>
      <c r="B84" s="1"/>
      <c r="C84" s="1"/>
      <c r="D84" s="1"/>
      <c r="E84" s="1"/>
      <c r="F84" s="1"/>
      <c r="G84" s="22" t="s">
        <v>497</v>
      </c>
      <c r="H84" s="23" t="s">
        <v>498</v>
      </c>
    </row>
    <row r="85" spans="1:8">
      <c r="C85" s="1"/>
      <c r="D85" s="1"/>
      <c r="E85" s="1"/>
      <c r="F85" s="1"/>
      <c r="G85" s="22" t="s">
        <v>499</v>
      </c>
      <c r="H85" s="23" t="s">
        <v>500</v>
      </c>
    </row>
    <row r="86" spans="1:8">
      <c r="C86" s="1"/>
      <c r="D86" s="1"/>
      <c r="E86" s="1"/>
      <c r="F86" s="1"/>
      <c r="G86" s="22" t="s">
        <v>501</v>
      </c>
      <c r="H86" s="23" t="s">
        <v>502</v>
      </c>
    </row>
    <row r="87" spans="1:8">
      <c r="C87" s="1"/>
      <c r="D87" s="1"/>
      <c r="E87" s="1"/>
      <c r="F87" s="1"/>
      <c r="G87" s="22" t="s">
        <v>503</v>
      </c>
      <c r="H87" s="23" t="s">
        <v>504</v>
      </c>
    </row>
    <row r="92" spans="1:8">
      <c r="C92" s="1"/>
      <c r="D92" s="1"/>
      <c r="E92" s="1"/>
      <c r="F92" s="1"/>
      <c r="G92" s="1"/>
      <c r="H92" s="1"/>
    </row>
    <row r="93" spans="1:8">
      <c r="C93" s="1"/>
      <c r="D93" s="1"/>
      <c r="E93" s="1"/>
      <c r="F93" s="1"/>
      <c r="G93" s="1"/>
      <c r="H93" s="1"/>
    </row>
    <row r="94" spans="1:8">
      <c r="C94" s="1"/>
      <c r="D94" s="1"/>
      <c r="E94" s="1"/>
      <c r="F94" s="1"/>
      <c r="G94" s="1"/>
      <c r="H94" s="1"/>
    </row>
    <row r="95" spans="1:8">
      <c r="C95" s="1"/>
      <c r="D95" s="1"/>
      <c r="E95" s="1"/>
      <c r="F95" s="1"/>
      <c r="G95" s="1"/>
      <c r="H95" s="1"/>
    </row>
    <row r="96" spans="1:8">
      <c r="C96" s="1"/>
      <c r="D96" s="1"/>
      <c r="E96" s="1"/>
      <c r="F96" s="1"/>
      <c r="G96" s="1"/>
      <c r="H96" s="1"/>
    </row>
    <row r="97" spans="3:8">
      <c r="C97" s="1"/>
      <c r="D97" s="1"/>
      <c r="E97" s="1"/>
      <c r="F97" s="1"/>
      <c r="G97" s="1"/>
      <c r="H97" s="1"/>
    </row>
    <row r="98" spans="3:8">
      <c r="C98" s="1"/>
      <c r="D98" s="1"/>
      <c r="E98" s="1"/>
      <c r="F98" s="1"/>
      <c r="G98" s="1"/>
      <c r="H98" s="1"/>
    </row>
    <row r="99" spans="3:8">
      <c r="C99" s="1"/>
      <c r="D99" s="1"/>
      <c r="E99" s="1"/>
      <c r="F99" s="1"/>
      <c r="G99" s="1"/>
      <c r="H99" s="1"/>
    </row>
    <row r="100" spans="3:8">
      <c r="C100" s="1"/>
      <c r="D100" s="1"/>
      <c r="E100" s="1"/>
      <c r="F100" s="1"/>
      <c r="G100" s="1"/>
      <c r="H100" s="1"/>
    </row>
    <row r="101" spans="3:8">
      <c r="C101" s="1"/>
      <c r="D101" s="1"/>
      <c r="E101" s="1"/>
      <c r="F101" s="1"/>
      <c r="G101" s="1"/>
      <c r="H101" s="1"/>
    </row>
    <row r="102" spans="3:8">
      <c r="C102" s="1"/>
      <c r="D102" s="1"/>
      <c r="E102" s="1"/>
      <c r="F102" s="1"/>
      <c r="G102" s="1"/>
      <c r="H102" s="1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B125"/>
  <sheetViews>
    <sheetView tabSelected="1" zoomScale="90" zoomScaleNormal="90" zoomScalePageLayoutView="90" workbookViewId="0">
      <selection activeCell="I15" sqref="I15"/>
    </sheetView>
  </sheetViews>
  <sheetFormatPr defaultColWidth="9.140625" defaultRowHeight="12.75"/>
  <cols>
    <col min="1" max="1" width="8" style="5" customWidth="1"/>
    <col min="2" max="2" width="13.140625" style="5" customWidth="1"/>
    <col min="3" max="3" width="22.85546875" style="5" customWidth="1"/>
    <col min="4" max="4" width="11" style="5" customWidth="1"/>
    <col min="5" max="5" width="12.42578125" style="39" customWidth="1"/>
    <col min="6" max="6" width="13.28515625" style="39" customWidth="1"/>
    <col min="7" max="7" width="1.85546875" style="31" customWidth="1"/>
    <col min="8" max="8" width="13.85546875" style="5" customWidth="1"/>
    <col min="9" max="9" width="23.85546875" style="30" customWidth="1"/>
    <col min="10" max="10" width="1.85546875" style="31" customWidth="1"/>
    <col min="11" max="11" width="12" style="31" customWidth="1"/>
    <col min="12" max="12" width="40.42578125" style="31" customWidth="1"/>
    <col min="13" max="13" width="14.42578125" style="31" customWidth="1"/>
    <col min="14" max="14" width="9.140625" style="31"/>
    <col min="15" max="15" width="17.85546875" style="31" customWidth="1"/>
    <col min="16" max="28" width="9.140625" style="31"/>
    <col min="29" max="16384" width="9.140625" style="1"/>
  </cols>
  <sheetData>
    <row r="1" spans="1:28" ht="21.75" customHeight="1">
      <c r="A1" s="33"/>
      <c r="B1" s="33"/>
      <c r="C1" s="42" t="s">
        <v>648</v>
      </c>
      <c r="D1" s="33"/>
      <c r="E1" s="37"/>
      <c r="F1" s="37"/>
      <c r="H1" s="31"/>
      <c r="I1" s="34"/>
      <c r="L1" s="105" t="s">
        <v>635</v>
      </c>
    </row>
    <row r="2" spans="1:28" ht="11.25" customHeight="1">
      <c r="A2" s="33"/>
      <c r="B2" s="33"/>
      <c r="C2" s="33"/>
      <c r="D2" s="33"/>
      <c r="E2" s="37"/>
      <c r="F2" s="37"/>
      <c r="H2" s="31"/>
      <c r="I2" s="34"/>
    </row>
    <row r="3" spans="1:28">
      <c r="A3" s="35" t="s">
        <v>14</v>
      </c>
      <c r="B3" s="35" t="s">
        <v>15</v>
      </c>
      <c r="C3" s="35" t="s">
        <v>16</v>
      </c>
      <c r="D3" s="35" t="s">
        <v>17</v>
      </c>
      <c r="E3" s="38" t="s">
        <v>18</v>
      </c>
      <c r="F3" s="38" t="s">
        <v>19</v>
      </c>
      <c r="H3" s="33"/>
      <c r="I3" s="34"/>
      <c r="K3" s="106" t="s">
        <v>636</v>
      </c>
    </row>
    <row r="4" spans="1:28">
      <c r="A4" s="60">
        <v>1</v>
      </c>
      <c r="B4" s="115" t="s">
        <v>793</v>
      </c>
      <c r="C4" s="72" t="s">
        <v>756</v>
      </c>
      <c r="D4" s="72">
        <v>1</v>
      </c>
      <c r="E4" s="73">
        <f>SIGN(D4)*85000</f>
        <v>85000</v>
      </c>
      <c r="F4" s="73">
        <f>ABS(D4)*E4</f>
        <v>85000</v>
      </c>
      <c r="H4" s="4" t="s">
        <v>514</v>
      </c>
      <c r="I4" s="32" t="s">
        <v>716</v>
      </c>
      <c r="K4" s="161" t="s">
        <v>791</v>
      </c>
      <c r="L4" s="162"/>
      <c r="M4" s="163"/>
      <c r="N4" s="31">
        <v>2</v>
      </c>
      <c r="O4" s="31" t="s">
        <v>645</v>
      </c>
    </row>
    <row r="5" spans="1:28">
      <c r="A5" s="60">
        <v>2</v>
      </c>
      <c r="B5" s="102" t="s">
        <v>792</v>
      </c>
      <c r="C5" s="72" t="s">
        <v>754</v>
      </c>
      <c r="D5" s="72">
        <v>1</v>
      </c>
      <c r="E5" s="73">
        <f>SIGN(D5)*85000</f>
        <v>85000</v>
      </c>
      <c r="F5" s="73">
        <f>ABS(D5)*E5</f>
        <v>85000</v>
      </c>
      <c r="H5" s="4" t="s">
        <v>4</v>
      </c>
      <c r="I5" s="59" t="s">
        <v>790</v>
      </c>
      <c r="X5" s="1"/>
      <c r="Y5" s="1"/>
      <c r="Z5" s="1"/>
      <c r="AA5" s="1"/>
      <c r="AB5" s="1"/>
    </row>
    <row r="6" spans="1:28">
      <c r="A6" s="60">
        <v>3</v>
      </c>
      <c r="B6" s="72" t="s">
        <v>732</v>
      </c>
      <c r="C6" s="72" t="s">
        <v>656</v>
      </c>
      <c r="D6" s="72">
        <v>1</v>
      </c>
      <c r="E6" s="73">
        <f>SIGN(D6)*98000</f>
        <v>98000</v>
      </c>
      <c r="F6" s="73">
        <f>ABS(D6)*E6</f>
        <v>98000</v>
      </c>
      <c r="H6" s="4" t="s">
        <v>631</v>
      </c>
      <c r="I6" s="32" t="s">
        <v>721</v>
      </c>
      <c r="K6" s="105" t="s">
        <v>637</v>
      </c>
      <c r="X6" s="1"/>
      <c r="Y6" s="1"/>
      <c r="Z6" s="1"/>
      <c r="AA6" s="1"/>
      <c r="AB6" s="1"/>
    </row>
    <row r="7" spans="1:28" ht="25.5">
      <c r="A7" s="60"/>
      <c r="B7" s="103"/>
      <c r="C7" s="72"/>
      <c r="D7" s="72"/>
      <c r="E7" s="73"/>
      <c r="F7" s="73"/>
      <c r="H7" s="33"/>
      <c r="I7" s="34"/>
      <c r="K7" s="107" t="s">
        <v>638</v>
      </c>
      <c r="L7" s="107" t="s">
        <v>1</v>
      </c>
      <c r="M7" s="107" t="s">
        <v>639</v>
      </c>
      <c r="X7" s="1"/>
      <c r="Y7" s="1"/>
      <c r="Z7" s="1"/>
      <c r="AA7" s="1"/>
      <c r="AB7" s="1"/>
    </row>
    <row r="8" spans="1:28">
      <c r="H8" s="4" t="s">
        <v>778</v>
      </c>
      <c r="I8" s="56">
        <v>10</v>
      </c>
      <c r="K8" s="108" t="s">
        <v>753</v>
      </c>
      <c r="L8" s="108" t="s">
        <v>754</v>
      </c>
      <c r="M8" s="109">
        <v>85000</v>
      </c>
      <c r="X8" s="1"/>
      <c r="Y8" s="1"/>
      <c r="Z8" s="1"/>
      <c r="AA8" s="1"/>
      <c r="AB8" s="1"/>
    </row>
    <row r="9" spans="1:28" ht="15.75" customHeight="1">
      <c r="A9" s="53"/>
      <c r="B9" s="103"/>
      <c r="C9" s="72"/>
      <c r="D9" s="72"/>
      <c r="E9" s="73"/>
      <c r="F9" s="73"/>
      <c r="H9" s="65" t="s">
        <v>644</v>
      </c>
      <c r="I9" s="56" t="s">
        <v>644</v>
      </c>
      <c r="K9" s="108" t="s">
        <v>759</v>
      </c>
      <c r="L9" s="108" t="s">
        <v>760</v>
      </c>
      <c r="M9" s="109">
        <v>98000</v>
      </c>
      <c r="X9" s="1"/>
      <c r="Y9" s="1"/>
      <c r="Z9" s="1"/>
      <c r="AA9" s="1"/>
      <c r="AB9" s="1"/>
    </row>
    <row r="10" spans="1:28">
      <c r="A10" s="60"/>
      <c r="B10" s="104"/>
      <c r="C10" s="72"/>
      <c r="D10" s="72"/>
      <c r="E10" s="73"/>
      <c r="F10" s="73"/>
      <c r="H10" s="158" t="s">
        <v>779</v>
      </c>
      <c r="I10" s="159"/>
      <c r="K10" s="108" t="s">
        <v>767</v>
      </c>
      <c r="L10" s="108" t="s">
        <v>754</v>
      </c>
      <c r="M10" s="109">
        <v>115000</v>
      </c>
      <c r="X10" s="1"/>
      <c r="Y10" s="1"/>
      <c r="Z10" s="1"/>
      <c r="AA10" s="1"/>
      <c r="AB10" s="1"/>
    </row>
    <row r="11" spans="1:28">
      <c r="A11" s="53"/>
      <c r="B11" s="104"/>
      <c r="C11" s="72"/>
      <c r="D11" s="72"/>
      <c r="E11" s="73"/>
      <c r="F11" s="73"/>
      <c r="H11" s="3" t="s">
        <v>510</v>
      </c>
      <c r="I11" s="90">
        <f>SUM(F:F)</f>
        <v>268000</v>
      </c>
      <c r="K11" s="108"/>
      <c r="L11" s="108"/>
      <c r="M11" s="109"/>
      <c r="X11" s="1"/>
      <c r="Y11" s="1"/>
      <c r="Z11" s="1"/>
      <c r="AA11" s="1"/>
      <c r="AB11" s="1"/>
    </row>
    <row r="12" spans="1:28">
      <c r="A12" s="53"/>
      <c r="B12" s="104"/>
      <c r="C12" s="72"/>
      <c r="D12" s="72"/>
      <c r="E12" s="73"/>
      <c r="F12" s="73"/>
      <c r="H12" s="31"/>
      <c r="I12" s="34"/>
      <c r="K12" s="108"/>
      <c r="L12" s="108"/>
      <c r="M12" s="109"/>
    </row>
    <row r="13" spans="1:28">
      <c r="A13" s="53"/>
      <c r="B13" s="104"/>
      <c r="C13" s="72"/>
      <c r="D13" s="72"/>
      <c r="E13" s="73"/>
      <c r="F13" s="73"/>
      <c r="G13" s="44"/>
      <c r="H13" s="4" t="s">
        <v>5</v>
      </c>
      <c r="I13" s="36">
        <v>38000</v>
      </c>
      <c r="J13" s="44"/>
      <c r="K13" s="108"/>
      <c r="L13" s="108"/>
      <c r="M13" s="109"/>
    </row>
    <row r="14" spans="1:28">
      <c r="A14" s="53"/>
      <c r="B14" s="104"/>
      <c r="C14" s="72"/>
      <c r="D14" s="72"/>
      <c r="E14" s="73"/>
      <c r="F14" s="73"/>
      <c r="H14" s="33"/>
      <c r="I14" s="34"/>
      <c r="K14" s="110"/>
      <c r="L14" s="110"/>
      <c r="M14" s="111"/>
    </row>
    <row r="15" spans="1:28" ht="12.75" customHeight="1">
      <c r="A15" s="53"/>
      <c r="B15" s="104"/>
      <c r="C15" s="72"/>
      <c r="D15" s="72"/>
      <c r="E15" s="73"/>
      <c r="F15" s="73"/>
      <c r="H15" s="4" t="s">
        <v>513</v>
      </c>
      <c r="I15" s="112" t="s">
        <v>738</v>
      </c>
      <c r="K15" s="110"/>
      <c r="L15" s="110"/>
      <c r="M15" s="111"/>
    </row>
    <row r="16" spans="1:28" ht="13.5" customHeight="1" thickBot="1">
      <c r="H16" s="31"/>
      <c r="K16" s="110"/>
      <c r="L16" s="110"/>
      <c r="M16" s="111"/>
    </row>
    <row r="17" spans="1:13" ht="13.5" customHeight="1">
      <c r="H17" s="61" t="s">
        <v>511</v>
      </c>
      <c r="I17" s="63">
        <f>I11-I13</f>
        <v>230000</v>
      </c>
      <c r="K17" s="113"/>
      <c r="L17" s="113"/>
      <c r="M17" s="113"/>
    </row>
    <row r="18" spans="1:13" ht="13.5" customHeight="1" thickBot="1">
      <c r="A18" s="53"/>
      <c r="B18" s="74"/>
      <c r="C18" s="74"/>
      <c r="D18" s="75"/>
      <c r="E18" s="76"/>
      <c r="F18" s="76"/>
      <c r="H18" s="62"/>
      <c r="I18" s="64"/>
      <c r="J18" s="66"/>
      <c r="K18" s="114"/>
      <c r="L18" s="113"/>
      <c r="M18" s="113"/>
    </row>
    <row r="19" spans="1:13" ht="13.5" customHeight="1">
      <c r="A19" s="53"/>
      <c r="B19" s="77"/>
      <c r="C19" s="68"/>
      <c r="D19" s="78"/>
      <c r="E19" s="69"/>
      <c r="F19" s="69"/>
      <c r="H19" s="33"/>
      <c r="I19" s="34"/>
      <c r="K19" s="113"/>
      <c r="L19" s="113"/>
      <c r="M19" s="113"/>
    </row>
    <row r="20" spans="1:13" s="31" customFormat="1" ht="13.5" customHeight="1">
      <c r="A20" s="53"/>
      <c r="B20" s="77"/>
      <c r="C20" s="68"/>
      <c r="D20" s="78"/>
      <c r="E20" s="69"/>
      <c r="F20" s="69"/>
      <c r="K20" s="113"/>
      <c r="L20" s="113"/>
      <c r="M20" s="113"/>
    </row>
    <row r="21" spans="1:13" ht="13.5" customHeight="1">
      <c r="A21" s="53"/>
      <c r="B21" s="77"/>
      <c r="C21" s="68"/>
      <c r="D21" s="78"/>
      <c r="E21" s="69"/>
      <c r="F21" s="69"/>
      <c r="H21" s="33"/>
      <c r="I21" s="34"/>
      <c r="K21" s="113"/>
      <c r="L21" s="113"/>
      <c r="M21" s="113"/>
    </row>
    <row r="22" spans="1:13" s="31" customFormat="1">
      <c r="A22" s="53"/>
      <c r="B22" s="77"/>
      <c r="C22" s="68"/>
      <c r="D22" s="78"/>
      <c r="E22" s="69"/>
      <c r="F22" s="69"/>
      <c r="K22" s="113"/>
      <c r="L22" s="113"/>
      <c r="M22" s="113"/>
    </row>
    <row r="23" spans="1:13">
      <c r="A23" s="53"/>
      <c r="B23" s="77"/>
      <c r="C23" s="68"/>
      <c r="D23" s="78"/>
      <c r="E23" s="69"/>
      <c r="F23" s="69"/>
      <c r="H23" s="31"/>
      <c r="I23" s="31"/>
    </row>
    <row r="24" spans="1:13">
      <c r="A24" s="53"/>
      <c r="B24" s="77"/>
      <c r="C24" s="68"/>
      <c r="D24" s="78"/>
      <c r="E24" s="69"/>
      <c r="F24" s="69"/>
      <c r="H24" s="31"/>
      <c r="I24" s="31"/>
    </row>
    <row r="25" spans="1:13">
      <c r="A25" s="53"/>
      <c r="B25" s="77"/>
      <c r="C25" s="53"/>
      <c r="D25" s="78"/>
      <c r="E25" s="70"/>
      <c r="F25" s="70"/>
      <c r="H25" s="33"/>
      <c r="I25" s="34"/>
    </row>
    <row r="26" spans="1:13">
      <c r="A26" s="53"/>
      <c r="B26" s="77"/>
      <c r="C26" s="53"/>
      <c r="D26" s="78"/>
      <c r="E26" s="70"/>
      <c r="F26" s="70"/>
      <c r="H26" s="33"/>
      <c r="I26" s="34"/>
    </row>
    <row r="27" spans="1:13">
      <c r="A27" s="53"/>
      <c r="B27" s="77"/>
      <c r="C27" s="53"/>
      <c r="D27" s="78"/>
      <c r="E27" s="70"/>
      <c r="F27" s="70"/>
      <c r="H27" s="33"/>
      <c r="I27" s="34"/>
    </row>
    <row r="28" spans="1:13">
      <c r="A28" s="53"/>
      <c r="B28" s="77"/>
      <c r="C28" s="68"/>
      <c r="D28" s="78"/>
      <c r="E28" s="70"/>
      <c r="F28" s="70"/>
      <c r="H28" s="33"/>
      <c r="I28" s="34"/>
    </row>
    <row r="29" spans="1:13">
      <c r="A29" s="53"/>
      <c r="B29" s="79"/>
      <c r="C29" s="60"/>
      <c r="D29" s="60"/>
      <c r="E29" s="70"/>
      <c r="F29" s="70"/>
      <c r="H29" s="33"/>
      <c r="I29" s="34"/>
    </row>
    <row r="30" spans="1:13">
      <c r="A30" s="53"/>
      <c r="B30" s="79"/>
      <c r="C30" s="60"/>
      <c r="D30" s="60"/>
      <c r="E30" s="70"/>
      <c r="F30" s="70"/>
      <c r="H30" s="33"/>
      <c r="I30" s="34"/>
    </row>
    <row r="31" spans="1:13">
      <c r="A31" s="53"/>
      <c r="B31" s="79"/>
      <c r="C31" s="60"/>
      <c r="D31" s="60"/>
      <c r="E31" s="70"/>
      <c r="F31" s="70"/>
      <c r="H31" s="33"/>
      <c r="I31" s="34"/>
    </row>
    <row r="32" spans="1:13">
      <c r="A32" s="53"/>
      <c r="B32" s="79"/>
      <c r="C32" s="60"/>
      <c r="D32" s="60"/>
      <c r="E32" s="70"/>
      <c r="F32" s="70"/>
      <c r="H32" s="33"/>
      <c r="I32" s="34"/>
    </row>
    <row r="33" spans="1:9">
      <c r="A33" s="53"/>
      <c r="B33" s="79"/>
      <c r="C33" s="60"/>
      <c r="D33" s="60"/>
      <c r="E33" s="70"/>
      <c r="F33" s="70"/>
      <c r="H33" s="33"/>
      <c r="I33" s="34"/>
    </row>
    <row r="34" spans="1:9">
      <c r="A34" s="53"/>
      <c r="B34" s="79"/>
      <c r="C34" s="60"/>
      <c r="D34" s="60"/>
      <c r="E34" s="70"/>
      <c r="F34" s="70"/>
      <c r="H34" s="33"/>
      <c r="I34" s="34"/>
    </row>
    <row r="35" spans="1:9">
      <c r="A35" s="53"/>
      <c r="B35" s="79"/>
      <c r="C35" s="60"/>
      <c r="D35" s="60"/>
      <c r="E35" s="70"/>
      <c r="F35" s="70"/>
      <c r="H35" s="33"/>
      <c r="I35" s="34"/>
    </row>
    <row r="36" spans="1:9">
      <c r="A36" s="53"/>
      <c r="B36" s="77"/>
      <c r="C36" s="71"/>
      <c r="D36" s="78"/>
      <c r="E36" s="70"/>
      <c r="F36" s="70"/>
      <c r="H36" s="33"/>
      <c r="I36" s="34"/>
    </row>
    <row r="37" spans="1:9">
      <c r="A37" s="53"/>
      <c r="B37" s="77"/>
      <c r="C37" s="68"/>
      <c r="D37" s="78"/>
      <c r="E37" s="70"/>
      <c r="F37" s="70"/>
      <c r="H37" s="33"/>
      <c r="I37" s="34"/>
    </row>
    <row r="38" spans="1:9">
      <c r="A38" s="53"/>
      <c r="B38" s="77"/>
      <c r="C38" s="68"/>
      <c r="D38" s="78"/>
      <c r="E38" s="70"/>
      <c r="F38" s="70"/>
      <c r="H38" s="33"/>
      <c r="I38" s="34"/>
    </row>
    <row r="39" spans="1:9">
      <c r="A39" s="53"/>
      <c r="B39" s="77"/>
      <c r="C39" s="68"/>
      <c r="D39" s="78"/>
      <c r="E39" s="70"/>
      <c r="F39" s="70"/>
      <c r="H39" s="33"/>
      <c r="I39" s="34"/>
    </row>
    <row r="40" spans="1:9">
      <c r="A40" s="53"/>
      <c r="B40" s="77"/>
      <c r="C40" s="68"/>
      <c r="D40" s="78"/>
      <c r="E40" s="70"/>
      <c r="F40" s="70"/>
      <c r="H40" s="33"/>
      <c r="I40" s="34"/>
    </row>
    <row r="41" spans="1:9">
      <c r="A41" s="53"/>
      <c r="B41" s="53"/>
      <c r="C41" s="53"/>
      <c r="D41" s="53"/>
      <c r="E41" s="70"/>
      <c r="F41" s="70"/>
      <c r="H41" s="33"/>
      <c r="I41" s="34"/>
    </row>
    <row r="42" spans="1:9">
      <c r="A42" s="53"/>
      <c r="B42" s="53"/>
      <c r="C42" s="53"/>
      <c r="D42" s="53"/>
      <c r="E42" s="70"/>
      <c r="F42" s="70"/>
      <c r="H42" s="33"/>
      <c r="I42" s="34"/>
    </row>
    <row r="43" spans="1:9">
      <c r="A43" s="53"/>
      <c r="B43" s="53"/>
      <c r="C43" s="53"/>
      <c r="D43" s="53"/>
      <c r="E43" s="70"/>
      <c r="F43" s="70"/>
      <c r="H43" s="33"/>
      <c r="I43" s="34"/>
    </row>
    <row r="44" spans="1:9">
      <c r="H44" s="33"/>
      <c r="I44" s="34"/>
    </row>
    <row r="45" spans="1:9">
      <c r="H45" s="33"/>
      <c r="I45" s="34"/>
    </row>
    <row r="46" spans="1:9" s="31" customFormat="1">
      <c r="A46" s="33"/>
      <c r="B46" s="33"/>
      <c r="C46" s="33"/>
      <c r="D46" s="33"/>
      <c r="E46" s="37"/>
      <c r="F46" s="37"/>
      <c r="H46" s="33"/>
      <c r="I46" s="34"/>
    </row>
    <row r="47" spans="1:9" s="31" customFormat="1">
      <c r="A47" s="33"/>
      <c r="B47" s="33"/>
      <c r="C47" s="33"/>
      <c r="D47" s="33"/>
      <c r="E47" s="37"/>
      <c r="F47" s="37"/>
      <c r="H47" s="33"/>
      <c r="I47" s="34"/>
    </row>
    <row r="48" spans="1:9" s="31" customFormat="1">
      <c r="A48" s="33"/>
      <c r="B48" s="33"/>
      <c r="C48" s="33"/>
      <c r="D48" s="33"/>
      <c r="E48" s="37"/>
      <c r="F48" s="37"/>
      <c r="H48" s="33"/>
      <c r="I48" s="34"/>
    </row>
    <row r="49" spans="1:9" s="31" customFormat="1">
      <c r="A49" s="33"/>
      <c r="B49" s="33"/>
      <c r="C49" s="33"/>
      <c r="D49" s="33"/>
      <c r="E49" s="37"/>
      <c r="F49" s="37"/>
      <c r="H49" s="33"/>
      <c r="I49" s="34"/>
    </row>
    <row r="50" spans="1:9" s="31" customFormat="1">
      <c r="A50" s="33"/>
      <c r="B50" s="33"/>
      <c r="C50" s="33"/>
      <c r="D50" s="33"/>
      <c r="E50" s="37"/>
      <c r="F50" s="37"/>
      <c r="H50" s="33"/>
      <c r="I50" s="34"/>
    </row>
    <row r="51" spans="1:9" s="31" customFormat="1">
      <c r="A51" s="33"/>
      <c r="B51" s="33"/>
      <c r="C51" s="33"/>
      <c r="D51" s="33"/>
      <c r="E51" s="37"/>
      <c r="F51" s="37"/>
      <c r="H51" s="33"/>
      <c r="I51" s="34"/>
    </row>
    <row r="52" spans="1:9" s="31" customFormat="1">
      <c r="A52" s="33"/>
      <c r="B52" s="33"/>
      <c r="C52" s="33"/>
      <c r="D52" s="33"/>
      <c r="E52" s="37"/>
      <c r="F52" s="37"/>
      <c r="H52" s="33"/>
      <c r="I52" s="34"/>
    </row>
    <row r="53" spans="1:9" s="31" customFormat="1">
      <c r="A53" s="33"/>
      <c r="B53" s="33"/>
      <c r="C53" s="33"/>
      <c r="D53" s="33"/>
      <c r="E53" s="37"/>
      <c r="F53" s="37"/>
      <c r="H53" s="33"/>
      <c r="I53" s="34"/>
    </row>
    <row r="54" spans="1:9" s="31" customFormat="1">
      <c r="A54" s="33"/>
      <c r="B54" s="33"/>
      <c r="C54" s="33"/>
      <c r="D54" s="33"/>
      <c r="E54" s="37"/>
      <c r="F54" s="37"/>
      <c r="H54" s="33"/>
      <c r="I54" s="34"/>
    </row>
    <row r="55" spans="1:9" s="31" customFormat="1">
      <c r="A55" s="33"/>
      <c r="B55" s="33"/>
      <c r="C55" s="33"/>
      <c r="D55" s="33"/>
      <c r="E55" s="37"/>
      <c r="F55" s="37"/>
      <c r="H55" s="33"/>
      <c r="I55" s="34"/>
    </row>
    <row r="56" spans="1:9" s="31" customFormat="1">
      <c r="A56" s="33"/>
      <c r="B56" s="33"/>
      <c r="C56" s="33"/>
      <c r="D56" s="33"/>
      <c r="E56" s="37"/>
      <c r="F56" s="37"/>
      <c r="H56" s="33"/>
      <c r="I56" s="34"/>
    </row>
    <row r="57" spans="1:9" s="31" customFormat="1">
      <c r="A57" s="33"/>
      <c r="B57" s="33"/>
      <c r="C57" s="33"/>
      <c r="D57" s="33"/>
      <c r="E57" s="37"/>
      <c r="F57" s="37"/>
      <c r="H57" s="33"/>
      <c r="I57" s="34"/>
    </row>
    <row r="58" spans="1:9" s="31" customFormat="1">
      <c r="A58" s="33"/>
      <c r="B58" s="33"/>
      <c r="C58" s="33"/>
      <c r="D58" s="33"/>
      <c r="E58" s="37"/>
      <c r="F58" s="37"/>
      <c r="H58" s="33"/>
      <c r="I58" s="34"/>
    </row>
    <row r="59" spans="1:9" s="31" customFormat="1">
      <c r="A59" s="33"/>
      <c r="B59" s="33"/>
      <c r="C59" s="33"/>
      <c r="D59" s="33"/>
      <c r="E59" s="37"/>
      <c r="F59" s="37"/>
      <c r="H59" s="33"/>
      <c r="I59" s="34"/>
    </row>
    <row r="60" spans="1:9" s="31" customFormat="1">
      <c r="A60" s="33"/>
      <c r="B60" s="33"/>
      <c r="C60" s="33"/>
      <c r="D60" s="33"/>
      <c r="E60" s="37"/>
      <c r="F60" s="37"/>
      <c r="H60" s="33"/>
      <c r="I60" s="34"/>
    </row>
    <row r="61" spans="1:9" s="31" customFormat="1">
      <c r="A61" s="33"/>
      <c r="B61" s="33"/>
      <c r="C61" s="33"/>
      <c r="D61" s="33"/>
      <c r="E61" s="37"/>
      <c r="F61" s="37"/>
      <c r="H61" s="33"/>
      <c r="I61" s="34"/>
    </row>
    <row r="62" spans="1:9" s="31" customFormat="1">
      <c r="A62" s="33"/>
      <c r="B62" s="33"/>
      <c r="C62" s="33"/>
      <c r="D62" s="33"/>
      <c r="E62" s="37"/>
      <c r="F62" s="37"/>
      <c r="H62" s="33"/>
      <c r="I62" s="34"/>
    </row>
    <row r="63" spans="1:9" s="31" customFormat="1">
      <c r="A63" s="33"/>
      <c r="B63" s="33"/>
      <c r="C63" s="33"/>
      <c r="D63" s="33"/>
      <c r="E63" s="37"/>
      <c r="F63" s="37"/>
      <c r="H63" s="33"/>
      <c r="I63" s="34"/>
    </row>
    <row r="64" spans="1:9" s="31" customFormat="1">
      <c r="A64" s="33"/>
      <c r="B64" s="33"/>
      <c r="C64" s="33"/>
      <c r="D64" s="33"/>
      <c r="E64" s="37"/>
      <c r="F64" s="37"/>
      <c r="H64" s="33"/>
      <c r="I64" s="34"/>
    </row>
    <row r="65" spans="1:9" s="31" customFormat="1">
      <c r="A65" s="33"/>
      <c r="B65" s="33"/>
      <c r="C65" s="33"/>
      <c r="D65" s="33"/>
      <c r="E65" s="37"/>
      <c r="F65" s="37"/>
      <c r="H65" s="33"/>
      <c r="I65" s="34"/>
    </row>
    <row r="66" spans="1:9" s="31" customFormat="1">
      <c r="A66" s="33"/>
      <c r="B66" s="33"/>
      <c r="C66" s="33"/>
      <c r="D66" s="33"/>
      <c r="E66" s="37"/>
      <c r="F66" s="37"/>
      <c r="H66" s="33"/>
      <c r="I66" s="34"/>
    </row>
    <row r="67" spans="1:9" s="31" customFormat="1">
      <c r="A67" s="33"/>
      <c r="B67" s="33"/>
      <c r="C67" s="33"/>
      <c r="D67" s="33"/>
      <c r="E67" s="37"/>
      <c r="F67" s="37"/>
      <c r="H67" s="33"/>
      <c r="I67" s="34"/>
    </row>
    <row r="68" spans="1:9" s="31" customFormat="1">
      <c r="A68" s="33"/>
      <c r="B68" s="33"/>
      <c r="C68" s="33"/>
      <c r="D68" s="33"/>
      <c r="E68" s="37"/>
      <c r="F68" s="37"/>
      <c r="H68" s="33"/>
      <c r="I68" s="34"/>
    </row>
    <row r="69" spans="1:9" s="31" customFormat="1">
      <c r="A69" s="33"/>
      <c r="B69" s="33"/>
      <c r="C69" s="33"/>
      <c r="D69" s="33"/>
      <c r="E69" s="37"/>
      <c r="F69" s="37"/>
      <c r="H69" s="33"/>
      <c r="I69" s="34"/>
    </row>
    <row r="70" spans="1:9" s="31" customFormat="1">
      <c r="A70" s="33"/>
      <c r="B70" s="33"/>
      <c r="C70" s="33"/>
      <c r="D70" s="33"/>
      <c r="E70" s="37"/>
      <c r="F70" s="37"/>
      <c r="H70" s="33"/>
      <c r="I70" s="34"/>
    </row>
    <row r="71" spans="1:9" s="31" customFormat="1">
      <c r="A71" s="33"/>
      <c r="B71" s="33"/>
      <c r="C71" s="33"/>
      <c r="D71" s="33"/>
      <c r="E71" s="37"/>
      <c r="F71" s="37"/>
      <c r="H71" s="33"/>
      <c r="I71" s="34"/>
    </row>
    <row r="72" spans="1:9" s="31" customFormat="1">
      <c r="A72" s="33"/>
      <c r="B72" s="33"/>
      <c r="C72" s="33"/>
      <c r="D72" s="33"/>
      <c r="E72" s="37"/>
      <c r="F72" s="37"/>
      <c r="H72" s="33"/>
      <c r="I72" s="34"/>
    </row>
    <row r="73" spans="1:9" s="31" customFormat="1">
      <c r="A73" s="33"/>
      <c r="B73" s="33"/>
      <c r="C73" s="33"/>
      <c r="D73" s="33"/>
      <c r="E73" s="37"/>
      <c r="F73" s="37"/>
      <c r="H73" s="33"/>
      <c r="I73" s="34"/>
    </row>
    <row r="74" spans="1:9" s="31" customFormat="1">
      <c r="A74" s="33"/>
      <c r="B74" s="33"/>
      <c r="C74" s="33"/>
      <c r="D74" s="33"/>
      <c r="E74" s="37"/>
      <c r="F74" s="37"/>
      <c r="H74" s="33"/>
      <c r="I74" s="34"/>
    </row>
    <row r="75" spans="1:9" s="31" customFormat="1">
      <c r="A75" s="33"/>
      <c r="B75" s="33"/>
      <c r="C75" s="33"/>
      <c r="D75" s="33"/>
      <c r="E75" s="37"/>
      <c r="F75" s="37"/>
      <c r="H75" s="33"/>
      <c r="I75" s="34"/>
    </row>
    <row r="76" spans="1:9" s="31" customFormat="1">
      <c r="A76" s="33"/>
      <c r="B76" s="33"/>
      <c r="C76" s="33"/>
      <c r="D76" s="33"/>
      <c r="E76" s="37"/>
      <c r="F76" s="37"/>
      <c r="H76" s="33"/>
      <c r="I76" s="34"/>
    </row>
    <row r="77" spans="1:9" s="31" customFormat="1">
      <c r="A77" s="33"/>
      <c r="B77" s="33"/>
      <c r="C77" s="33"/>
      <c r="D77" s="33"/>
      <c r="E77" s="37"/>
      <c r="F77" s="37"/>
      <c r="H77" s="33"/>
      <c r="I77" s="34"/>
    </row>
    <row r="78" spans="1:9" s="31" customFormat="1">
      <c r="A78" s="33"/>
      <c r="B78" s="33"/>
      <c r="C78" s="33"/>
      <c r="D78" s="33"/>
      <c r="E78" s="37"/>
      <c r="F78" s="37"/>
      <c r="H78" s="33"/>
      <c r="I78" s="34"/>
    </row>
    <row r="79" spans="1:9" s="31" customFormat="1">
      <c r="A79" s="33"/>
      <c r="B79" s="33"/>
      <c r="C79" s="33"/>
      <c r="D79" s="33"/>
      <c r="E79" s="37"/>
      <c r="F79" s="37"/>
      <c r="H79" s="33"/>
      <c r="I79" s="34"/>
    </row>
    <row r="80" spans="1:9" s="31" customFormat="1">
      <c r="A80" s="33"/>
      <c r="B80" s="33"/>
      <c r="C80" s="33"/>
      <c r="D80" s="33"/>
      <c r="E80" s="37"/>
      <c r="F80" s="37"/>
      <c r="H80" s="33"/>
      <c r="I80" s="34"/>
    </row>
    <row r="81" spans="1:9" s="31" customFormat="1">
      <c r="A81" s="33"/>
      <c r="B81" s="33"/>
      <c r="C81" s="33"/>
      <c r="D81" s="33"/>
      <c r="E81" s="37"/>
      <c r="F81" s="37"/>
      <c r="H81" s="33"/>
      <c r="I81" s="34"/>
    </row>
    <row r="82" spans="1:9" s="31" customFormat="1">
      <c r="A82" s="33"/>
      <c r="B82" s="33"/>
      <c r="C82" s="33"/>
      <c r="D82" s="33"/>
      <c r="E82" s="37"/>
      <c r="F82" s="37"/>
      <c r="H82" s="33"/>
      <c r="I82" s="34"/>
    </row>
    <row r="83" spans="1:9" s="31" customFormat="1">
      <c r="A83" s="33"/>
      <c r="B83" s="33"/>
      <c r="C83" s="33"/>
      <c r="D83" s="33"/>
      <c r="E83" s="37"/>
      <c r="F83" s="37"/>
      <c r="H83" s="33"/>
      <c r="I83" s="34"/>
    </row>
    <row r="84" spans="1:9" s="31" customFormat="1">
      <c r="A84" s="33"/>
      <c r="B84" s="33"/>
      <c r="C84" s="33"/>
      <c r="D84" s="33"/>
      <c r="E84" s="37"/>
      <c r="F84" s="37"/>
      <c r="H84" s="33"/>
      <c r="I84" s="34"/>
    </row>
    <row r="85" spans="1:9" s="31" customFormat="1">
      <c r="A85" s="33"/>
      <c r="B85" s="33"/>
      <c r="C85" s="33"/>
      <c r="D85" s="33"/>
      <c r="E85" s="37"/>
      <c r="F85" s="37"/>
      <c r="H85" s="33"/>
      <c r="I85" s="34"/>
    </row>
    <row r="86" spans="1:9" s="31" customFormat="1">
      <c r="A86" s="33"/>
      <c r="B86" s="33"/>
      <c r="C86" s="33"/>
      <c r="D86" s="33"/>
      <c r="E86" s="37"/>
      <c r="F86" s="37"/>
      <c r="H86" s="33"/>
      <c r="I86" s="34"/>
    </row>
    <row r="87" spans="1:9" s="31" customFormat="1">
      <c r="A87" s="33"/>
      <c r="B87" s="33"/>
      <c r="C87" s="33"/>
      <c r="D87" s="33"/>
      <c r="E87" s="37"/>
      <c r="F87" s="37"/>
      <c r="H87" s="33"/>
      <c r="I87" s="34"/>
    </row>
    <row r="88" spans="1:9" s="31" customFormat="1">
      <c r="A88" s="33"/>
      <c r="B88" s="33"/>
      <c r="C88" s="33"/>
      <c r="D88" s="33"/>
      <c r="E88" s="37"/>
      <c r="F88" s="37"/>
      <c r="H88" s="33"/>
      <c r="I88" s="34"/>
    </row>
    <row r="89" spans="1:9" s="31" customFormat="1">
      <c r="A89" s="33"/>
      <c r="B89" s="33"/>
      <c r="C89" s="33"/>
      <c r="D89" s="33"/>
      <c r="E89" s="37"/>
      <c r="F89" s="37"/>
      <c r="H89" s="33"/>
      <c r="I89" s="34"/>
    </row>
    <row r="90" spans="1:9" s="31" customFormat="1">
      <c r="A90" s="33"/>
      <c r="B90" s="33"/>
      <c r="C90" s="33"/>
      <c r="D90" s="33"/>
      <c r="E90" s="37"/>
      <c r="F90" s="37"/>
      <c r="H90" s="33"/>
      <c r="I90" s="34"/>
    </row>
    <row r="91" spans="1:9" s="31" customFormat="1">
      <c r="A91" s="33"/>
      <c r="B91" s="33"/>
      <c r="C91" s="33"/>
      <c r="D91" s="33"/>
      <c r="E91" s="37"/>
      <c r="F91" s="37"/>
      <c r="H91" s="33"/>
      <c r="I91" s="34"/>
    </row>
    <row r="92" spans="1:9" s="31" customFormat="1">
      <c r="A92" s="33"/>
      <c r="B92" s="33"/>
      <c r="C92" s="33"/>
      <c r="D92" s="33"/>
      <c r="E92" s="37"/>
      <c r="F92" s="37"/>
      <c r="H92" s="33"/>
      <c r="I92" s="34"/>
    </row>
    <row r="93" spans="1:9" s="31" customFormat="1">
      <c r="A93" s="33"/>
      <c r="B93" s="33"/>
      <c r="C93" s="33"/>
      <c r="D93" s="33"/>
      <c r="E93" s="37"/>
      <c r="F93" s="37"/>
      <c r="H93" s="33"/>
      <c r="I93" s="34"/>
    </row>
    <row r="94" spans="1:9" s="31" customFormat="1">
      <c r="A94" s="33"/>
      <c r="B94" s="33"/>
      <c r="C94" s="33"/>
      <c r="D94" s="33"/>
      <c r="E94" s="37"/>
      <c r="F94" s="37"/>
      <c r="H94" s="33"/>
      <c r="I94" s="34"/>
    </row>
    <row r="95" spans="1:9" s="31" customFormat="1">
      <c r="A95" s="33"/>
      <c r="B95" s="33"/>
      <c r="C95" s="33"/>
      <c r="D95" s="33"/>
      <c r="E95" s="37"/>
      <c r="F95" s="37"/>
      <c r="H95" s="33"/>
      <c r="I95" s="34"/>
    </row>
    <row r="96" spans="1:9" s="31" customFormat="1">
      <c r="A96" s="33"/>
      <c r="B96" s="33"/>
      <c r="C96" s="33"/>
      <c r="D96" s="33"/>
      <c r="E96" s="37"/>
      <c r="F96" s="37"/>
      <c r="H96" s="33"/>
      <c r="I96" s="34"/>
    </row>
    <row r="97" spans="1:9" s="31" customFormat="1">
      <c r="A97" s="33"/>
      <c r="B97" s="33"/>
      <c r="C97" s="33"/>
      <c r="D97" s="33"/>
      <c r="E97" s="37"/>
      <c r="F97" s="37"/>
      <c r="H97" s="33"/>
      <c r="I97" s="34"/>
    </row>
    <row r="98" spans="1:9" s="31" customFormat="1">
      <c r="A98" s="33"/>
      <c r="B98" s="33"/>
      <c r="C98" s="33"/>
      <c r="D98" s="33"/>
      <c r="E98" s="37"/>
      <c r="F98" s="37"/>
      <c r="H98" s="33"/>
      <c r="I98" s="34"/>
    </row>
    <row r="99" spans="1:9" s="31" customFormat="1">
      <c r="A99" s="33"/>
      <c r="B99" s="33"/>
      <c r="C99" s="33"/>
      <c r="D99" s="33"/>
      <c r="E99" s="37"/>
      <c r="F99" s="37"/>
      <c r="H99" s="33"/>
      <c r="I99" s="34"/>
    </row>
    <row r="100" spans="1:9" s="31" customFormat="1">
      <c r="A100" s="33"/>
      <c r="B100" s="33"/>
      <c r="C100" s="33"/>
      <c r="D100" s="33"/>
      <c r="E100" s="37"/>
      <c r="F100" s="37"/>
      <c r="H100" s="33"/>
      <c r="I100" s="34"/>
    </row>
    <row r="101" spans="1:9" s="31" customFormat="1">
      <c r="A101" s="33"/>
      <c r="B101" s="33"/>
      <c r="C101" s="33"/>
      <c r="D101" s="33"/>
      <c r="E101" s="37"/>
      <c r="F101" s="37"/>
      <c r="H101" s="33"/>
      <c r="I101" s="34"/>
    </row>
    <row r="102" spans="1:9" s="31" customFormat="1">
      <c r="A102" s="33"/>
      <c r="B102" s="33"/>
      <c r="C102" s="33"/>
      <c r="D102" s="33"/>
      <c r="E102" s="37"/>
      <c r="F102" s="37"/>
      <c r="H102" s="33"/>
      <c r="I102" s="34"/>
    </row>
    <row r="103" spans="1:9" s="31" customFormat="1">
      <c r="A103" s="33"/>
      <c r="B103" s="33"/>
      <c r="C103" s="33"/>
      <c r="D103" s="33"/>
      <c r="E103" s="37"/>
      <c r="F103" s="37"/>
      <c r="H103" s="33"/>
      <c r="I103" s="34"/>
    </row>
    <row r="104" spans="1:9" s="31" customFormat="1">
      <c r="A104" s="33"/>
      <c r="B104" s="33"/>
      <c r="C104" s="33"/>
      <c r="D104" s="33"/>
      <c r="E104" s="37"/>
      <c r="F104" s="37"/>
      <c r="H104" s="33"/>
      <c r="I104" s="34"/>
    </row>
    <row r="105" spans="1:9" s="31" customFormat="1">
      <c r="A105" s="33"/>
      <c r="B105" s="33"/>
      <c r="C105" s="33"/>
      <c r="D105" s="33"/>
      <c r="E105" s="37"/>
      <c r="F105" s="37"/>
      <c r="H105" s="33"/>
      <c r="I105" s="34"/>
    </row>
    <row r="106" spans="1:9" s="31" customFormat="1">
      <c r="A106" s="33"/>
      <c r="B106" s="33"/>
      <c r="C106" s="33"/>
      <c r="D106" s="33"/>
      <c r="E106" s="37"/>
      <c r="F106" s="37"/>
      <c r="H106" s="33"/>
      <c r="I106" s="34"/>
    </row>
    <row r="107" spans="1:9" s="31" customFormat="1">
      <c r="A107" s="33"/>
      <c r="B107" s="33"/>
      <c r="C107" s="33"/>
      <c r="D107" s="33"/>
      <c r="E107" s="37"/>
      <c r="F107" s="37"/>
      <c r="H107" s="33"/>
      <c r="I107" s="34"/>
    </row>
    <row r="108" spans="1:9" s="31" customFormat="1">
      <c r="A108" s="33"/>
      <c r="B108" s="33"/>
      <c r="C108" s="33"/>
      <c r="D108" s="33"/>
      <c r="E108" s="37"/>
      <c r="F108" s="37"/>
      <c r="H108" s="33"/>
      <c r="I108" s="34"/>
    </row>
    <row r="109" spans="1:9" s="31" customFormat="1">
      <c r="A109" s="33"/>
      <c r="B109" s="33"/>
      <c r="C109" s="33"/>
      <c r="D109" s="33"/>
      <c r="E109" s="37"/>
      <c r="F109" s="37"/>
      <c r="H109" s="33"/>
      <c r="I109" s="34"/>
    </row>
    <row r="110" spans="1:9" s="31" customFormat="1">
      <c r="A110" s="33"/>
      <c r="B110" s="33"/>
      <c r="C110" s="33"/>
      <c r="D110" s="33"/>
      <c r="E110" s="37"/>
      <c r="F110" s="37"/>
      <c r="H110" s="33"/>
      <c r="I110" s="34"/>
    </row>
    <row r="111" spans="1:9" s="31" customFormat="1">
      <c r="A111" s="33"/>
      <c r="B111" s="33"/>
      <c r="C111" s="33"/>
      <c r="D111" s="33"/>
      <c r="E111" s="37"/>
      <c r="F111" s="37"/>
      <c r="H111" s="33"/>
      <c r="I111" s="34"/>
    </row>
    <row r="112" spans="1:9" s="31" customFormat="1">
      <c r="A112" s="33"/>
      <c r="B112" s="33"/>
      <c r="C112" s="33"/>
      <c r="D112" s="33"/>
      <c r="E112" s="37"/>
      <c r="F112" s="37"/>
      <c r="H112" s="33"/>
      <c r="I112" s="34"/>
    </row>
    <row r="113" spans="1:9" s="31" customFormat="1">
      <c r="A113" s="33"/>
      <c r="B113" s="33"/>
      <c r="C113" s="33"/>
      <c r="D113" s="33"/>
      <c r="E113" s="37"/>
      <c r="F113" s="37"/>
      <c r="H113" s="33"/>
      <c r="I113" s="34"/>
    </row>
    <row r="114" spans="1:9" s="31" customFormat="1">
      <c r="A114" s="33"/>
      <c r="B114" s="33"/>
      <c r="C114" s="33"/>
      <c r="D114" s="33"/>
      <c r="E114" s="37"/>
      <c r="F114" s="37"/>
      <c r="H114" s="33"/>
      <c r="I114" s="34"/>
    </row>
    <row r="115" spans="1:9" s="31" customFormat="1">
      <c r="A115" s="33"/>
      <c r="B115" s="33"/>
      <c r="C115" s="33"/>
      <c r="D115" s="33"/>
      <c r="E115" s="37"/>
      <c r="F115" s="37"/>
      <c r="H115" s="33"/>
      <c r="I115" s="34"/>
    </row>
    <row r="116" spans="1:9" s="31" customFormat="1">
      <c r="A116" s="33"/>
      <c r="B116" s="33"/>
      <c r="C116" s="33"/>
      <c r="D116" s="33"/>
      <c r="E116" s="37"/>
      <c r="F116" s="37"/>
      <c r="H116" s="33"/>
      <c r="I116" s="34"/>
    </row>
    <row r="117" spans="1:9" s="31" customFormat="1">
      <c r="A117" s="33"/>
      <c r="B117" s="33"/>
      <c r="C117" s="33"/>
      <c r="D117" s="33"/>
      <c r="E117" s="37"/>
      <c r="F117" s="37"/>
      <c r="H117" s="33"/>
      <c r="I117" s="34"/>
    </row>
    <row r="118" spans="1:9" s="31" customFormat="1">
      <c r="A118" s="33"/>
      <c r="B118" s="33"/>
      <c r="C118" s="33"/>
      <c r="D118" s="33"/>
      <c r="E118" s="37"/>
      <c r="F118" s="37"/>
      <c r="H118" s="33"/>
      <c r="I118" s="34"/>
    </row>
    <row r="119" spans="1:9" s="31" customFormat="1">
      <c r="A119" s="33"/>
      <c r="B119" s="33"/>
      <c r="C119" s="33"/>
      <c r="D119" s="33"/>
      <c r="E119" s="37"/>
      <c r="F119" s="37"/>
      <c r="H119" s="33"/>
      <c r="I119" s="34"/>
    </row>
    <row r="120" spans="1:9" s="31" customFormat="1">
      <c r="A120" s="33"/>
      <c r="B120" s="33"/>
      <c r="C120" s="33"/>
      <c r="D120" s="33"/>
      <c r="E120" s="37"/>
      <c r="F120" s="37"/>
      <c r="H120" s="33"/>
      <c r="I120" s="34"/>
    </row>
    <row r="121" spans="1:9" s="31" customFormat="1">
      <c r="A121" s="33"/>
      <c r="B121" s="33"/>
      <c r="C121" s="33"/>
      <c r="D121" s="33"/>
      <c r="E121" s="37"/>
      <c r="F121" s="37"/>
      <c r="H121" s="33"/>
      <c r="I121" s="34"/>
    </row>
    <row r="122" spans="1:9" s="31" customFormat="1">
      <c r="A122" s="33"/>
      <c r="B122" s="33"/>
      <c r="C122" s="33"/>
      <c r="D122" s="33"/>
      <c r="E122" s="37"/>
      <c r="F122" s="37"/>
      <c r="H122" s="33"/>
      <c r="I122" s="34"/>
    </row>
    <row r="123" spans="1:9" s="31" customFormat="1">
      <c r="A123" s="33"/>
      <c r="B123" s="33"/>
      <c r="C123" s="33"/>
      <c r="D123" s="33"/>
      <c r="E123" s="37"/>
      <c r="F123" s="37"/>
      <c r="H123" s="33"/>
      <c r="I123" s="34"/>
    </row>
    <row r="124" spans="1:9" s="31" customFormat="1">
      <c r="A124" s="33"/>
      <c r="B124" s="33"/>
      <c r="C124" s="33"/>
      <c r="D124" s="33"/>
      <c r="E124" s="37"/>
      <c r="F124" s="37"/>
      <c r="H124" s="33"/>
      <c r="I124" s="34"/>
    </row>
    <row r="125" spans="1:9" s="31" customFormat="1">
      <c r="A125" s="33"/>
      <c r="B125" s="33"/>
      <c r="C125" s="33"/>
      <c r="D125" s="33"/>
      <c r="E125" s="37"/>
      <c r="F125" s="37"/>
      <c r="H125" s="33"/>
      <c r="I125" s="34"/>
    </row>
  </sheetData>
  <protectedRanges>
    <protectedRange sqref="A4 C4:F4 A5:F7 A9:F15 A18:F43" name="Range1"/>
    <protectedRange sqref="I4:I6 I13 I8:I9" name="Range2"/>
    <protectedRange sqref="K8:M22 B4" name="Khung Tim Kiem"/>
    <protectedRange sqref="K4:M4" name="Tim Kiem"/>
    <protectedRange sqref="I15" name="Range5"/>
  </protectedRanges>
  <mergeCells count="1">
    <mergeCell ref="K4:M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XuatSale">
                <anchor moveWithCells="1" sizeWithCells="1">
                  <from>
                    <xdr:col>7</xdr:col>
                    <xdr:colOff>276225</xdr:colOff>
                    <xdr:row>22</xdr:row>
                    <xdr:rowOff>66675</xdr:rowOff>
                  </from>
                  <to>
                    <xdr:col>8</xdr:col>
                    <xdr:colOff>695325</xdr:colOff>
                    <xdr:row>25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XoaBanLe">
                <anchor moveWithCells="1" sizeWithCells="1">
                  <from>
                    <xdr:col>7</xdr:col>
                    <xdr:colOff>419100</xdr:colOff>
                    <xdr:row>0</xdr:row>
                    <xdr:rowOff>114300</xdr:rowOff>
                  </from>
                  <to>
                    <xdr:col>8</xdr:col>
                    <xdr:colOff>523875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TimKiemTheoTen">
                <anchor moveWithCells="1" sizeWithCells="1">
                  <from>
                    <xdr:col>13</xdr:col>
                    <xdr:colOff>66675</xdr:colOff>
                    <xdr:row>2</xdr:row>
                    <xdr:rowOff>66675</xdr:rowOff>
                  </from>
                  <to>
                    <xdr:col>14</xdr:col>
                    <xdr:colOff>190500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:Q445"/>
  <sheetViews>
    <sheetView topLeftCell="A372" zoomScale="120" zoomScaleNormal="120" zoomScalePageLayoutView="120" workbookViewId="0">
      <selection activeCell="B397" sqref="B397"/>
    </sheetView>
  </sheetViews>
  <sheetFormatPr defaultColWidth="8.85546875" defaultRowHeight="12.75"/>
  <cols>
    <col min="1" max="1" width="6.7109375" style="43" customWidth="1"/>
    <col min="2" max="2" width="7" style="43" customWidth="1"/>
    <col min="3" max="3" width="12.7109375" style="52" customWidth="1"/>
    <col min="4" max="4" width="10.28515625" style="93" customWidth="1"/>
    <col min="5" max="5" width="7.28515625" style="88" customWidth="1"/>
    <col min="6" max="6" width="8.42578125" style="80" customWidth="1"/>
    <col min="7" max="7" width="27.42578125" customWidth="1"/>
    <col min="8" max="8" width="5.42578125" style="67" customWidth="1"/>
    <col min="9" max="9" width="10.42578125" customWidth="1"/>
    <col min="10" max="10" width="10.85546875" customWidth="1"/>
    <col min="11" max="11" width="16.140625" style="41" customWidth="1"/>
    <col min="12" max="12" width="11.28515625" style="41" customWidth="1"/>
    <col min="13" max="13" width="12.85546875" style="41" customWidth="1"/>
    <col min="14" max="14" width="24.5703125" style="40" customWidth="1"/>
    <col min="15" max="15" width="22.140625" style="40" customWidth="1"/>
    <col min="17" max="17" width="13.42578125" style="43" customWidth="1"/>
  </cols>
  <sheetData>
    <row r="1" spans="1:17">
      <c r="A1" s="94" t="s">
        <v>4</v>
      </c>
      <c r="B1" s="95" t="s">
        <v>630</v>
      </c>
      <c r="C1" s="96" t="s">
        <v>632</v>
      </c>
      <c r="D1" s="95" t="s">
        <v>512</v>
      </c>
      <c r="E1" s="97" t="s">
        <v>633</v>
      </c>
      <c r="F1" s="98" t="s">
        <v>0</v>
      </c>
      <c r="G1" s="95" t="s">
        <v>515</v>
      </c>
      <c r="H1" s="95" t="s">
        <v>634</v>
      </c>
      <c r="I1" s="99" t="s">
        <v>18</v>
      </c>
      <c r="J1" s="99" t="s">
        <v>19</v>
      </c>
      <c r="K1" s="99" t="s">
        <v>516</v>
      </c>
      <c r="L1" s="100" t="s">
        <v>5</v>
      </c>
      <c r="M1" s="100" t="s">
        <v>517</v>
      </c>
      <c r="N1" s="101" t="s">
        <v>513</v>
      </c>
      <c r="O1" s="160" t="s">
        <v>779</v>
      </c>
      <c r="Q1"/>
    </row>
    <row r="2" spans="1:17">
      <c r="A2" s="91" t="s">
        <v>640</v>
      </c>
      <c r="B2" s="81" t="s">
        <v>643</v>
      </c>
      <c r="C2" s="81" t="s">
        <v>643</v>
      </c>
      <c r="D2" s="82" t="s">
        <v>643</v>
      </c>
      <c r="E2" s="89">
        <v>0</v>
      </c>
      <c r="F2" s="87"/>
      <c r="G2" s="84"/>
      <c r="H2" s="83"/>
      <c r="I2" s="85"/>
      <c r="J2" s="85"/>
      <c r="K2" s="85"/>
      <c r="L2" s="86"/>
      <c r="M2" s="86"/>
      <c r="N2" s="92"/>
      <c r="O2" s="41"/>
      <c r="Q2"/>
    </row>
    <row r="3" spans="1:17">
      <c r="A3" s="116" t="s">
        <v>640</v>
      </c>
      <c r="B3" s="117" t="s">
        <v>643</v>
      </c>
      <c r="C3" s="117" t="s">
        <v>643</v>
      </c>
      <c r="D3" s="118" t="s">
        <v>643</v>
      </c>
      <c r="E3" s="119">
        <v>0</v>
      </c>
      <c r="F3" s="120" t="s">
        <v>641</v>
      </c>
      <c r="G3" s="121" t="s">
        <v>265</v>
      </c>
      <c r="H3" s="121">
        <v>1</v>
      </c>
      <c r="I3" s="122">
        <v>10000</v>
      </c>
      <c r="J3" s="122">
        <v>10000</v>
      </c>
      <c r="K3" s="122"/>
      <c r="L3" s="123"/>
      <c r="M3" s="123"/>
      <c r="N3" s="124"/>
      <c r="O3" s="41"/>
    </row>
    <row r="4" spans="1:17">
      <c r="A4" s="116" t="s">
        <v>640</v>
      </c>
      <c r="B4" s="117" t="s">
        <v>643</v>
      </c>
      <c r="C4" s="117" t="s">
        <v>643</v>
      </c>
      <c r="D4" s="118" t="s">
        <v>643</v>
      </c>
      <c r="E4" s="119">
        <v>0</v>
      </c>
      <c r="F4" s="120"/>
      <c r="G4" s="121"/>
      <c r="H4" s="121"/>
      <c r="I4" s="122"/>
      <c r="J4" s="122"/>
      <c r="K4" s="122">
        <v>10000</v>
      </c>
      <c r="L4" s="123">
        <v>2000</v>
      </c>
      <c r="M4" s="125">
        <v>8000</v>
      </c>
      <c r="N4" s="126"/>
      <c r="O4" s="41"/>
    </row>
    <row r="5" spans="1:17">
      <c r="A5" s="130">
        <v>1</v>
      </c>
      <c r="B5" s="130" t="s">
        <v>679</v>
      </c>
      <c r="C5" s="131" t="s">
        <v>683</v>
      </c>
      <c r="D5" s="132" t="s">
        <v>680</v>
      </c>
      <c r="E5" s="133">
        <v>1</v>
      </c>
      <c r="F5" s="134"/>
      <c r="G5" s="135"/>
      <c r="H5" s="136"/>
      <c r="I5" s="135"/>
      <c r="J5" s="135"/>
      <c r="K5" s="137"/>
      <c r="L5" s="137"/>
      <c r="M5" s="137"/>
      <c r="N5" s="138"/>
      <c r="O5" s="41"/>
    </row>
    <row r="6" spans="1:17">
      <c r="A6" s="43">
        <v>1</v>
      </c>
      <c r="B6" s="43" t="s">
        <v>679</v>
      </c>
      <c r="C6" s="52" t="s">
        <v>683</v>
      </c>
      <c r="D6" s="93" t="s">
        <v>680</v>
      </c>
      <c r="E6" s="88">
        <v>1</v>
      </c>
      <c r="F6" s="80" t="s">
        <v>681</v>
      </c>
      <c r="G6" t="s">
        <v>682</v>
      </c>
      <c r="H6" s="67">
        <v>1</v>
      </c>
      <c r="I6">
        <v>195000</v>
      </c>
      <c r="J6">
        <v>195000</v>
      </c>
      <c r="O6" s="41"/>
    </row>
    <row r="7" spans="1:17">
      <c r="A7" s="43">
        <v>1</v>
      </c>
      <c r="B7" s="43" t="s">
        <v>679</v>
      </c>
      <c r="C7" s="52" t="s">
        <v>683</v>
      </c>
      <c r="D7" s="93" t="s">
        <v>680</v>
      </c>
      <c r="E7" s="88">
        <v>1</v>
      </c>
      <c r="K7" s="41">
        <v>195000</v>
      </c>
      <c r="M7" s="41">
        <v>195000</v>
      </c>
      <c r="O7" s="41"/>
    </row>
    <row r="8" spans="1:17">
      <c r="A8" s="130">
        <v>2</v>
      </c>
      <c r="B8" s="130" t="s">
        <v>679</v>
      </c>
      <c r="C8" s="131" t="s">
        <v>684</v>
      </c>
      <c r="D8" s="132" t="s">
        <v>680</v>
      </c>
      <c r="E8" s="133">
        <v>1</v>
      </c>
      <c r="F8" s="134"/>
      <c r="G8" s="135"/>
      <c r="H8" s="136"/>
      <c r="I8" s="135"/>
      <c r="J8" s="135"/>
      <c r="K8" s="137"/>
      <c r="L8" s="137"/>
      <c r="M8" s="137"/>
      <c r="N8" s="138"/>
      <c r="O8" s="41"/>
    </row>
    <row r="9" spans="1:17">
      <c r="A9" s="43">
        <v>2</v>
      </c>
      <c r="B9" s="43" t="s">
        <v>679</v>
      </c>
      <c r="C9" s="52" t="s">
        <v>684</v>
      </c>
      <c r="D9" s="93" t="s">
        <v>680</v>
      </c>
      <c r="E9" s="88">
        <v>1</v>
      </c>
      <c r="F9" s="80" t="s">
        <v>671</v>
      </c>
      <c r="G9" t="s">
        <v>656</v>
      </c>
      <c r="H9" s="67">
        <v>1</v>
      </c>
      <c r="I9">
        <v>98000</v>
      </c>
      <c r="J9">
        <v>98000</v>
      </c>
      <c r="O9" s="41"/>
    </row>
    <row r="10" spans="1:17">
      <c r="A10" s="43">
        <v>2</v>
      </c>
      <c r="B10" s="43" t="s">
        <v>679</v>
      </c>
      <c r="C10" s="52" t="s">
        <v>684</v>
      </c>
      <c r="D10" s="93" t="s">
        <v>680</v>
      </c>
      <c r="E10" s="88">
        <v>1</v>
      </c>
      <c r="F10" s="80" t="s">
        <v>674</v>
      </c>
      <c r="G10" t="s">
        <v>685</v>
      </c>
      <c r="H10" s="67">
        <v>1</v>
      </c>
      <c r="I10">
        <v>115000</v>
      </c>
      <c r="J10">
        <v>115000</v>
      </c>
      <c r="O10" s="41"/>
    </row>
    <row r="11" spans="1:17">
      <c r="A11" s="43">
        <v>2</v>
      </c>
      <c r="B11" s="43" t="s">
        <v>679</v>
      </c>
      <c r="C11" s="52" t="s">
        <v>684</v>
      </c>
      <c r="D11" s="93" t="s">
        <v>680</v>
      </c>
      <c r="E11" s="88">
        <v>1</v>
      </c>
      <c r="K11" s="41">
        <v>213000</v>
      </c>
      <c r="L11" s="41">
        <v>0</v>
      </c>
      <c r="M11" s="41">
        <v>213000</v>
      </c>
      <c r="N11" s="40" t="s">
        <v>686</v>
      </c>
      <c r="O11" s="41"/>
    </row>
    <row r="12" spans="1:17">
      <c r="A12" s="130">
        <v>2</v>
      </c>
      <c r="B12" s="130" t="s">
        <v>679</v>
      </c>
      <c r="C12" s="131" t="s">
        <v>684</v>
      </c>
      <c r="D12" s="132" t="s">
        <v>680</v>
      </c>
      <c r="E12" s="133">
        <v>2</v>
      </c>
      <c r="F12" s="134"/>
      <c r="G12" s="135"/>
      <c r="H12" s="136"/>
      <c r="I12" s="135"/>
      <c r="J12" s="135"/>
      <c r="K12" s="137"/>
      <c r="L12" s="137"/>
      <c r="M12" s="137"/>
      <c r="N12" s="138"/>
      <c r="O12" s="41"/>
    </row>
    <row r="13" spans="1:17">
      <c r="A13" s="43">
        <v>2</v>
      </c>
      <c r="B13" s="43" t="s">
        <v>679</v>
      </c>
      <c r="C13" s="52" t="s">
        <v>684</v>
      </c>
      <c r="D13" s="93" t="s">
        <v>680</v>
      </c>
      <c r="E13" s="88">
        <v>2</v>
      </c>
      <c r="F13" s="80" t="s">
        <v>678</v>
      </c>
      <c r="G13" t="s">
        <v>682</v>
      </c>
      <c r="H13" s="67">
        <v>2</v>
      </c>
      <c r="I13">
        <v>195000</v>
      </c>
      <c r="J13">
        <v>390000</v>
      </c>
      <c r="O13" s="41"/>
    </row>
    <row r="14" spans="1:17">
      <c r="A14" s="43">
        <v>2</v>
      </c>
      <c r="B14" s="43" t="s">
        <v>679</v>
      </c>
      <c r="C14" s="52" t="s">
        <v>684</v>
      </c>
      <c r="D14" s="93" t="s">
        <v>680</v>
      </c>
      <c r="E14" s="88">
        <v>2</v>
      </c>
      <c r="K14" s="41">
        <v>390000</v>
      </c>
      <c r="M14" s="41">
        <v>390000</v>
      </c>
      <c r="N14" s="40" t="s">
        <v>687</v>
      </c>
      <c r="O14" s="41"/>
    </row>
    <row r="15" spans="1:17">
      <c r="A15" s="130">
        <v>2</v>
      </c>
      <c r="B15" s="130" t="s">
        <v>688</v>
      </c>
      <c r="C15" s="131" t="s">
        <v>684</v>
      </c>
      <c r="D15" s="132" t="s">
        <v>680</v>
      </c>
      <c r="E15" s="133">
        <v>1</v>
      </c>
      <c r="F15" s="134"/>
      <c r="G15" s="135"/>
      <c r="H15" s="136"/>
      <c r="I15" s="135"/>
      <c r="J15" s="135"/>
      <c r="K15" s="137"/>
      <c r="L15" s="137"/>
      <c r="M15" s="137"/>
      <c r="N15" s="138"/>
      <c r="O15" s="41"/>
    </row>
    <row r="16" spans="1:17">
      <c r="A16" s="43">
        <v>2</v>
      </c>
      <c r="B16" s="43" t="s">
        <v>688</v>
      </c>
      <c r="C16" s="52" t="s">
        <v>684</v>
      </c>
      <c r="D16" s="93" t="s">
        <v>680</v>
      </c>
      <c r="E16" s="88">
        <v>1</v>
      </c>
      <c r="F16" s="80" t="s">
        <v>672</v>
      </c>
      <c r="G16" t="s">
        <v>657</v>
      </c>
      <c r="H16" s="67">
        <v>1</v>
      </c>
      <c r="I16">
        <v>98000</v>
      </c>
      <c r="J16">
        <v>98000</v>
      </c>
      <c r="O16" s="41"/>
    </row>
    <row r="17" spans="1:15">
      <c r="A17" s="43">
        <v>2</v>
      </c>
      <c r="B17" s="43" t="s">
        <v>688</v>
      </c>
      <c r="C17" s="52" t="s">
        <v>684</v>
      </c>
      <c r="D17" s="93" t="s">
        <v>680</v>
      </c>
      <c r="E17" s="88">
        <v>1</v>
      </c>
      <c r="K17" s="41">
        <v>98000</v>
      </c>
      <c r="M17" s="41">
        <v>98000</v>
      </c>
      <c r="O17" s="41"/>
    </row>
    <row r="18" spans="1:15">
      <c r="A18" s="130">
        <v>2</v>
      </c>
      <c r="B18" s="130" t="s">
        <v>688</v>
      </c>
      <c r="C18" s="131" t="s">
        <v>684</v>
      </c>
      <c r="D18" s="132" t="s">
        <v>680</v>
      </c>
      <c r="E18" s="133">
        <v>2</v>
      </c>
      <c r="F18" s="134"/>
      <c r="G18" s="135"/>
      <c r="H18" s="136"/>
      <c r="I18" s="135"/>
      <c r="J18" s="135"/>
      <c r="K18" s="137"/>
      <c r="L18" s="137"/>
      <c r="M18" s="137"/>
      <c r="N18" s="138"/>
      <c r="O18" s="41"/>
    </row>
    <row r="19" spans="1:15">
      <c r="A19" s="43">
        <v>2</v>
      </c>
      <c r="B19" s="43" t="s">
        <v>688</v>
      </c>
      <c r="C19" s="52" t="s">
        <v>684</v>
      </c>
      <c r="D19" s="93" t="s">
        <v>680</v>
      </c>
      <c r="E19" s="88">
        <v>2</v>
      </c>
      <c r="F19" s="80" t="s">
        <v>689</v>
      </c>
      <c r="G19" t="s">
        <v>690</v>
      </c>
      <c r="H19" s="67">
        <v>1</v>
      </c>
      <c r="I19">
        <v>115000</v>
      </c>
      <c r="J19">
        <v>115000</v>
      </c>
      <c r="O19" s="41"/>
    </row>
    <row r="20" spans="1:15">
      <c r="A20" s="43">
        <v>2</v>
      </c>
      <c r="B20" s="43" t="s">
        <v>688</v>
      </c>
      <c r="C20" s="52" t="s">
        <v>684</v>
      </c>
      <c r="D20" s="93" t="s">
        <v>680</v>
      </c>
      <c r="E20" s="88">
        <v>2</v>
      </c>
      <c r="F20" s="80" t="s">
        <v>666</v>
      </c>
      <c r="G20" t="s">
        <v>651</v>
      </c>
      <c r="H20" s="67">
        <v>1</v>
      </c>
      <c r="I20">
        <v>98000</v>
      </c>
      <c r="J20">
        <v>98000</v>
      </c>
      <c r="O20" s="41"/>
    </row>
    <row r="21" spans="1:15">
      <c r="A21" s="43">
        <v>2</v>
      </c>
      <c r="B21" s="43" t="s">
        <v>688</v>
      </c>
      <c r="C21" s="52" t="s">
        <v>684</v>
      </c>
      <c r="D21" s="93" t="s">
        <v>680</v>
      </c>
      <c r="E21" s="88">
        <v>2</v>
      </c>
      <c r="K21" s="41">
        <v>213000</v>
      </c>
      <c r="M21" s="41">
        <v>213000</v>
      </c>
      <c r="N21" s="40" t="s">
        <v>691</v>
      </c>
      <c r="O21" s="41"/>
    </row>
    <row r="22" spans="1:15">
      <c r="A22" s="130">
        <v>5</v>
      </c>
      <c r="B22" s="130" t="s">
        <v>679</v>
      </c>
      <c r="C22" s="131" t="s">
        <v>716</v>
      </c>
      <c r="D22" s="132" t="s">
        <v>680</v>
      </c>
      <c r="E22" s="133">
        <v>1</v>
      </c>
      <c r="F22" s="134"/>
      <c r="G22" s="135"/>
      <c r="H22" s="136"/>
      <c r="I22" s="135"/>
      <c r="J22" s="135"/>
      <c r="K22" s="137"/>
      <c r="L22" s="137"/>
      <c r="M22" s="137"/>
      <c r="N22" s="138"/>
      <c r="O22" s="41"/>
    </row>
    <row r="23" spans="1:15">
      <c r="A23" s="43">
        <v>5</v>
      </c>
      <c r="B23" s="43" t="s">
        <v>679</v>
      </c>
      <c r="C23" s="52" t="s">
        <v>716</v>
      </c>
      <c r="D23" s="93" t="s">
        <v>680</v>
      </c>
      <c r="E23" s="88">
        <v>1</v>
      </c>
      <c r="F23" s="80" t="s">
        <v>719</v>
      </c>
      <c r="G23" t="s">
        <v>651</v>
      </c>
      <c r="H23" s="67">
        <v>1</v>
      </c>
      <c r="I23">
        <v>98000</v>
      </c>
      <c r="J23">
        <v>98000</v>
      </c>
      <c r="O23" s="41"/>
    </row>
    <row r="24" spans="1:15">
      <c r="A24" s="43">
        <v>5</v>
      </c>
      <c r="B24" s="43" t="s">
        <v>679</v>
      </c>
      <c r="C24" s="52" t="s">
        <v>716</v>
      </c>
      <c r="D24" s="93" t="s">
        <v>680</v>
      </c>
      <c r="E24" s="88">
        <v>1</v>
      </c>
      <c r="K24" s="41">
        <v>98000</v>
      </c>
      <c r="M24" s="41">
        <v>98000</v>
      </c>
      <c r="O24" s="41"/>
    </row>
    <row r="25" spans="1:15">
      <c r="A25" s="130">
        <v>5</v>
      </c>
      <c r="B25" s="130" t="s">
        <v>679</v>
      </c>
      <c r="C25" s="131" t="s">
        <v>716</v>
      </c>
      <c r="D25" s="132" t="s">
        <v>680</v>
      </c>
      <c r="E25" s="133">
        <v>2</v>
      </c>
      <c r="F25" s="134"/>
      <c r="G25" s="135"/>
      <c r="H25" s="136"/>
      <c r="I25" s="135"/>
      <c r="J25" s="135"/>
      <c r="K25" s="137"/>
      <c r="L25" s="137"/>
      <c r="M25" s="137"/>
      <c r="N25" s="138"/>
      <c r="O25" s="41"/>
    </row>
    <row r="26" spans="1:15">
      <c r="A26" s="43">
        <v>5</v>
      </c>
      <c r="B26" s="43" t="s">
        <v>679</v>
      </c>
      <c r="C26" s="52" t="s">
        <v>716</v>
      </c>
      <c r="D26" s="93" t="s">
        <v>680</v>
      </c>
      <c r="E26" s="88">
        <v>2</v>
      </c>
      <c r="F26" s="80" t="s">
        <v>720</v>
      </c>
      <c r="G26" t="s">
        <v>702</v>
      </c>
      <c r="H26" s="67">
        <v>1</v>
      </c>
      <c r="I26">
        <v>125000</v>
      </c>
      <c r="J26">
        <v>125000</v>
      </c>
      <c r="O26" s="41"/>
    </row>
    <row r="27" spans="1:15">
      <c r="A27" s="43">
        <v>5</v>
      </c>
      <c r="B27" s="43" t="s">
        <v>679</v>
      </c>
      <c r="C27" s="52" t="s">
        <v>716</v>
      </c>
      <c r="D27" s="93" t="s">
        <v>680</v>
      </c>
      <c r="E27" s="88">
        <v>2</v>
      </c>
      <c r="K27" s="41">
        <v>125000</v>
      </c>
      <c r="M27" s="41">
        <v>125000</v>
      </c>
      <c r="O27" s="41"/>
    </row>
    <row r="28" spans="1:15">
      <c r="A28" s="130">
        <v>5</v>
      </c>
      <c r="B28" s="130" t="s">
        <v>721</v>
      </c>
      <c r="C28" s="131" t="s">
        <v>716</v>
      </c>
      <c r="D28" s="132" t="s">
        <v>680</v>
      </c>
      <c r="E28" s="133">
        <v>1</v>
      </c>
      <c r="F28" s="134"/>
      <c r="G28" s="135"/>
      <c r="H28" s="136"/>
      <c r="I28" s="135"/>
      <c r="J28" s="135"/>
      <c r="K28" s="137"/>
      <c r="L28" s="137"/>
      <c r="M28" s="137"/>
      <c r="N28" s="138"/>
      <c r="O28" s="41"/>
    </row>
    <row r="29" spans="1:15">
      <c r="A29" s="43">
        <v>5</v>
      </c>
      <c r="B29" s="43" t="s">
        <v>721</v>
      </c>
      <c r="C29" s="52" t="s">
        <v>716</v>
      </c>
      <c r="D29" s="93" t="s">
        <v>680</v>
      </c>
      <c r="E29" s="88">
        <v>1</v>
      </c>
      <c r="F29" s="80" t="s">
        <v>681</v>
      </c>
      <c r="G29" t="s">
        <v>682</v>
      </c>
      <c r="H29" s="67">
        <v>1</v>
      </c>
      <c r="I29">
        <v>220000</v>
      </c>
      <c r="J29">
        <v>220000</v>
      </c>
      <c r="O29" s="41"/>
    </row>
    <row r="30" spans="1:15">
      <c r="A30" s="43">
        <v>5</v>
      </c>
      <c r="B30" s="43" t="s">
        <v>721</v>
      </c>
      <c r="C30" s="52" t="s">
        <v>716</v>
      </c>
      <c r="D30" s="93" t="s">
        <v>680</v>
      </c>
      <c r="E30" s="88">
        <v>1</v>
      </c>
      <c r="K30" s="41">
        <v>220000</v>
      </c>
      <c r="M30" s="41">
        <v>220000</v>
      </c>
      <c r="N30" s="40" t="s">
        <v>722</v>
      </c>
      <c r="O30" s="41"/>
    </row>
    <row r="31" spans="1:15">
      <c r="A31" s="130">
        <v>5</v>
      </c>
      <c r="B31" s="130" t="s">
        <v>721</v>
      </c>
      <c r="C31" s="131" t="s">
        <v>716</v>
      </c>
      <c r="D31" s="132" t="s">
        <v>680</v>
      </c>
      <c r="E31" s="133">
        <v>2</v>
      </c>
      <c r="F31" s="134"/>
      <c r="G31" s="135"/>
      <c r="H31" s="136"/>
      <c r="I31" s="135"/>
      <c r="J31" s="135"/>
      <c r="K31" s="137"/>
      <c r="L31" s="137"/>
      <c r="M31" s="137"/>
      <c r="N31" s="138"/>
      <c r="O31" s="41"/>
    </row>
    <row r="32" spans="1:15">
      <c r="A32" s="43">
        <v>5</v>
      </c>
      <c r="B32" s="43" t="s">
        <v>721</v>
      </c>
      <c r="C32" s="52" t="s">
        <v>716</v>
      </c>
      <c r="D32" s="93" t="s">
        <v>680</v>
      </c>
      <c r="E32" s="88">
        <v>2</v>
      </c>
      <c r="F32" s="80" t="s">
        <v>723</v>
      </c>
      <c r="G32" t="s">
        <v>724</v>
      </c>
      <c r="H32" s="67">
        <v>1</v>
      </c>
      <c r="I32">
        <v>115000</v>
      </c>
      <c r="J32">
        <v>115000</v>
      </c>
      <c r="O32" s="41"/>
    </row>
    <row r="33" spans="1:15">
      <c r="A33" s="43">
        <v>5</v>
      </c>
      <c r="B33" s="43" t="s">
        <v>721</v>
      </c>
      <c r="C33" s="52" t="s">
        <v>716</v>
      </c>
      <c r="D33" s="93" t="s">
        <v>680</v>
      </c>
      <c r="E33" s="88">
        <v>2</v>
      </c>
      <c r="F33" s="80" t="s">
        <v>719</v>
      </c>
      <c r="G33" t="s">
        <v>651</v>
      </c>
      <c r="H33" s="67">
        <v>1</v>
      </c>
      <c r="I33">
        <v>98000</v>
      </c>
      <c r="J33">
        <v>98000</v>
      </c>
      <c r="O33" s="41"/>
    </row>
    <row r="34" spans="1:15">
      <c r="A34" s="43">
        <v>5</v>
      </c>
      <c r="B34" s="43" t="s">
        <v>721</v>
      </c>
      <c r="C34" s="52" t="s">
        <v>716</v>
      </c>
      <c r="D34" s="93" t="s">
        <v>680</v>
      </c>
      <c r="E34" s="88">
        <v>2</v>
      </c>
      <c r="K34" s="41">
        <v>213000</v>
      </c>
      <c r="M34" s="41">
        <v>213000</v>
      </c>
      <c r="N34" s="40" t="s">
        <v>725</v>
      </c>
      <c r="O34" s="41"/>
    </row>
    <row r="35" spans="1:15">
      <c r="A35" s="130">
        <v>5</v>
      </c>
      <c r="B35" s="130" t="s">
        <v>721</v>
      </c>
      <c r="C35" s="131" t="s">
        <v>716</v>
      </c>
      <c r="D35" s="132" t="s">
        <v>680</v>
      </c>
      <c r="E35" s="133">
        <v>3</v>
      </c>
      <c r="F35" s="134"/>
      <c r="G35" s="135"/>
      <c r="H35" s="136"/>
      <c r="I35" s="135"/>
      <c r="J35" s="135"/>
      <c r="K35" s="137"/>
      <c r="L35" s="137"/>
      <c r="M35" s="137"/>
      <c r="N35" s="138"/>
      <c r="O35" s="41"/>
    </row>
    <row r="36" spans="1:15">
      <c r="A36" s="43">
        <v>5</v>
      </c>
      <c r="B36" s="43" t="s">
        <v>721</v>
      </c>
      <c r="C36" s="52" t="s">
        <v>716</v>
      </c>
      <c r="D36" s="93" t="s">
        <v>680</v>
      </c>
      <c r="E36" s="88">
        <v>3</v>
      </c>
      <c r="F36" s="80" t="s">
        <v>717</v>
      </c>
      <c r="G36" t="s">
        <v>718</v>
      </c>
      <c r="H36" s="67">
        <v>1</v>
      </c>
      <c r="I36">
        <v>115000</v>
      </c>
      <c r="J36">
        <v>115000</v>
      </c>
      <c r="O36" s="41"/>
    </row>
    <row r="37" spans="1:15">
      <c r="A37" s="43">
        <v>5</v>
      </c>
      <c r="B37" s="43" t="s">
        <v>721</v>
      </c>
      <c r="C37" s="52" t="s">
        <v>716</v>
      </c>
      <c r="D37" s="93" t="s">
        <v>680</v>
      </c>
      <c r="E37" s="88">
        <v>3</v>
      </c>
      <c r="K37" s="41">
        <v>115000</v>
      </c>
      <c r="M37" s="41">
        <v>115000</v>
      </c>
      <c r="O37" s="41"/>
    </row>
    <row r="38" spans="1:15">
      <c r="A38" s="130">
        <v>5</v>
      </c>
      <c r="B38" s="130" t="s">
        <v>721</v>
      </c>
      <c r="C38" s="131" t="s">
        <v>716</v>
      </c>
      <c r="D38" s="132" t="s">
        <v>680</v>
      </c>
      <c r="E38" s="133">
        <v>4</v>
      </c>
      <c r="F38" s="134"/>
      <c r="G38" s="135"/>
      <c r="H38" s="136"/>
      <c r="I38" s="135"/>
      <c r="J38" s="135"/>
      <c r="K38" s="137"/>
      <c r="L38" s="137"/>
      <c r="M38" s="137"/>
      <c r="N38" s="138"/>
      <c r="O38" s="41"/>
    </row>
    <row r="39" spans="1:15">
      <c r="A39" s="43">
        <v>5</v>
      </c>
      <c r="B39" s="43" t="s">
        <v>721</v>
      </c>
      <c r="C39" s="52" t="s">
        <v>716</v>
      </c>
      <c r="D39" s="93" t="s">
        <v>680</v>
      </c>
      <c r="E39" s="88">
        <v>4</v>
      </c>
      <c r="F39" s="80" t="s">
        <v>719</v>
      </c>
      <c r="G39" t="s">
        <v>651</v>
      </c>
      <c r="H39" s="67">
        <v>2</v>
      </c>
      <c r="I39">
        <v>98000</v>
      </c>
      <c r="J39">
        <v>196000</v>
      </c>
      <c r="O39" s="41"/>
    </row>
    <row r="40" spans="1:15">
      <c r="A40" s="43">
        <v>5</v>
      </c>
      <c r="B40" s="43" t="s">
        <v>721</v>
      </c>
      <c r="C40" s="52" t="s">
        <v>716</v>
      </c>
      <c r="D40" s="93" t="s">
        <v>680</v>
      </c>
      <c r="E40" s="88">
        <v>4</v>
      </c>
      <c r="K40" s="41">
        <v>196000</v>
      </c>
      <c r="M40" s="41">
        <v>196000</v>
      </c>
      <c r="N40" s="40" t="s">
        <v>726</v>
      </c>
      <c r="O40" s="41"/>
    </row>
    <row r="41" spans="1:15">
      <c r="A41" s="130">
        <v>5</v>
      </c>
      <c r="B41" s="130" t="s">
        <v>721</v>
      </c>
      <c r="C41" s="131" t="s">
        <v>716</v>
      </c>
      <c r="D41" s="132" t="s">
        <v>680</v>
      </c>
      <c r="E41" s="133">
        <v>5</v>
      </c>
      <c r="F41" s="134"/>
      <c r="G41" s="135"/>
      <c r="H41" s="136"/>
      <c r="I41" s="135"/>
      <c r="J41" s="135"/>
      <c r="K41" s="137"/>
      <c r="L41" s="137"/>
      <c r="M41" s="137"/>
      <c r="N41" s="138"/>
      <c r="O41" s="41"/>
    </row>
    <row r="42" spans="1:15">
      <c r="A42" s="43">
        <v>5</v>
      </c>
      <c r="B42" s="43" t="s">
        <v>721</v>
      </c>
      <c r="C42" s="52" t="s">
        <v>716</v>
      </c>
      <c r="D42" s="93" t="s">
        <v>680</v>
      </c>
      <c r="E42" s="88">
        <v>5</v>
      </c>
      <c r="F42" s="80" t="s">
        <v>727</v>
      </c>
      <c r="G42" t="s">
        <v>650</v>
      </c>
      <c r="H42" s="67">
        <v>1</v>
      </c>
      <c r="I42">
        <v>98000</v>
      </c>
      <c r="J42">
        <v>98000</v>
      </c>
      <c r="O42" s="41"/>
    </row>
    <row r="43" spans="1:15">
      <c r="A43" s="43">
        <v>5</v>
      </c>
      <c r="B43" s="43" t="s">
        <v>721</v>
      </c>
      <c r="C43" s="52" t="s">
        <v>716</v>
      </c>
      <c r="D43" s="93" t="s">
        <v>680</v>
      </c>
      <c r="E43" s="88">
        <v>5</v>
      </c>
      <c r="K43" s="41">
        <v>98000</v>
      </c>
      <c r="M43" s="41">
        <v>98000</v>
      </c>
      <c r="N43" s="40" t="s">
        <v>728</v>
      </c>
      <c r="O43" s="41"/>
    </row>
    <row r="44" spans="1:15">
      <c r="A44" s="130">
        <v>5</v>
      </c>
      <c r="B44" s="130" t="s">
        <v>721</v>
      </c>
      <c r="C44" s="131" t="s">
        <v>716</v>
      </c>
      <c r="D44" s="132" t="s">
        <v>680</v>
      </c>
      <c r="E44" s="133">
        <v>6</v>
      </c>
      <c r="F44" s="134"/>
      <c r="G44" s="135"/>
      <c r="H44" s="136"/>
      <c r="I44" s="135"/>
      <c r="J44" s="135"/>
      <c r="K44" s="137"/>
      <c r="L44" s="137"/>
      <c r="M44" s="137"/>
      <c r="N44" s="138"/>
      <c r="O44" s="41"/>
    </row>
    <row r="45" spans="1:15">
      <c r="A45" s="43">
        <v>5</v>
      </c>
      <c r="B45" s="43" t="s">
        <v>721</v>
      </c>
      <c r="C45" s="52" t="s">
        <v>716</v>
      </c>
      <c r="D45" s="93" t="s">
        <v>680</v>
      </c>
      <c r="E45" s="88">
        <v>6</v>
      </c>
      <c r="F45" s="80" t="s">
        <v>717</v>
      </c>
      <c r="G45" t="s">
        <v>718</v>
      </c>
      <c r="H45" s="67">
        <v>1</v>
      </c>
      <c r="I45">
        <v>98000</v>
      </c>
      <c r="J45">
        <v>98000</v>
      </c>
      <c r="O45" s="41"/>
    </row>
    <row r="46" spans="1:15">
      <c r="A46" s="43">
        <v>5</v>
      </c>
      <c r="B46" s="43" t="s">
        <v>721</v>
      </c>
      <c r="C46" s="52" t="s">
        <v>716</v>
      </c>
      <c r="D46" s="93" t="s">
        <v>680</v>
      </c>
      <c r="E46" s="88">
        <v>6</v>
      </c>
      <c r="F46" s="80" t="s">
        <v>719</v>
      </c>
      <c r="G46" t="s">
        <v>651</v>
      </c>
      <c r="H46" s="67">
        <v>1</v>
      </c>
      <c r="I46">
        <v>98000</v>
      </c>
      <c r="J46">
        <v>98000</v>
      </c>
      <c r="O46" s="41"/>
    </row>
    <row r="47" spans="1:15">
      <c r="A47" s="43">
        <v>5</v>
      </c>
      <c r="B47" s="43" t="s">
        <v>721</v>
      </c>
      <c r="C47" s="52" t="s">
        <v>716</v>
      </c>
      <c r="D47" s="93" t="s">
        <v>680</v>
      </c>
      <c r="E47" s="88">
        <v>6</v>
      </c>
      <c r="K47" s="41">
        <v>196000</v>
      </c>
      <c r="M47" s="41">
        <v>196000</v>
      </c>
      <c r="N47" s="40" t="s">
        <v>726</v>
      </c>
      <c r="O47" s="41"/>
    </row>
    <row r="48" spans="1:15">
      <c r="A48" s="130">
        <v>5</v>
      </c>
      <c r="B48" s="130" t="s">
        <v>721</v>
      </c>
      <c r="C48" s="131" t="s">
        <v>716</v>
      </c>
      <c r="D48" s="132" t="s">
        <v>680</v>
      </c>
      <c r="E48" s="133">
        <v>7</v>
      </c>
      <c r="F48" s="134"/>
      <c r="G48" s="135"/>
      <c r="H48" s="136"/>
      <c r="I48" s="135"/>
      <c r="J48" s="135"/>
      <c r="K48" s="137"/>
      <c r="L48" s="137"/>
      <c r="M48" s="137"/>
      <c r="N48" s="138"/>
      <c r="O48" s="41"/>
    </row>
    <row r="49" spans="1:15">
      <c r="A49" s="43">
        <v>5</v>
      </c>
      <c r="B49" s="43" t="s">
        <v>721</v>
      </c>
      <c r="C49" s="52" t="s">
        <v>716</v>
      </c>
      <c r="D49" s="93" t="s">
        <v>680</v>
      </c>
      <c r="E49" s="88">
        <v>7</v>
      </c>
      <c r="F49" s="80" t="s">
        <v>717</v>
      </c>
      <c r="G49" t="s">
        <v>718</v>
      </c>
      <c r="H49" s="67">
        <v>1</v>
      </c>
      <c r="I49">
        <v>115000</v>
      </c>
      <c r="J49">
        <v>115000</v>
      </c>
      <c r="O49" s="41"/>
    </row>
    <row r="50" spans="1:15">
      <c r="A50" s="43">
        <v>5</v>
      </c>
      <c r="B50" s="43" t="s">
        <v>721</v>
      </c>
      <c r="C50" s="52" t="s">
        <v>716</v>
      </c>
      <c r="D50" s="93" t="s">
        <v>680</v>
      </c>
      <c r="E50" s="88">
        <v>7</v>
      </c>
      <c r="K50" s="41">
        <v>115000</v>
      </c>
      <c r="M50" s="41">
        <v>115000</v>
      </c>
      <c r="O50" s="41"/>
    </row>
    <row r="51" spans="1:15">
      <c r="A51" s="130">
        <v>5</v>
      </c>
      <c r="B51" s="130" t="s">
        <v>721</v>
      </c>
      <c r="C51" s="131" t="s">
        <v>716</v>
      </c>
      <c r="D51" s="132" t="s">
        <v>680</v>
      </c>
      <c r="E51" s="133">
        <v>8</v>
      </c>
      <c r="F51" s="134"/>
      <c r="G51" s="135"/>
      <c r="H51" s="136"/>
      <c r="I51" s="135"/>
      <c r="J51" s="135"/>
      <c r="K51" s="137"/>
      <c r="L51" s="137"/>
      <c r="M51" s="137"/>
      <c r="N51" s="138"/>
      <c r="O51" s="41"/>
    </row>
    <row r="52" spans="1:15">
      <c r="A52" s="43">
        <v>5</v>
      </c>
      <c r="B52" s="43" t="s">
        <v>721</v>
      </c>
      <c r="C52" s="52" t="s">
        <v>716</v>
      </c>
      <c r="D52" s="93" t="s">
        <v>680</v>
      </c>
      <c r="E52" s="88">
        <v>8</v>
      </c>
      <c r="F52" s="80" t="s">
        <v>719</v>
      </c>
      <c r="G52" t="s">
        <v>651</v>
      </c>
      <c r="H52" s="67">
        <v>2</v>
      </c>
      <c r="I52">
        <v>98000</v>
      </c>
      <c r="J52">
        <v>196000</v>
      </c>
      <c r="O52" s="41"/>
    </row>
    <row r="53" spans="1:15">
      <c r="A53" s="43">
        <v>5</v>
      </c>
      <c r="B53" s="43" t="s">
        <v>721</v>
      </c>
      <c r="C53" s="52" t="s">
        <v>716</v>
      </c>
      <c r="D53" s="93" t="s">
        <v>680</v>
      </c>
      <c r="E53" s="88">
        <v>8</v>
      </c>
      <c r="K53" s="41">
        <v>196000</v>
      </c>
      <c r="M53" s="41">
        <v>196000</v>
      </c>
      <c r="O53" s="41"/>
    </row>
    <row r="54" spans="1:15">
      <c r="A54" s="130">
        <v>5</v>
      </c>
      <c r="B54" s="130" t="s">
        <v>721</v>
      </c>
      <c r="C54" s="131" t="s">
        <v>716</v>
      </c>
      <c r="D54" s="132" t="s">
        <v>680</v>
      </c>
      <c r="E54" s="133">
        <v>9</v>
      </c>
      <c r="F54" s="134"/>
      <c r="G54" s="135"/>
      <c r="H54" s="136"/>
      <c r="I54" s="135"/>
      <c r="J54" s="135"/>
      <c r="K54" s="137"/>
      <c r="L54" s="137"/>
      <c r="M54" s="137"/>
      <c r="N54" s="138"/>
      <c r="O54" s="41"/>
    </row>
    <row r="55" spans="1:15">
      <c r="A55" s="43">
        <v>5</v>
      </c>
      <c r="B55" s="43" t="s">
        <v>721</v>
      </c>
      <c r="C55" s="52" t="s">
        <v>716</v>
      </c>
      <c r="D55" s="93" t="s">
        <v>680</v>
      </c>
      <c r="E55" s="88">
        <v>9</v>
      </c>
      <c r="F55" s="80" t="s">
        <v>689</v>
      </c>
      <c r="G55" t="s">
        <v>690</v>
      </c>
      <c r="H55" s="67">
        <v>1</v>
      </c>
      <c r="I55">
        <v>115000</v>
      </c>
      <c r="J55">
        <v>115000</v>
      </c>
      <c r="O55" s="41"/>
    </row>
    <row r="56" spans="1:15">
      <c r="A56" s="43">
        <v>5</v>
      </c>
      <c r="B56" s="43" t="s">
        <v>721</v>
      </c>
      <c r="C56" s="52" t="s">
        <v>716</v>
      </c>
      <c r="D56" s="93" t="s">
        <v>680</v>
      </c>
      <c r="E56" s="88">
        <v>9</v>
      </c>
      <c r="F56" s="80" t="s">
        <v>729</v>
      </c>
      <c r="G56" t="s">
        <v>730</v>
      </c>
      <c r="H56" s="67">
        <v>1</v>
      </c>
      <c r="I56">
        <v>85000</v>
      </c>
      <c r="J56">
        <v>85000</v>
      </c>
      <c r="O56" s="41"/>
    </row>
    <row r="57" spans="1:15">
      <c r="A57" s="43">
        <v>5</v>
      </c>
      <c r="B57" s="43" t="s">
        <v>721</v>
      </c>
      <c r="C57" s="52" t="s">
        <v>716</v>
      </c>
      <c r="D57" s="93" t="s">
        <v>680</v>
      </c>
      <c r="E57" s="88">
        <v>9</v>
      </c>
      <c r="K57" s="41">
        <v>200000</v>
      </c>
      <c r="M57" s="41">
        <v>200000</v>
      </c>
      <c r="N57" s="40" t="s">
        <v>731</v>
      </c>
      <c r="O57" s="41"/>
    </row>
    <row r="58" spans="1:15">
      <c r="A58" s="130">
        <v>5</v>
      </c>
      <c r="B58" s="130" t="s">
        <v>721</v>
      </c>
      <c r="C58" s="131" t="s">
        <v>716</v>
      </c>
      <c r="D58" s="132" t="s">
        <v>680</v>
      </c>
      <c r="E58" s="133">
        <v>10</v>
      </c>
      <c r="F58" s="134"/>
      <c r="G58" s="135"/>
      <c r="H58" s="136"/>
      <c r="I58" s="135"/>
      <c r="J58" s="135"/>
      <c r="K58" s="137"/>
      <c r="L58" s="137"/>
      <c r="M58" s="137"/>
      <c r="N58" s="138"/>
      <c r="O58" s="41"/>
    </row>
    <row r="59" spans="1:15">
      <c r="A59" s="43">
        <v>5</v>
      </c>
      <c r="B59" s="43" t="s">
        <v>721</v>
      </c>
      <c r="C59" s="52" t="s">
        <v>716</v>
      </c>
      <c r="D59" s="93" t="s">
        <v>680</v>
      </c>
      <c r="E59" s="88">
        <v>10</v>
      </c>
      <c r="F59" s="80" t="s">
        <v>732</v>
      </c>
      <c r="G59" t="s">
        <v>656</v>
      </c>
      <c r="H59" s="67">
        <v>1</v>
      </c>
      <c r="I59">
        <v>98000</v>
      </c>
      <c r="J59">
        <v>98000</v>
      </c>
      <c r="O59" s="41"/>
    </row>
    <row r="60" spans="1:15">
      <c r="A60" s="43">
        <v>5</v>
      </c>
      <c r="B60" s="43" t="s">
        <v>721</v>
      </c>
      <c r="C60" s="52" t="s">
        <v>716</v>
      </c>
      <c r="D60" s="93" t="s">
        <v>680</v>
      </c>
      <c r="E60" s="88">
        <v>10</v>
      </c>
      <c r="F60" s="80" t="s">
        <v>717</v>
      </c>
      <c r="G60" t="s">
        <v>718</v>
      </c>
      <c r="H60" s="67">
        <v>1</v>
      </c>
      <c r="I60">
        <v>115000</v>
      </c>
      <c r="J60">
        <v>115000</v>
      </c>
      <c r="O60" s="41"/>
    </row>
    <row r="61" spans="1:15">
      <c r="A61" s="43">
        <v>5</v>
      </c>
      <c r="B61" s="43" t="s">
        <v>721</v>
      </c>
      <c r="C61" s="52" t="s">
        <v>716</v>
      </c>
      <c r="D61" s="93" t="s">
        <v>680</v>
      </c>
      <c r="E61" s="88">
        <v>10</v>
      </c>
      <c r="K61" s="41">
        <v>213000</v>
      </c>
      <c r="L61" s="41">
        <v>17000</v>
      </c>
      <c r="M61" s="41">
        <v>196000</v>
      </c>
      <c r="N61" s="40" t="s">
        <v>733</v>
      </c>
      <c r="O61" s="41"/>
    </row>
    <row r="62" spans="1:15">
      <c r="A62" s="148">
        <v>1</v>
      </c>
      <c r="B62" s="148" t="s">
        <v>688</v>
      </c>
      <c r="C62" s="149" t="s">
        <v>735</v>
      </c>
      <c r="D62" s="150" t="s">
        <v>680</v>
      </c>
      <c r="E62" s="151">
        <v>1</v>
      </c>
      <c r="F62" s="134"/>
      <c r="G62" s="136"/>
      <c r="H62" s="136"/>
      <c r="I62" s="136"/>
      <c r="J62" s="136"/>
      <c r="K62" s="152"/>
      <c r="L62" s="152"/>
      <c r="M62" s="152"/>
      <c r="N62" s="153"/>
      <c r="O62" s="41"/>
    </row>
    <row r="63" spans="1:15">
      <c r="A63" s="142">
        <v>1</v>
      </c>
      <c r="B63" s="142" t="s">
        <v>688</v>
      </c>
      <c r="C63" s="143" t="s">
        <v>735</v>
      </c>
      <c r="D63" s="144" t="s">
        <v>680</v>
      </c>
      <c r="E63" s="145">
        <v>1</v>
      </c>
      <c r="F63" s="80" t="s">
        <v>736</v>
      </c>
      <c r="G63" s="67" t="s">
        <v>703</v>
      </c>
      <c r="H63" s="67">
        <v>1</v>
      </c>
      <c r="I63" s="67">
        <v>125000</v>
      </c>
      <c r="J63" s="67">
        <v>125000</v>
      </c>
      <c r="K63" s="146"/>
      <c r="L63" s="146"/>
      <c r="M63" s="146"/>
      <c r="N63" s="147"/>
      <c r="O63" s="41"/>
    </row>
    <row r="64" spans="1:15">
      <c r="A64" s="142">
        <v>1</v>
      </c>
      <c r="B64" s="142" t="s">
        <v>688</v>
      </c>
      <c r="C64" s="143" t="s">
        <v>735</v>
      </c>
      <c r="D64" s="144" t="s">
        <v>680</v>
      </c>
      <c r="E64" s="145">
        <v>1</v>
      </c>
      <c r="F64" s="80" t="s">
        <v>732</v>
      </c>
      <c r="G64" s="67" t="s">
        <v>656</v>
      </c>
      <c r="H64" s="67">
        <v>1</v>
      </c>
      <c r="I64" s="67">
        <v>98000</v>
      </c>
      <c r="J64" s="67">
        <v>98000</v>
      </c>
      <c r="K64" s="146"/>
      <c r="L64" s="146"/>
      <c r="M64" s="146"/>
      <c r="N64" s="147"/>
      <c r="O64" s="41"/>
    </row>
    <row r="65" spans="1:15">
      <c r="A65" s="142">
        <v>1</v>
      </c>
      <c r="B65" s="142" t="s">
        <v>688</v>
      </c>
      <c r="C65" s="143" t="s">
        <v>735</v>
      </c>
      <c r="D65" s="144" t="s">
        <v>680</v>
      </c>
      <c r="E65" s="145">
        <v>1</v>
      </c>
      <c r="G65" s="67"/>
      <c r="I65" s="67"/>
      <c r="J65" s="67"/>
      <c r="K65" s="146">
        <v>223000</v>
      </c>
      <c r="L65" s="146"/>
      <c r="M65" s="146">
        <v>223000</v>
      </c>
      <c r="N65" s="147"/>
      <c r="O65" s="41"/>
    </row>
    <row r="66" spans="1:15">
      <c r="A66" s="148">
        <v>1</v>
      </c>
      <c r="B66" s="148" t="s">
        <v>688</v>
      </c>
      <c r="C66" s="149" t="s">
        <v>735</v>
      </c>
      <c r="D66" s="150" t="s">
        <v>680</v>
      </c>
      <c r="E66" s="151">
        <v>2</v>
      </c>
      <c r="F66" s="134"/>
      <c r="G66" s="136"/>
      <c r="H66" s="136"/>
      <c r="I66" s="136"/>
      <c r="J66" s="136"/>
      <c r="K66" s="152"/>
      <c r="L66" s="152"/>
      <c r="M66" s="152"/>
      <c r="N66" s="153"/>
      <c r="O66" s="41"/>
    </row>
    <row r="67" spans="1:15">
      <c r="A67" s="142">
        <v>1</v>
      </c>
      <c r="B67" s="142" t="s">
        <v>688</v>
      </c>
      <c r="C67" s="143" t="s">
        <v>735</v>
      </c>
      <c r="D67" s="144" t="s">
        <v>680</v>
      </c>
      <c r="E67" s="145">
        <v>2</v>
      </c>
      <c r="F67" s="80" t="s">
        <v>723</v>
      </c>
      <c r="G67" s="67" t="s">
        <v>724</v>
      </c>
      <c r="H67" s="67">
        <v>1</v>
      </c>
      <c r="I67" s="67">
        <v>115000</v>
      </c>
      <c r="J67" s="67">
        <v>115000</v>
      </c>
      <c r="K67" s="146"/>
      <c r="L67" s="146"/>
      <c r="M67" s="146"/>
      <c r="N67" s="147"/>
      <c r="O67" s="41"/>
    </row>
    <row r="68" spans="1:15">
      <c r="A68" s="142">
        <v>1</v>
      </c>
      <c r="B68" s="142" t="s">
        <v>688</v>
      </c>
      <c r="C68" s="143" t="s">
        <v>735</v>
      </c>
      <c r="D68" s="144" t="s">
        <v>680</v>
      </c>
      <c r="E68" s="145">
        <v>2</v>
      </c>
      <c r="G68" s="67"/>
      <c r="I68" s="67"/>
      <c r="J68" s="67"/>
      <c r="K68" s="146">
        <v>115000</v>
      </c>
      <c r="L68" s="146"/>
      <c r="M68" s="146">
        <v>115000</v>
      </c>
      <c r="N68" s="147"/>
      <c r="O68" s="41"/>
    </row>
    <row r="69" spans="1:15">
      <c r="A69" s="148">
        <v>1</v>
      </c>
      <c r="B69" s="148" t="s">
        <v>688</v>
      </c>
      <c r="C69" s="149" t="s">
        <v>735</v>
      </c>
      <c r="D69" s="150" t="s">
        <v>680</v>
      </c>
      <c r="E69" s="151">
        <v>3</v>
      </c>
      <c r="F69" s="134"/>
      <c r="G69" s="136"/>
      <c r="H69" s="136"/>
      <c r="I69" s="136"/>
      <c r="J69" s="136"/>
      <c r="K69" s="152"/>
      <c r="L69" s="152"/>
      <c r="M69" s="152"/>
      <c r="N69" s="153"/>
      <c r="O69" s="41"/>
    </row>
    <row r="70" spans="1:15">
      <c r="A70" s="142">
        <v>1</v>
      </c>
      <c r="B70" s="142" t="s">
        <v>688</v>
      </c>
      <c r="C70" s="143" t="s">
        <v>735</v>
      </c>
      <c r="D70" s="144" t="s">
        <v>680</v>
      </c>
      <c r="E70" s="145">
        <v>3</v>
      </c>
      <c r="F70" s="80" t="s">
        <v>723</v>
      </c>
      <c r="G70" s="67" t="s">
        <v>724</v>
      </c>
      <c r="H70" s="67">
        <v>1</v>
      </c>
      <c r="I70" s="67">
        <v>115000</v>
      </c>
      <c r="J70" s="67">
        <v>115000</v>
      </c>
      <c r="K70" s="146"/>
      <c r="L70" s="146"/>
      <c r="M70" s="146"/>
      <c r="N70" s="147"/>
      <c r="O70" s="41"/>
    </row>
    <row r="71" spans="1:15">
      <c r="A71" s="142">
        <v>1</v>
      </c>
      <c r="B71" s="142" t="s">
        <v>688</v>
      </c>
      <c r="C71" s="143" t="s">
        <v>735</v>
      </c>
      <c r="D71" s="144" t="s">
        <v>680</v>
      </c>
      <c r="E71" s="145">
        <v>3</v>
      </c>
      <c r="F71" s="80" t="s">
        <v>737</v>
      </c>
      <c r="G71" s="67" t="s">
        <v>693</v>
      </c>
      <c r="H71" s="67">
        <v>1</v>
      </c>
      <c r="I71" s="67">
        <v>58000</v>
      </c>
      <c r="J71" s="67">
        <v>58000</v>
      </c>
      <c r="K71" s="146"/>
      <c r="L71" s="146"/>
      <c r="M71" s="146"/>
      <c r="N71" s="147"/>
      <c r="O71" s="41"/>
    </row>
    <row r="72" spans="1:15">
      <c r="A72" s="142">
        <v>1</v>
      </c>
      <c r="B72" s="142" t="s">
        <v>688</v>
      </c>
      <c r="C72" s="143" t="s">
        <v>735</v>
      </c>
      <c r="D72" s="144" t="s">
        <v>680</v>
      </c>
      <c r="E72" s="145">
        <v>3</v>
      </c>
      <c r="G72" s="67"/>
      <c r="I72" s="67"/>
      <c r="J72" s="67"/>
      <c r="K72" s="146">
        <v>173000</v>
      </c>
      <c r="L72" s="146">
        <v>18000</v>
      </c>
      <c r="M72" s="146">
        <v>155000</v>
      </c>
      <c r="N72" s="147" t="s">
        <v>738</v>
      </c>
      <c r="O72" s="41"/>
    </row>
    <row r="73" spans="1:15">
      <c r="A73" s="148">
        <v>1</v>
      </c>
      <c r="B73" s="148" t="s">
        <v>688</v>
      </c>
      <c r="C73" s="149" t="s">
        <v>735</v>
      </c>
      <c r="D73" s="150" t="s">
        <v>680</v>
      </c>
      <c r="E73" s="151">
        <v>4</v>
      </c>
      <c r="F73" s="134"/>
      <c r="G73" s="136"/>
      <c r="H73" s="136"/>
      <c r="I73" s="136"/>
      <c r="J73" s="136"/>
      <c r="K73" s="152"/>
      <c r="L73" s="152"/>
      <c r="M73" s="152"/>
      <c r="N73" s="153"/>
      <c r="O73" s="41"/>
    </row>
    <row r="74" spans="1:15">
      <c r="A74" s="142">
        <v>1</v>
      </c>
      <c r="B74" s="142" t="s">
        <v>688</v>
      </c>
      <c r="C74" s="143" t="s">
        <v>735</v>
      </c>
      <c r="D74" s="144" t="s">
        <v>680</v>
      </c>
      <c r="E74" s="145">
        <v>4</v>
      </c>
      <c r="F74" s="80" t="s">
        <v>681</v>
      </c>
      <c r="G74" s="67" t="s">
        <v>682</v>
      </c>
      <c r="H74" s="67">
        <v>1</v>
      </c>
      <c r="I74" s="67">
        <v>195000</v>
      </c>
      <c r="J74" s="67">
        <v>195000</v>
      </c>
      <c r="K74" s="146"/>
      <c r="L74" s="146"/>
      <c r="M74" s="146"/>
      <c r="N74" s="147"/>
      <c r="O74" s="41"/>
    </row>
    <row r="75" spans="1:15">
      <c r="A75" s="142">
        <v>1</v>
      </c>
      <c r="B75" s="142" t="s">
        <v>688</v>
      </c>
      <c r="C75" s="143" t="s">
        <v>735</v>
      </c>
      <c r="D75" s="144" t="s">
        <v>680</v>
      </c>
      <c r="E75" s="145">
        <v>4</v>
      </c>
      <c r="G75" s="67"/>
      <c r="I75" s="67"/>
      <c r="J75" s="67"/>
      <c r="K75" s="146">
        <v>195000</v>
      </c>
      <c r="L75" s="146"/>
      <c r="M75" s="146">
        <v>195000</v>
      </c>
      <c r="N75" s="147"/>
      <c r="O75" s="41"/>
    </row>
    <row r="76" spans="1:15">
      <c r="A76" s="148">
        <v>1</v>
      </c>
      <c r="B76" s="148" t="s">
        <v>688</v>
      </c>
      <c r="C76" s="149" t="s">
        <v>735</v>
      </c>
      <c r="D76" s="150" t="s">
        <v>680</v>
      </c>
      <c r="E76" s="151">
        <v>5</v>
      </c>
      <c r="F76" s="134"/>
      <c r="G76" s="136"/>
      <c r="H76" s="136"/>
      <c r="I76" s="136"/>
      <c r="J76" s="136"/>
      <c r="K76" s="152"/>
      <c r="L76" s="152"/>
      <c r="M76" s="152"/>
      <c r="N76" s="153"/>
      <c r="O76" s="41"/>
    </row>
    <row r="77" spans="1:15">
      <c r="A77" s="142">
        <v>1</v>
      </c>
      <c r="B77" s="142" t="s">
        <v>688</v>
      </c>
      <c r="C77" s="143" t="s">
        <v>735</v>
      </c>
      <c r="D77" s="144" t="s">
        <v>680</v>
      </c>
      <c r="E77" s="145">
        <v>5</v>
      </c>
      <c r="F77" s="80" t="s">
        <v>729</v>
      </c>
      <c r="G77" s="67" t="s">
        <v>730</v>
      </c>
      <c r="H77" s="67">
        <v>1</v>
      </c>
      <c r="I77" s="67">
        <v>85000</v>
      </c>
      <c r="J77" s="67">
        <v>85000</v>
      </c>
      <c r="K77" s="146"/>
      <c r="L77" s="146"/>
      <c r="M77" s="146"/>
      <c r="N77" s="147"/>
      <c r="O77" s="41"/>
    </row>
    <row r="78" spans="1:15">
      <c r="A78" s="142">
        <v>1</v>
      </c>
      <c r="B78" s="142" t="s">
        <v>688</v>
      </c>
      <c r="C78" s="143" t="s">
        <v>735</v>
      </c>
      <c r="D78" s="144" t="s">
        <v>680</v>
      </c>
      <c r="E78" s="145">
        <v>5</v>
      </c>
      <c r="G78" s="67"/>
      <c r="I78" s="67"/>
      <c r="J78" s="67"/>
      <c r="K78" s="146">
        <v>85000</v>
      </c>
      <c r="L78" s="146"/>
      <c r="M78" s="146">
        <v>85000</v>
      </c>
      <c r="N78" s="147"/>
      <c r="O78" s="41"/>
    </row>
    <row r="79" spans="1:15">
      <c r="A79" s="148">
        <v>3</v>
      </c>
      <c r="B79" s="148" t="s">
        <v>688</v>
      </c>
      <c r="C79" s="149" t="s">
        <v>735</v>
      </c>
      <c r="D79" s="150" t="s">
        <v>680</v>
      </c>
      <c r="E79" s="151">
        <v>1</v>
      </c>
      <c r="F79" s="134"/>
      <c r="G79" s="136"/>
      <c r="H79" s="136"/>
      <c r="I79" s="136"/>
      <c r="J79" s="136"/>
      <c r="K79" s="152"/>
      <c r="L79" s="152"/>
      <c r="M79" s="152"/>
      <c r="N79" s="153"/>
      <c r="O79" s="41"/>
    </row>
    <row r="80" spans="1:15">
      <c r="A80" s="142">
        <v>3</v>
      </c>
      <c r="B80" s="142" t="s">
        <v>688</v>
      </c>
      <c r="C80" s="143" t="s">
        <v>735</v>
      </c>
      <c r="D80" s="144" t="s">
        <v>680</v>
      </c>
      <c r="E80" s="145">
        <v>1</v>
      </c>
      <c r="F80" s="80" t="s">
        <v>723</v>
      </c>
      <c r="G80" s="67" t="s">
        <v>724</v>
      </c>
      <c r="H80" s="67">
        <v>1</v>
      </c>
      <c r="I80" s="67">
        <v>115000</v>
      </c>
      <c r="J80" s="67">
        <v>115000</v>
      </c>
      <c r="K80" s="146"/>
      <c r="L80" s="146"/>
      <c r="M80" s="146"/>
      <c r="N80" s="147"/>
      <c r="O80" s="41"/>
    </row>
    <row r="81" spans="1:15">
      <c r="A81" s="142">
        <v>3</v>
      </c>
      <c r="B81" s="142" t="s">
        <v>688</v>
      </c>
      <c r="C81" s="143" t="s">
        <v>735</v>
      </c>
      <c r="D81" s="144" t="s">
        <v>680</v>
      </c>
      <c r="E81" s="145">
        <v>1</v>
      </c>
      <c r="F81" s="80" t="s">
        <v>739</v>
      </c>
      <c r="G81" s="67" t="s">
        <v>692</v>
      </c>
      <c r="H81" s="67">
        <v>1</v>
      </c>
      <c r="I81" s="67">
        <v>58000</v>
      </c>
      <c r="J81" s="67">
        <v>58000</v>
      </c>
      <c r="K81" s="146"/>
      <c r="L81" s="146"/>
      <c r="M81" s="146"/>
      <c r="N81" s="147"/>
      <c r="O81" s="41"/>
    </row>
    <row r="82" spans="1:15">
      <c r="A82" s="142">
        <v>3</v>
      </c>
      <c r="B82" s="142" t="s">
        <v>688</v>
      </c>
      <c r="C82" s="143" t="s">
        <v>735</v>
      </c>
      <c r="D82" s="144" t="s">
        <v>680</v>
      </c>
      <c r="E82" s="145">
        <v>1</v>
      </c>
      <c r="G82" s="67"/>
      <c r="I82" s="67"/>
      <c r="J82" s="67"/>
      <c r="K82" s="146">
        <v>173000</v>
      </c>
      <c r="L82" s="146">
        <v>18000</v>
      </c>
      <c r="M82" s="146">
        <v>155000</v>
      </c>
      <c r="N82" s="147" t="s">
        <v>738</v>
      </c>
      <c r="O82" s="41"/>
    </row>
    <row r="83" spans="1:15">
      <c r="A83" s="148">
        <v>3</v>
      </c>
      <c r="B83" s="148" t="s">
        <v>688</v>
      </c>
      <c r="C83" s="149" t="s">
        <v>735</v>
      </c>
      <c r="D83" s="150" t="s">
        <v>680</v>
      </c>
      <c r="E83" s="151">
        <v>2</v>
      </c>
      <c r="F83" s="134"/>
      <c r="G83" s="136"/>
      <c r="H83" s="136"/>
      <c r="I83" s="136"/>
      <c r="J83" s="136"/>
      <c r="K83" s="152"/>
      <c r="L83" s="152"/>
      <c r="M83" s="152"/>
      <c r="N83" s="153"/>
      <c r="O83" s="41"/>
    </row>
    <row r="84" spans="1:15">
      <c r="A84" s="142">
        <v>3</v>
      </c>
      <c r="B84" s="142" t="s">
        <v>688</v>
      </c>
      <c r="C84" s="143" t="s">
        <v>735</v>
      </c>
      <c r="D84" s="144" t="s">
        <v>680</v>
      </c>
      <c r="E84" s="145">
        <v>2</v>
      </c>
      <c r="F84" s="80" t="s">
        <v>732</v>
      </c>
      <c r="G84" s="67" t="s">
        <v>656</v>
      </c>
      <c r="H84" s="67">
        <v>1</v>
      </c>
      <c r="I84" s="67">
        <v>98000</v>
      </c>
      <c r="J84" s="67">
        <v>98000</v>
      </c>
      <c r="K84" s="146"/>
      <c r="L84" s="146"/>
      <c r="M84" s="146"/>
      <c r="N84" s="147"/>
      <c r="O84" s="41"/>
    </row>
    <row r="85" spans="1:15">
      <c r="A85" s="142">
        <v>3</v>
      </c>
      <c r="B85" s="142" t="s">
        <v>688</v>
      </c>
      <c r="C85" s="143" t="s">
        <v>735</v>
      </c>
      <c r="D85" s="144" t="s">
        <v>680</v>
      </c>
      <c r="E85" s="145">
        <v>2</v>
      </c>
      <c r="F85" s="80" t="s">
        <v>739</v>
      </c>
      <c r="G85" s="67" t="s">
        <v>692</v>
      </c>
      <c r="H85" s="67">
        <v>1</v>
      </c>
      <c r="I85" s="67">
        <v>58000</v>
      </c>
      <c r="J85" s="67">
        <v>58000</v>
      </c>
      <c r="K85" s="146"/>
      <c r="L85" s="146"/>
      <c r="M85" s="146"/>
      <c r="N85" s="147"/>
      <c r="O85" s="41"/>
    </row>
    <row r="86" spans="1:15">
      <c r="A86" s="142">
        <v>3</v>
      </c>
      <c r="B86" s="142" t="s">
        <v>688</v>
      </c>
      <c r="C86" s="143" t="s">
        <v>735</v>
      </c>
      <c r="D86" s="144" t="s">
        <v>680</v>
      </c>
      <c r="E86" s="145">
        <v>2</v>
      </c>
      <c r="F86" s="80" t="s">
        <v>740</v>
      </c>
      <c r="G86" s="67" t="s">
        <v>694</v>
      </c>
      <c r="H86" s="67">
        <v>1</v>
      </c>
      <c r="I86" s="67">
        <v>58000</v>
      </c>
      <c r="J86" s="67">
        <v>58000</v>
      </c>
      <c r="K86" s="146"/>
      <c r="L86" s="146"/>
      <c r="M86" s="146"/>
      <c r="N86" s="147"/>
      <c r="O86" s="41"/>
    </row>
    <row r="87" spans="1:15">
      <c r="A87" s="142">
        <v>3</v>
      </c>
      <c r="B87" s="142" t="s">
        <v>688</v>
      </c>
      <c r="C87" s="143" t="s">
        <v>735</v>
      </c>
      <c r="D87" s="144" t="s">
        <v>680</v>
      </c>
      <c r="E87" s="145">
        <v>2</v>
      </c>
      <c r="G87" s="67"/>
      <c r="I87" s="67"/>
      <c r="J87" s="67"/>
      <c r="K87" s="146">
        <v>214000</v>
      </c>
      <c r="L87" s="146">
        <v>18000</v>
      </c>
      <c r="M87" s="146">
        <v>196000</v>
      </c>
      <c r="N87" s="147" t="s">
        <v>738</v>
      </c>
      <c r="O87" s="41"/>
    </row>
    <row r="88" spans="1:15">
      <c r="A88" s="148">
        <v>3</v>
      </c>
      <c r="B88" s="148" t="s">
        <v>688</v>
      </c>
      <c r="C88" s="149" t="s">
        <v>735</v>
      </c>
      <c r="D88" s="150" t="s">
        <v>680</v>
      </c>
      <c r="E88" s="151">
        <v>3</v>
      </c>
      <c r="F88" s="134"/>
      <c r="G88" s="136"/>
      <c r="H88" s="136"/>
      <c r="I88" s="136"/>
      <c r="J88" s="136"/>
      <c r="K88" s="152"/>
      <c r="L88" s="152"/>
      <c r="M88" s="152"/>
      <c r="N88" s="153"/>
      <c r="O88" s="41"/>
    </row>
    <row r="89" spans="1:15">
      <c r="A89" s="142">
        <v>3</v>
      </c>
      <c r="B89" s="142" t="s">
        <v>688</v>
      </c>
      <c r="C89" s="143" t="s">
        <v>735</v>
      </c>
      <c r="D89" s="144" t="s">
        <v>680</v>
      </c>
      <c r="E89" s="145">
        <v>3</v>
      </c>
      <c r="F89" s="80" t="s">
        <v>681</v>
      </c>
      <c r="G89" s="67" t="s">
        <v>682</v>
      </c>
      <c r="H89" s="67">
        <v>1</v>
      </c>
      <c r="I89" s="67">
        <v>195000</v>
      </c>
      <c r="J89" s="67">
        <v>195000</v>
      </c>
      <c r="K89" s="146"/>
      <c r="L89" s="146"/>
      <c r="M89" s="146"/>
      <c r="N89" s="147"/>
      <c r="O89" s="41"/>
    </row>
    <row r="90" spans="1:15">
      <c r="A90" s="142">
        <v>3</v>
      </c>
      <c r="B90" s="142" t="s">
        <v>688</v>
      </c>
      <c r="C90" s="143" t="s">
        <v>735</v>
      </c>
      <c r="D90" s="144" t="s">
        <v>680</v>
      </c>
      <c r="E90" s="145">
        <v>3</v>
      </c>
      <c r="F90" s="80" t="s">
        <v>739</v>
      </c>
      <c r="G90" s="67" t="s">
        <v>692</v>
      </c>
      <c r="H90" s="67">
        <v>1</v>
      </c>
      <c r="I90" s="67">
        <v>58000</v>
      </c>
      <c r="J90" s="67">
        <v>58000</v>
      </c>
      <c r="K90" s="146"/>
      <c r="L90" s="146"/>
      <c r="M90" s="146"/>
      <c r="N90" s="147"/>
      <c r="O90" s="41"/>
    </row>
    <row r="91" spans="1:15">
      <c r="A91" s="142">
        <v>3</v>
      </c>
      <c r="B91" s="142" t="s">
        <v>688</v>
      </c>
      <c r="C91" s="143" t="s">
        <v>735</v>
      </c>
      <c r="D91" s="144" t="s">
        <v>680</v>
      </c>
      <c r="E91" s="145">
        <v>3</v>
      </c>
      <c r="G91" s="67"/>
      <c r="I91" s="67"/>
      <c r="J91" s="67"/>
      <c r="K91" s="146">
        <v>253000</v>
      </c>
      <c r="L91" s="146">
        <v>18000</v>
      </c>
      <c r="M91" s="146">
        <v>235000</v>
      </c>
      <c r="N91" s="147" t="s">
        <v>738</v>
      </c>
      <c r="O91" s="41"/>
    </row>
    <row r="92" spans="1:15">
      <c r="A92" s="148">
        <v>3</v>
      </c>
      <c r="B92" s="148" t="s">
        <v>688</v>
      </c>
      <c r="C92" s="149" t="s">
        <v>735</v>
      </c>
      <c r="D92" s="150" t="s">
        <v>680</v>
      </c>
      <c r="E92" s="151">
        <v>4</v>
      </c>
      <c r="F92" s="134"/>
      <c r="G92" s="136"/>
      <c r="H92" s="136"/>
      <c r="I92" s="136"/>
      <c r="J92" s="136"/>
      <c r="K92" s="152"/>
      <c r="L92" s="152"/>
      <c r="M92" s="152"/>
      <c r="N92" s="153"/>
      <c r="O92" s="41"/>
    </row>
    <row r="93" spans="1:15">
      <c r="A93" s="142">
        <v>3</v>
      </c>
      <c r="B93" s="142" t="s">
        <v>688</v>
      </c>
      <c r="C93" s="143" t="s">
        <v>735</v>
      </c>
      <c r="D93" s="144" t="s">
        <v>680</v>
      </c>
      <c r="E93" s="145">
        <v>4</v>
      </c>
      <c r="F93" s="80" t="s">
        <v>717</v>
      </c>
      <c r="G93" s="67" t="s">
        <v>718</v>
      </c>
      <c r="H93" s="67">
        <v>1</v>
      </c>
      <c r="I93" s="67">
        <v>115000</v>
      </c>
      <c r="J93" s="67">
        <v>115000</v>
      </c>
      <c r="K93" s="146"/>
      <c r="L93" s="146"/>
      <c r="M93" s="146"/>
      <c r="N93" s="147"/>
      <c r="O93" s="41"/>
    </row>
    <row r="94" spans="1:15">
      <c r="A94" s="142">
        <v>3</v>
      </c>
      <c r="B94" s="142" t="s">
        <v>688</v>
      </c>
      <c r="C94" s="143" t="s">
        <v>735</v>
      </c>
      <c r="D94" s="144" t="s">
        <v>680</v>
      </c>
      <c r="E94" s="145">
        <v>4</v>
      </c>
      <c r="G94" s="67"/>
      <c r="I94" s="67"/>
      <c r="J94" s="67"/>
      <c r="K94" s="146">
        <v>115000</v>
      </c>
      <c r="L94" s="146"/>
      <c r="M94" s="146">
        <v>115000</v>
      </c>
      <c r="N94" s="147"/>
      <c r="O94" s="41"/>
    </row>
    <row r="95" spans="1:15">
      <c r="A95" s="148">
        <v>4</v>
      </c>
      <c r="B95" s="148" t="s">
        <v>734</v>
      </c>
      <c r="C95" s="149" t="s">
        <v>735</v>
      </c>
      <c r="D95" s="150" t="s">
        <v>680</v>
      </c>
      <c r="E95" s="151">
        <v>1</v>
      </c>
      <c r="F95" s="134"/>
      <c r="G95" s="136"/>
      <c r="H95" s="136"/>
      <c r="I95" s="136"/>
      <c r="J95" s="136"/>
      <c r="K95" s="152"/>
      <c r="L95" s="152"/>
      <c r="M95" s="152"/>
      <c r="N95" s="153"/>
      <c r="O95" s="41"/>
    </row>
    <row r="96" spans="1:15">
      <c r="A96" s="142">
        <v>4</v>
      </c>
      <c r="B96" s="142" t="s">
        <v>734</v>
      </c>
      <c r="C96" s="143" t="s">
        <v>735</v>
      </c>
      <c r="D96" s="144" t="s">
        <v>680</v>
      </c>
      <c r="E96" s="145">
        <v>1</v>
      </c>
      <c r="F96" s="80" t="s">
        <v>723</v>
      </c>
      <c r="G96" s="67" t="s">
        <v>724</v>
      </c>
      <c r="H96" s="67">
        <v>1</v>
      </c>
      <c r="I96" s="67">
        <v>115000</v>
      </c>
      <c r="J96" s="67">
        <v>115000</v>
      </c>
      <c r="K96" s="146"/>
      <c r="L96" s="146"/>
      <c r="M96" s="146"/>
      <c r="N96" s="147"/>
      <c r="O96" s="41"/>
    </row>
    <row r="97" spans="1:15">
      <c r="A97" s="142">
        <v>4</v>
      </c>
      <c r="B97" s="142" t="s">
        <v>734</v>
      </c>
      <c r="C97" s="143" t="s">
        <v>735</v>
      </c>
      <c r="D97" s="144" t="s">
        <v>680</v>
      </c>
      <c r="E97" s="145">
        <v>1</v>
      </c>
      <c r="F97" s="80" t="s">
        <v>719</v>
      </c>
      <c r="G97" s="67" t="s">
        <v>651</v>
      </c>
      <c r="H97" s="67">
        <v>2</v>
      </c>
      <c r="I97" s="67">
        <v>98000</v>
      </c>
      <c r="J97" s="67">
        <v>196000</v>
      </c>
      <c r="K97" s="146"/>
      <c r="L97" s="146"/>
      <c r="M97" s="146"/>
      <c r="N97" s="147"/>
      <c r="O97" s="41"/>
    </row>
    <row r="98" spans="1:15">
      <c r="A98" s="142">
        <v>4</v>
      </c>
      <c r="B98" s="142" t="s">
        <v>734</v>
      </c>
      <c r="C98" s="143" t="s">
        <v>735</v>
      </c>
      <c r="D98" s="144" t="s">
        <v>680</v>
      </c>
      <c r="E98" s="145">
        <v>1</v>
      </c>
      <c r="F98" s="80" t="s">
        <v>741</v>
      </c>
      <c r="G98" s="67" t="s">
        <v>652</v>
      </c>
      <c r="H98" s="67">
        <v>1</v>
      </c>
      <c r="I98" s="67">
        <v>98000</v>
      </c>
      <c r="J98" s="67">
        <v>98000</v>
      </c>
      <c r="K98" s="146"/>
      <c r="L98" s="146"/>
      <c r="M98" s="146"/>
      <c r="N98" s="147"/>
      <c r="O98" s="41"/>
    </row>
    <row r="99" spans="1:15">
      <c r="A99" s="142">
        <v>4</v>
      </c>
      <c r="B99" s="142" t="s">
        <v>734</v>
      </c>
      <c r="C99" s="143" t="s">
        <v>735</v>
      </c>
      <c r="D99" s="144" t="s">
        <v>680</v>
      </c>
      <c r="E99" s="145">
        <v>1</v>
      </c>
      <c r="F99" s="80" t="s">
        <v>742</v>
      </c>
      <c r="G99" s="67" t="s">
        <v>657</v>
      </c>
      <c r="H99" s="67">
        <v>1</v>
      </c>
      <c r="I99" s="67">
        <v>98000</v>
      </c>
      <c r="J99" s="67">
        <v>98000</v>
      </c>
      <c r="K99" s="146"/>
      <c r="L99" s="146"/>
      <c r="M99" s="146"/>
      <c r="N99" s="147"/>
      <c r="O99" s="41"/>
    </row>
    <row r="100" spans="1:15">
      <c r="A100" s="142">
        <v>4</v>
      </c>
      <c r="B100" s="142" t="s">
        <v>734</v>
      </c>
      <c r="C100" s="143" t="s">
        <v>735</v>
      </c>
      <c r="D100" s="144" t="s">
        <v>680</v>
      </c>
      <c r="E100" s="145">
        <v>1</v>
      </c>
      <c r="F100" s="80" t="s">
        <v>732</v>
      </c>
      <c r="G100" s="67" t="s">
        <v>656</v>
      </c>
      <c r="H100" s="67">
        <v>1</v>
      </c>
      <c r="I100" s="67">
        <v>98000</v>
      </c>
      <c r="J100" s="67">
        <v>98000</v>
      </c>
      <c r="K100" s="146"/>
      <c r="L100" s="146"/>
      <c r="M100" s="146"/>
      <c r="N100" s="147"/>
      <c r="O100" s="41"/>
    </row>
    <row r="101" spans="1:15">
      <c r="A101" s="142">
        <v>4</v>
      </c>
      <c r="B101" s="142" t="s">
        <v>734</v>
      </c>
      <c r="C101" s="143" t="s">
        <v>735</v>
      </c>
      <c r="D101" s="144" t="s">
        <v>680</v>
      </c>
      <c r="E101" s="145">
        <v>1</v>
      </c>
      <c r="G101" s="67"/>
      <c r="I101" s="67"/>
      <c r="J101" s="67"/>
      <c r="K101" s="146">
        <v>605000</v>
      </c>
      <c r="L101" s="146"/>
      <c r="M101" s="146">
        <v>605000</v>
      </c>
      <c r="N101" s="147" t="s">
        <v>743</v>
      </c>
      <c r="O101" s="41"/>
    </row>
    <row r="102" spans="1:15">
      <c r="A102" s="148">
        <v>4</v>
      </c>
      <c r="B102" s="148" t="s">
        <v>734</v>
      </c>
      <c r="C102" s="149" t="s">
        <v>735</v>
      </c>
      <c r="D102" s="150" t="s">
        <v>680</v>
      </c>
      <c r="E102" s="151">
        <v>2</v>
      </c>
      <c r="F102" s="134"/>
      <c r="G102" s="136"/>
      <c r="H102" s="136"/>
      <c r="I102" s="136"/>
      <c r="J102" s="136"/>
      <c r="K102" s="152"/>
      <c r="L102" s="152"/>
      <c r="M102" s="152"/>
      <c r="N102" s="153"/>
      <c r="O102" s="41"/>
    </row>
    <row r="103" spans="1:15">
      <c r="A103" s="142">
        <v>4</v>
      </c>
      <c r="B103" s="142" t="s">
        <v>734</v>
      </c>
      <c r="C103" s="143" t="s">
        <v>735</v>
      </c>
      <c r="D103" s="144" t="s">
        <v>680</v>
      </c>
      <c r="E103" s="145">
        <v>2</v>
      </c>
      <c r="F103" s="80" t="s">
        <v>729</v>
      </c>
      <c r="G103" s="67" t="s">
        <v>730</v>
      </c>
      <c r="H103" s="67">
        <v>1</v>
      </c>
      <c r="I103" s="67">
        <v>85000</v>
      </c>
      <c r="J103" s="67">
        <v>85000</v>
      </c>
      <c r="K103" s="146"/>
      <c r="L103" s="146"/>
      <c r="M103" s="146"/>
      <c r="N103" s="147"/>
      <c r="O103" s="41"/>
    </row>
    <row r="104" spans="1:15">
      <c r="A104" s="142">
        <v>4</v>
      </c>
      <c r="B104" s="142" t="s">
        <v>734</v>
      </c>
      <c r="C104" s="143" t="s">
        <v>735</v>
      </c>
      <c r="D104" s="144" t="s">
        <v>680</v>
      </c>
      <c r="E104" s="145">
        <v>2</v>
      </c>
      <c r="G104" s="67"/>
      <c r="I104" s="67"/>
      <c r="J104" s="67"/>
      <c r="K104" s="146">
        <v>85000</v>
      </c>
      <c r="L104" s="146"/>
      <c r="M104" s="146">
        <v>85000</v>
      </c>
      <c r="N104" s="147"/>
      <c r="O104" s="41"/>
    </row>
    <row r="105" spans="1:15">
      <c r="A105" s="148">
        <v>4</v>
      </c>
      <c r="B105" s="148" t="s">
        <v>688</v>
      </c>
      <c r="C105" s="149" t="s">
        <v>735</v>
      </c>
      <c r="D105" s="150" t="s">
        <v>680</v>
      </c>
      <c r="E105" s="151">
        <v>1</v>
      </c>
      <c r="F105" s="134"/>
      <c r="G105" s="136"/>
      <c r="H105" s="136"/>
      <c r="I105" s="136"/>
      <c r="J105" s="136"/>
      <c r="K105" s="152"/>
      <c r="L105" s="152"/>
      <c r="M105" s="152"/>
      <c r="N105" s="153"/>
      <c r="O105" s="41"/>
    </row>
    <row r="106" spans="1:15">
      <c r="A106" s="142">
        <v>4</v>
      </c>
      <c r="B106" s="142" t="s">
        <v>688</v>
      </c>
      <c r="C106" s="143" t="s">
        <v>735</v>
      </c>
      <c r="D106" s="144" t="s">
        <v>680</v>
      </c>
      <c r="E106" s="145">
        <v>1</v>
      </c>
      <c r="F106" s="80" t="s">
        <v>729</v>
      </c>
      <c r="G106" s="67" t="s">
        <v>730</v>
      </c>
      <c r="H106" s="67">
        <v>1</v>
      </c>
      <c r="I106" s="67">
        <v>85000</v>
      </c>
      <c r="J106" s="67">
        <v>85000</v>
      </c>
      <c r="K106" s="146"/>
      <c r="L106" s="146"/>
      <c r="M106" s="146"/>
      <c r="N106" s="147"/>
      <c r="O106" s="41"/>
    </row>
    <row r="107" spans="1:15">
      <c r="A107" s="142">
        <v>4</v>
      </c>
      <c r="B107" s="142" t="s">
        <v>688</v>
      </c>
      <c r="C107" s="143" t="s">
        <v>735</v>
      </c>
      <c r="D107" s="144" t="s">
        <v>680</v>
      </c>
      <c r="E107" s="145">
        <v>1</v>
      </c>
      <c r="F107" s="80" t="s">
        <v>737</v>
      </c>
      <c r="G107" s="67" t="s">
        <v>693</v>
      </c>
      <c r="H107" s="67">
        <v>1</v>
      </c>
      <c r="I107" s="67">
        <v>58000</v>
      </c>
      <c r="J107" s="67">
        <v>58000</v>
      </c>
      <c r="K107" s="146"/>
      <c r="L107" s="146"/>
      <c r="M107" s="146"/>
      <c r="N107" s="147"/>
      <c r="O107" s="41"/>
    </row>
    <row r="108" spans="1:15">
      <c r="A108" s="142">
        <v>4</v>
      </c>
      <c r="B108" s="142" t="s">
        <v>688</v>
      </c>
      <c r="C108" s="143" t="s">
        <v>735</v>
      </c>
      <c r="D108" s="144" t="s">
        <v>680</v>
      </c>
      <c r="E108" s="145">
        <v>1</v>
      </c>
      <c r="G108" s="67"/>
      <c r="I108" s="67"/>
      <c r="J108" s="67"/>
      <c r="K108" s="146">
        <v>143000</v>
      </c>
      <c r="L108" s="146">
        <v>18000</v>
      </c>
      <c r="M108" s="146">
        <v>125000</v>
      </c>
      <c r="N108" s="147" t="s">
        <v>738</v>
      </c>
      <c r="O108" s="41"/>
    </row>
    <row r="109" spans="1:15">
      <c r="A109" s="148">
        <v>4</v>
      </c>
      <c r="B109" s="148" t="s">
        <v>688</v>
      </c>
      <c r="C109" s="149" t="s">
        <v>735</v>
      </c>
      <c r="D109" s="150" t="s">
        <v>680</v>
      </c>
      <c r="E109" s="151">
        <v>2</v>
      </c>
      <c r="F109" s="134"/>
      <c r="G109" s="136"/>
      <c r="H109" s="136"/>
      <c r="I109" s="136"/>
      <c r="J109" s="136"/>
      <c r="K109" s="152"/>
      <c r="L109" s="152"/>
      <c r="M109" s="152"/>
      <c r="N109" s="153"/>
      <c r="O109" s="41"/>
    </row>
    <row r="110" spans="1:15">
      <c r="A110" s="142">
        <v>4</v>
      </c>
      <c r="B110" s="142" t="s">
        <v>688</v>
      </c>
      <c r="C110" s="143" t="s">
        <v>735</v>
      </c>
      <c r="D110" s="144" t="s">
        <v>680</v>
      </c>
      <c r="E110" s="145">
        <v>2</v>
      </c>
      <c r="F110" s="80" t="s">
        <v>719</v>
      </c>
      <c r="G110" s="67" t="s">
        <v>651</v>
      </c>
      <c r="H110" s="67">
        <v>1</v>
      </c>
      <c r="I110" s="67">
        <v>98000</v>
      </c>
      <c r="J110" s="67">
        <v>98000</v>
      </c>
      <c r="K110" s="146"/>
      <c r="L110" s="146"/>
      <c r="M110" s="146"/>
      <c r="N110" s="147"/>
      <c r="O110" s="41"/>
    </row>
    <row r="111" spans="1:15">
      <c r="A111" s="142">
        <v>4</v>
      </c>
      <c r="B111" s="142" t="s">
        <v>688</v>
      </c>
      <c r="C111" s="143" t="s">
        <v>735</v>
      </c>
      <c r="D111" s="144" t="s">
        <v>680</v>
      </c>
      <c r="E111" s="145">
        <v>2</v>
      </c>
      <c r="F111" s="80" t="s">
        <v>741</v>
      </c>
      <c r="G111" s="67" t="s">
        <v>652</v>
      </c>
      <c r="H111" s="67">
        <v>1</v>
      </c>
      <c r="I111" s="67">
        <v>98000</v>
      </c>
      <c r="J111" s="67">
        <v>98000</v>
      </c>
      <c r="K111" s="146"/>
      <c r="L111" s="146"/>
      <c r="M111" s="146"/>
      <c r="N111" s="147"/>
      <c r="O111" s="41"/>
    </row>
    <row r="112" spans="1:15">
      <c r="A112" s="142">
        <v>4</v>
      </c>
      <c r="B112" s="142" t="s">
        <v>688</v>
      </c>
      <c r="C112" s="143" t="s">
        <v>735</v>
      </c>
      <c r="D112" s="144" t="s">
        <v>680</v>
      </c>
      <c r="E112" s="145">
        <v>2</v>
      </c>
      <c r="G112" s="67"/>
      <c r="I112" s="67"/>
      <c r="J112" s="67"/>
      <c r="K112" s="146">
        <v>196000</v>
      </c>
      <c r="L112" s="146"/>
      <c r="M112" s="146">
        <v>196000</v>
      </c>
      <c r="N112" s="147" t="s">
        <v>744</v>
      </c>
      <c r="O112" s="41"/>
    </row>
    <row r="113" spans="1:15">
      <c r="A113" s="148">
        <v>4</v>
      </c>
      <c r="B113" s="148" t="s">
        <v>688</v>
      </c>
      <c r="C113" s="149" t="s">
        <v>735</v>
      </c>
      <c r="D113" s="150" t="s">
        <v>680</v>
      </c>
      <c r="E113" s="151">
        <v>3</v>
      </c>
      <c r="F113" s="134"/>
      <c r="G113" s="136"/>
      <c r="H113" s="136"/>
      <c r="I113" s="136"/>
      <c r="J113" s="136"/>
      <c r="K113" s="152"/>
      <c r="L113" s="152"/>
      <c r="M113" s="152"/>
      <c r="N113" s="153"/>
      <c r="O113" s="41"/>
    </row>
    <row r="114" spans="1:15">
      <c r="A114" s="142">
        <v>4</v>
      </c>
      <c r="B114" s="142" t="s">
        <v>688</v>
      </c>
      <c r="C114" s="143" t="s">
        <v>735</v>
      </c>
      <c r="D114" s="144" t="s">
        <v>680</v>
      </c>
      <c r="E114" s="145">
        <v>3</v>
      </c>
      <c r="F114" s="80" t="s">
        <v>719</v>
      </c>
      <c r="G114" s="67" t="s">
        <v>651</v>
      </c>
      <c r="H114" s="67">
        <v>1</v>
      </c>
      <c r="I114" s="67">
        <v>98000</v>
      </c>
      <c r="J114" s="67">
        <v>98000</v>
      </c>
      <c r="K114" s="146"/>
      <c r="L114" s="146"/>
      <c r="M114" s="146"/>
      <c r="N114" s="147"/>
      <c r="O114" s="41"/>
    </row>
    <row r="115" spans="1:15">
      <c r="A115" s="142">
        <v>4</v>
      </c>
      <c r="B115" s="142" t="s">
        <v>688</v>
      </c>
      <c r="C115" s="143" t="s">
        <v>735</v>
      </c>
      <c r="D115" s="144" t="s">
        <v>680</v>
      </c>
      <c r="E115" s="145">
        <v>3</v>
      </c>
      <c r="G115" s="67"/>
      <c r="I115" s="67"/>
      <c r="J115" s="67"/>
      <c r="K115" s="146">
        <v>98000</v>
      </c>
      <c r="L115" s="146"/>
      <c r="M115" s="146">
        <v>98000</v>
      </c>
      <c r="N115" s="147"/>
      <c r="O115" s="41"/>
    </row>
    <row r="116" spans="1:15">
      <c r="A116" s="130">
        <v>6</v>
      </c>
      <c r="B116" s="130" t="s">
        <v>679</v>
      </c>
      <c r="C116" s="131" t="s">
        <v>716</v>
      </c>
      <c r="D116" s="132" t="s">
        <v>680</v>
      </c>
      <c r="E116" s="133">
        <v>1</v>
      </c>
      <c r="F116" s="134"/>
      <c r="G116" s="135"/>
      <c r="H116" s="136"/>
      <c r="I116" s="135"/>
      <c r="J116" s="135"/>
      <c r="K116" s="137"/>
      <c r="L116" s="137"/>
      <c r="M116" s="137"/>
      <c r="N116" s="138"/>
      <c r="O116" s="41"/>
    </row>
    <row r="117" spans="1:15">
      <c r="A117" s="43">
        <v>6</v>
      </c>
      <c r="B117" s="43" t="s">
        <v>679</v>
      </c>
      <c r="C117" s="52" t="s">
        <v>716</v>
      </c>
      <c r="D117" s="93" t="s">
        <v>680</v>
      </c>
      <c r="E117" s="88">
        <v>1</v>
      </c>
      <c r="F117" s="80" t="s">
        <v>719</v>
      </c>
      <c r="G117" t="s">
        <v>651</v>
      </c>
      <c r="H117" s="67">
        <v>1</v>
      </c>
      <c r="I117">
        <v>98000</v>
      </c>
      <c r="J117">
        <v>98000</v>
      </c>
      <c r="O117" s="41"/>
    </row>
    <row r="118" spans="1:15">
      <c r="A118" s="43">
        <v>6</v>
      </c>
      <c r="B118" s="43" t="s">
        <v>679</v>
      </c>
      <c r="C118" s="52" t="s">
        <v>716</v>
      </c>
      <c r="D118" s="93" t="s">
        <v>680</v>
      </c>
      <c r="E118" s="88">
        <v>1</v>
      </c>
      <c r="F118" s="80" t="s">
        <v>689</v>
      </c>
      <c r="G118" t="s">
        <v>690</v>
      </c>
      <c r="H118" s="67">
        <v>1</v>
      </c>
      <c r="I118">
        <v>115000</v>
      </c>
      <c r="J118">
        <v>115000</v>
      </c>
      <c r="O118" s="41"/>
    </row>
    <row r="119" spans="1:15">
      <c r="A119" s="43">
        <v>6</v>
      </c>
      <c r="B119" s="43" t="s">
        <v>679</v>
      </c>
      <c r="C119" s="52" t="s">
        <v>716</v>
      </c>
      <c r="D119" s="93" t="s">
        <v>680</v>
      </c>
      <c r="E119" s="88">
        <v>1</v>
      </c>
      <c r="K119" s="41">
        <v>213000</v>
      </c>
      <c r="M119" s="41">
        <v>213000</v>
      </c>
      <c r="O119" s="41"/>
    </row>
    <row r="120" spans="1:15">
      <c r="A120" s="130">
        <v>6</v>
      </c>
      <c r="B120" s="130" t="s">
        <v>721</v>
      </c>
      <c r="C120" s="131" t="s">
        <v>716</v>
      </c>
      <c r="D120" s="132" t="s">
        <v>680</v>
      </c>
      <c r="E120" s="133">
        <v>1</v>
      </c>
      <c r="F120" s="134"/>
      <c r="G120" s="135"/>
      <c r="H120" s="136"/>
      <c r="I120" s="135"/>
      <c r="J120" s="135"/>
      <c r="K120" s="137"/>
      <c r="L120" s="137"/>
      <c r="M120" s="137"/>
      <c r="N120" s="138"/>
      <c r="O120" s="41"/>
    </row>
    <row r="121" spans="1:15">
      <c r="A121" s="43">
        <v>6</v>
      </c>
      <c r="B121" s="43" t="s">
        <v>721</v>
      </c>
      <c r="C121" s="52" t="s">
        <v>716</v>
      </c>
      <c r="D121" s="93" t="s">
        <v>680</v>
      </c>
      <c r="E121" s="88">
        <v>1</v>
      </c>
      <c r="F121" s="80" t="s">
        <v>681</v>
      </c>
      <c r="G121" t="s">
        <v>682</v>
      </c>
      <c r="H121" s="67">
        <v>1</v>
      </c>
      <c r="I121">
        <v>195000</v>
      </c>
      <c r="J121">
        <v>195000</v>
      </c>
      <c r="O121" s="41"/>
    </row>
    <row r="122" spans="1:15">
      <c r="A122" s="43">
        <v>6</v>
      </c>
      <c r="B122" s="43" t="s">
        <v>721</v>
      </c>
      <c r="C122" s="52" t="s">
        <v>716</v>
      </c>
      <c r="D122" s="93" t="s">
        <v>680</v>
      </c>
      <c r="E122" s="88">
        <v>1</v>
      </c>
      <c r="F122" s="80" t="s">
        <v>732</v>
      </c>
      <c r="G122" t="s">
        <v>656</v>
      </c>
      <c r="H122" s="67">
        <v>1</v>
      </c>
      <c r="I122">
        <v>98000</v>
      </c>
      <c r="J122">
        <v>98000</v>
      </c>
      <c r="O122" s="41"/>
    </row>
    <row r="123" spans="1:15">
      <c r="A123" s="43">
        <v>6</v>
      </c>
      <c r="B123" s="43" t="s">
        <v>721</v>
      </c>
      <c r="C123" s="52" t="s">
        <v>716</v>
      </c>
      <c r="D123" s="93" t="s">
        <v>680</v>
      </c>
      <c r="E123" s="88">
        <v>1</v>
      </c>
      <c r="K123" s="41">
        <v>293000</v>
      </c>
      <c r="M123" s="41">
        <v>293000</v>
      </c>
      <c r="N123" s="40" t="s">
        <v>744</v>
      </c>
      <c r="O123" s="41"/>
    </row>
    <row r="124" spans="1:15">
      <c r="A124" s="130">
        <v>6</v>
      </c>
      <c r="B124" s="130" t="s">
        <v>721</v>
      </c>
      <c r="C124" s="131" t="s">
        <v>716</v>
      </c>
      <c r="D124" s="132" t="s">
        <v>680</v>
      </c>
      <c r="E124" s="133">
        <v>2</v>
      </c>
      <c r="F124" s="134"/>
      <c r="G124" s="135"/>
      <c r="H124" s="136"/>
      <c r="I124" s="135"/>
      <c r="J124" s="135"/>
      <c r="K124" s="137"/>
      <c r="L124" s="137"/>
      <c r="M124" s="137"/>
      <c r="N124" s="138"/>
      <c r="O124" s="41"/>
    </row>
    <row r="125" spans="1:15">
      <c r="A125" s="43">
        <v>6</v>
      </c>
      <c r="B125" s="43" t="s">
        <v>721</v>
      </c>
      <c r="C125" s="52" t="s">
        <v>716</v>
      </c>
      <c r="D125" s="93" t="s">
        <v>680</v>
      </c>
      <c r="E125" s="88">
        <v>2</v>
      </c>
      <c r="F125" s="80" t="s">
        <v>689</v>
      </c>
      <c r="G125" t="s">
        <v>690</v>
      </c>
      <c r="H125" s="67">
        <v>1</v>
      </c>
      <c r="I125">
        <v>115000</v>
      </c>
      <c r="J125">
        <v>115000</v>
      </c>
      <c r="O125" s="41"/>
    </row>
    <row r="126" spans="1:15">
      <c r="A126" s="43">
        <v>6</v>
      </c>
      <c r="B126" s="43" t="s">
        <v>721</v>
      </c>
      <c r="C126" s="52" t="s">
        <v>716</v>
      </c>
      <c r="D126" s="93" t="s">
        <v>680</v>
      </c>
      <c r="E126" s="88">
        <v>2</v>
      </c>
      <c r="K126" s="41">
        <v>115000</v>
      </c>
      <c r="M126" s="41">
        <v>115000</v>
      </c>
      <c r="O126" s="41"/>
    </row>
    <row r="127" spans="1:15">
      <c r="A127" s="130">
        <v>6</v>
      </c>
      <c r="B127" s="130" t="s">
        <v>721</v>
      </c>
      <c r="C127" s="131" t="s">
        <v>716</v>
      </c>
      <c r="D127" s="132" t="s">
        <v>680</v>
      </c>
      <c r="E127" s="133">
        <v>3</v>
      </c>
      <c r="F127" s="134"/>
      <c r="G127" s="135"/>
      <c r="H127" s="136"/>
      <c r="I127" s="135"/>
      <c r="J127" s="135"/>
      <c r="K127" s="137"/>
      <c r="L127" s="137"/>
      <c r="M127" s="137"/>
      <c r="N127" s="138"/>
      <c r="O127" s="41"/>
    </row>
    <row r="128" spans="1:15">
      <c r="A128" s="43">
        <v>6</v>
      </c>
      <c r="B128" s="43" t="s">
        <v>721</v>
      </c>
      <c r="C128" s="52" t="s">
        <v>716</v>
      </c>
      <c r="D128" s="93" t="s">
        <v>680</v>
      </c>
      <c r="E128" s="88">
        <v>3</v>
      </c>
      <c r="F128" s="80" t="s">
        <v>723</v>
      </c>
      <c r="G128" t="s">
        <v>724</v>
      </c>
      <c r="H128" s="67">
        <v>1</v>
      </c>
      <c r="I128">
        <v>115000</v>
      </c>
      <c r="J128">
        <v>115000</v>
      </c>
      <c r="O128" s="41"/>
    </row>
    <row r="129" spans="1:15">
      <c r="A129" s="43">
        <v>6</v>
      </c>
      <c r="B129" s="43" t="s">
        <v>721</v>
      </c>
      <c r="C129" s="52" t="s">
        <v>716</v>
      </c>
      <c r="D129" s="93" t="s">
        <v>680</v>
      </c>
      <c r="E129" s="88">
        <v>3</v>
      </c>
      <c r="K129" s="41">
        <v>115000</v>
      </c>
      <c r="M129" s="41">
        <v>115000</v>
      </c>
      <c r="O129" s="41"/>
    </row>
    <row r="130" spans="1:15">
      <c r="A130" s="130">
        <v>6</v>
      </c>
      <c r="B130" s="130" t="s">
        <v>721</v>
      </c>
      <c r="C130" s="131" t="s">
        <v>716</v>
      </c>
      <c r="D130" s="132" t="s">
        <v>680</v>
      </c>
      <c r="E130" s="133">
        <v>4</v>
      </c>
      <c r="F130" s="134"/>
      <c r="G130" s="135"/>
      <c r="H130" s="136"/>
      <c r="I130" s="135"/>
      <c r="J130" s="135"/>
      <c r="K130" s="137"/>
      <c r="L130" s="137"/>
      <c r="M130" s="137"/>
      <c r="N130" s="138"/>
      <c r="O130" s="41"/>
    </row>
    <row r="131" spans="1:15">
      <c r="A131" s="43">
        <v>6</v>
      </c>
      <c r="B131" s="43" t="s">
        <v>721</v>
      </c>
      <c r="C131" s="52" t="s">
        <v>716</v>
      </c>
      <c r="D131" s="93" t="s">
        <v>680</v>
      </c>
      <c r="E131" s="88">
        <v>4</v>
      </c>
      <c r="F131" s="80" t="s">
        <v>719</v>
      </c>
      <c r="G131" t="s">
        <v>651</v>
      </c>
      <c r="H131" s="67">
        <v>1</v>
      </c>
      <c r="I131">
        <v>98000</v>
      </c>
      <c r="J131">
        <v>98000</v>
      </c>
      <c r="O131" s="41"/>
    </row>
    <row r="132" spans="1:15">
      <c r="A132" s="43">
        <v>6</v>
      </c>
      <c r="B132" s="43" t="s">
        <v>721</v>
      </c>
      <c r="C132" s="52" t="s">
        <v>716</v>
      </c>
      <c r="D132" s="93" t="s">
        <v>680</v>
      </c>
      <c r="E132" s="88">
        <v>4</v>
      </c>
      <c r="K132" s="41">
        <v>98000</v>
      </c>
      <c r="M132" s="41">
        <v>98000</v>
      </c>
      <c r="O132" s="41"/>
    </row>
    <row r="133" spans="1:15">
      <c r="A133" s="130">
        <v>6</v>
      </c>
      <c r="B133" s="130" t="s">
        <v>721</v>
      </c>
      <c r="C133" s="131" t="s">
        <v>716</v>
      </c>
      <c r="D133" s="132" t="s">
        <v>680</v>
      </c>
      <c r="E133" s="133">
        <v>5</v>
      </c>
      <c r="F133" s="134"/>
      <c r="G133" s="135"/>
      <c r="H133" s="136"/>
      <c r="I133" s="135"/>
      <c r="J133" s="135"/>
      <c r="K133" s="137"/>
      <c r="L133" s="137"/>
      <c r="M133" s="137"/>
      <c r="N133" s="138"/>
      <c r="O133" s="41"/>
    </row>
    <row r="134" spans="1:15">
      <c r="A134" s="43">
        <v>6</v>
      </c>
      <c r="B134" s="43" t="s">
        <v>721</v>
      </c>
      <c r="C134" s="52" t="s">
        <v>716</v>
      </c>
      <c r="D134" s="93" t="s">
        <v>680</v>
      </c>
      <c r="E134" s="88">
        <v>5</v>
      </c>
      <c r="F134" s="80" t="s">
        <v>741</v>
      </c>
      <c r="G134" t="s">
        <v>652</v>
      </c>
      <c r="H134" s="67">
        <v>1</v>
      </c>
      <c r="I134">
        <v>98000</v>
      </c>
      <c r="J134">
        <v>98000</v>
      </c>
      <c r="O134" s="41"/>
    </row>
    <row r="135" spans="1:15">
      <c r="A135" s="43">
        <v>6</v>
      </c>
      <c r="B135" s="43" t="s">
        <v>721</v>
      </c>
      <c r="C135" s="52" t="s">
        <v>716</v>
      </c>
      <c r="D135" s="93" t="s">
        <v>680</v>
      </c>
      <c r="E135" s="88">
        <v>5</v>
      </c>
      <c r="F135" s="80" t="s">
        <v>729</v>
      </c>
      <c r="G135" t="s">
        <v>730</v>
      </c>
      <c r="H135" s="67">
        <v>1</v>
      </c>
      <c r="I135">
        <v>85000</v>
      </c>
      <c r="J135">
        <v>85000</v>
      </c>
      <c r="O135" s="41"/>
    </row>
    <row r="136" spans="1:15">
      <c r="A136" s="43">
        <v>6</v>
      </c>
      <c r="B136" s="43" t="s">
        <v>721</v>
      </c>
      <c r="C136" s="52" t="s">
        <v>716</v>
      </c>
      <c r="D136" s="93" t="s">
        <v>680</v>
      </c>
      <c r="E136" s="88">
        <v>5</v>
      </c>
      <c r="K136" s="41">
        <v>183000</v>
      </c>
      <c r="M136" s="41">
        <v>183000</v>
      </c>
      <c r="N136" s="40" t="s">
        <v>745</v>
      </c>
      <c r="O136" s="41"/>
    </row>
    <row r="137" spans="1:15">
      <c r="A137" s="130">
        <v>6</v>
      </c>
      <c r="B137" s="130" t="s">
        <v>721</v>
      </c>
      <c r="C137" s="131" t="s">
        <v>716</v>
      </c>
      <c r="D137" s="132" t="s">
        <v>680</v>
      </c>
      <c r="E137" s="133">
        <v>6</v>
      </c>
      <c r="F137" s="134"/>
      <c r="G137" s="135"/>
      <c r="H137" s="136"/>
      <c r="I137" s="135"/>
      <c r="J137" s="135"/>
      <c r="K137" s="137"/>
      <c r="L137" s="137"/>
      <c r="M137" s="137"/>
      <c r="N137" s="138"/>
      <c r="O137" s="41"/>
    </row>
    <row r="138" spans="1:15">
      <c r="A138" s="43">
        <v>6</v>
      </c>
      <c r="B138" s="43" t="s">
        <v>721</v>
      </c>
      <c r="C138" s="52" t="s">
        <v>716</v>
      </c>
      <c r="D138" s="93" t="s">
        <v>680</v>
      </c>
      <c r="E138" s="88">
        <v>6</v>
      </c>
      <c r="F138" s="80" t="s">
        <v>681</v>
      </c>
      <c r="G138" t="s">
        <v>682</v>
      </c>
      <c r="H138" s="67">
        <v>1</v>
      </c>
      <c r="I138">
        <v>195000</v>
      </c>
      <c r="J138">
        <v>195000</v>
      </c>
      <c r="O138" s="41"/>
    </row>
    <row r="139" spans="1:15">
      <c r="A139" s="43">
        <v>6</v>
      </c>
      <c r="B139" s="43" t="s">
        <v>721</v>
      </c>
      <c r="C139" s="52" t="s">
        <v>716</v>
      </c>
      <c r="D139" s="93" t="s">
        <v>680</v>
      </c>
      <c r="E139" s="88">
        <v>6</v>
      </c>
      <c r="K139" s="41">
        <v>195000</v>
      </c>
      <c r="M139" s="41">
        <v>195000</v>
      </c>
      <c r="O139" s="41"/>
    </row>
    <row r="140" spans="1:15">
      <c r="A140" s="130">
        <v>6</v>
      </c>
      <c r="B140" s="130" t="s">
        <v>721</v>
      </c>
      <c r="C140" s="131" t="s">
        <v>716</v>
      </c>
      <c r="D140" s="132" t="s">
        <v>680</v>
      </c>
      <c r="E140" s="133">
        <v>7</v>
      </c>
      <c r="F140" s="134"/>
      <c r="G140" s="135"/>
      <c r="H140" s="136"/>
      <c r="I140" s="135"/>
      <c r="J140" s="135"/>
      <c r="K140" s="137"/>
      <c r="L140" s="137"/>
      <c r="M140" s="137"/>
      <c r="N140" s="138"/>
      <c r="O140" s="41"/>
    </row>
    <row r="141" spans="1:15">
      <c r="A141" s="43">
        <v>6</v>
      </c>
      <c r="B141" s="43" t="s">
        <v>721</v>
      </c>
      <c r="C141" s="52" t="s">
        <v>716</v>
      </c>
      <c r="D141" s="93" t="s">
        <v>680</v>
      </c>
      <c r="E141" s="88">
        <v>7</v>
      </c>
      <c r="F141" s="80" t="s">
        <v>719</v>
      </c>
      <c r="G141" t="s">
        <v>651</v>
      </c>
      <c r="H141" s="67">
        <v>1</v>
      </c>
      <c r="I141">
        <v>98000</v>
      </c>
      <c r="J141">
        <v>98000</v>
      </c>
      <c r="O141" s="41"/>
    </row>
    <row r="142" spans="1:15">
      <c r="A142" s="43">
        <v>6</v>
      </c>
      <c r="B142" s="43" t="s">
        <v>721</v>
      </c>
      <c r="C142" s="52" t="s">
        <v>716</v>
      </c>
      <c r="D142" s="93" t="s">
        <v>680</v>
      </c>
      <c r="E142" s="88">
        <v>7</v>
      </c>
      <c r="K142" s="41">
        <v>98000</v>
      </c>
      <c r="M142" s="41">
        <v>98000</v>
      </c>
      <c r="O142" s="41"/>
    </row>
    <row r="143" spans="1:15">
      <c r="A143" s="130">
        <v>12</v>
      </c>
      <c r="B143" s="130" t="s">
        <v>679</v>
      </c>
      <c r="C143" s="131" t="s">
        <v>716</v>
      </c>
      <c r="D143" s="132" t="s">
        <v>680</v>
      </c>
      <c r="E143" s="133">
        <v>1</v>
      </c>
      <c r="F143" s="134"/>
      <c r="G143" s="135"/>
      <c r="H143" s="136"/>
      <c r="I143" s="135"/>
      <c r="J143" s="135"/>
      <c r="K143" s="137"/>
      <c r="L143" s="137"/>
      <c r="M143" s="137"/>
      <c r="N143" s="138"/>
      <c r="O143" s="41"/>
    </row>
    <row r="144" spans="1:15">
      <c r="A144" s="43">
        <v>12</v>
      </c>
      <c r="B144" s="43" t="s">
        <v>679</v>
      </c>
      <c r="C144" s="52" t="s">
        <v>716</v>
      </c>
      <c r="D144" s="93" t="s">
        <v>680</v>
      </c>
      <c r="E144" s="88">
        <v>1</v>
      </c>
      <c r="F144" s="80" t="s">
        <v>732</v>
      </c>
      <c r="G144" t="s">
        <v>656</v>
      </c>
      <c r="H144" s="67">
        <v>1</v>
      </c>
      <c r="I144">
        <v>98000</v>
      </c>
      <c r="J144">
        <v>98000</v>
      </c>
      <c r="O144" s="41"/>
    </row>
    <row r="145" spans="1:15">
      <c r="A145" s="43">
        <v>12</v>
      </c>
      <c r="B145" s="43" t="s">
        <v>679</v>
      </c>
      <c r="C145" s="52" t="s">
        <v>716</v>
      </c>
      <c r="D145" s="93" t="s">
        <v>680</v>
      </c>
      <c r="E145" s="88">
        <v>1</v>
      </c>
      <c r="K145" s="41">
        <v>98000</v>
      </c>
      <c r="M145" s="41">
        <v>98000</v>
      </c>
      <c r="O145" s="41"/>
    </row>
    <row r="146" spans="1:15">
      <c r="A146" s="130">
        <v>12</v>
      </c>
      <c r="B146" s="130" t="s">
        <v>679</v>
      </c>
      <c r="C146" s="131" t="s">
        <v>716</v>
      </c>
      <c r="D146" s="132" t="s">
        <v>680</v>
      </c>
      <c r="E146" s="133">
        <v>2</v>
      </c>
      <c r="F146" s="134"/>
      <c r="G146" s="135"/>
      <c r="H146" s="136"/>
      <c r="I146" s="135"/>
      <c r="J146" s="135"/>
      <c r="K146" s="137"/>
      <c r="L146" s="137"/>
      <c r="M146" s="137"/>
      <c r="N146" s="138"/>
      <c r="O146" s="41"/>
    </row>
    <row r="147" spans="1:15">
      <c r="A147" s="43">
        <v>12</v>
      </c>
      <c r="B147" s="43" t="s">
        <v>679</v>
      </c>
      <c r="C147" s="52" t="s">
        <v>716</v>
      </c>
      <c r="D147" s="93" t="s">
        <v>680</v>
      </c>
      <c r="E147" s="88">
        <v>2</v>
      </c>
      <c r="F147" s="80" t="s">
        <v>719</v>
      </c>
      <c r="G147" t="s">
        <v>651</v>
      </c>
      <c r="H147" s="67">
        <v>1</v>
      </c>
      <c r="I147">
        <v>98000</v>
      </c>
      <c r="J147">
        <v>98000</v>
      </c>
      <c r="O147" s="41"/>
    </row>
    <row r="148" spans="1:15">
      <c r="A148" s="43">
        <v>12</v>
      </c>
      <c r="B148" s="43" t="s">
        <v>679</v>
      </c>
      <c r="C148" s="52" t="s">
        <v>716</v>
      </c>
      <c r="D148" s="93" t="s">
        <v>680</v>
      </c>
      <c r="E148" s="88">
        <v>2</v>
      </c>
      <c r="K148" s="41">
        <v>98000</v>
      </c>
      <c r="M148" s="41">
        <v>98000</v>
      </c>
      <c r="O148" s="41"/>
    </row>
    <row r="149" spans="1:15">
      <c r="A149" s="130">
        <v>9</v>
      </c>
      <c r="B149" s="130" t="s">
        <v>679</v>
      </c>
      <c r="C149" s="131" t="s">
        <v>716</v>
      </c>
      <c r="D149" s="132" t="s">
        <v>680</v>
      </c>
      <c r="E149" s="133">
        <v>1</v>
      </c>
      <c r="F149" s="134"/>
      <c r="G149" s="135"/>
      <c r="H149" s="136"/>
      <c r="I149" s="135"/>
      <c r="J149" s="135"/>
      <c r="K149" s="137"/>
      <c r="L149" s="137"/>
      <c r="M149" s="137"/>
      <c r="N149" s="138"/>
      <c r="O149" s="41"/>
    </row>
    <row r="150" spans="1:15">
      <c r="A150" s="43">
        <v>9</v>
      </c>
      <c r="B150" s="43" t="s">
        <v>679</v>
      </c>
      <c r="C150" s="52" t="s">
        <v>716</v>
      </c>
      <c r="D150" s="93" t="s">
        <v>680</v>
      </c>
      <c r="E150" s="88">
        <v>1</v>
      </c>
      <c r="F150" s="80" t="s">
        <v>681</v>
      </c>
      <c r="G150" t="s">
        <v>682</v>
      </c>
      <c r="H150" s="67">
        <v>1</v>
      </c>
      <c r="I150">
        <v>195000</v>
      </c>
      <c r="J150">
        <v>195000</v>
      </c>
      <c r="O150" s="41"/>
    </row>
    <row r="151" spans="1:15">
      <c r="A151" s="43">
        <v>9</v>
      </c>
      <c r="B151" s="43" t="s">
        <v>679</v>
      </c>
      <c r="C151" s="52" t="s">
        <v>716</v>
      </c>
      <c r="D151" s="93" t="s">
        <v>680</v>
      </c>
      <c r="E151" s="88">
        <v>1</v>
      </c>
      <c r="K151" s="41">
        <v>195000</v>
      </c>
      <c r="M151" s="41">
        <v>195000</v>
      </c>
      <c r="O151" s="41"/>
    </row>
    <row r="152" spans="1:15">
      <c r="A152" s="130">
        <v>7</v>
      </c>
      <c r="B152" s="130" t="s">
        <v>679</v>
      </c>
      <c r="C152" s="131" t="s">
        <v>716</v>
      </c>
      <c r="D152" s="132" t="s">
        <v>680</v>
      </c>
      <c r="E152" s="133">
        <v>1</v>
      </c>
      <c r="F152" s="134"/>
      <c r="G152" s="135"/>
      <c r="H152" s="136"/>
      <c r="I152" s="135"/>
      <c r="J152" s="135"/>
      <c r="K152" s="137"/>
      <c r="L152" s="137"/>
      <c r="M152" s="137"/>
      <c r="N152" s="138"/>
      <c r="O152" s="41"/>
    </row>
    <row r="153" spans="1:15">
      <c r="A153" s="43">
        <v>7</v>
      </c>
      <c r="B153" s="43" t="s">
        <v>679</v>
      </c>
      <c r="C153" s="52" t="s">
        <v>716</v>
      </c>
      <c r="D153" s="93" t="s">
        <v>680</v>
      </c>
      <c r="E153" s="88">
        <v>1</v>
      </c>
      <c r="F153" s="80" t="s">
        <v>719</v>
      </c>
      <c r="G153" t="s">
        <v>651</v>
      </c>
      <c r="H153" s="67">
        <v>2</v>
      </c>
      <c r="I153">
        <v>98000</v>
      </c>
      <c r="J153">
        <v>196000</v>
      </c>
      <c r="O153" s="41"/>
    </row>
    <row r="154" spans="1:15">
      <c r="A154" s="43">
        <v>7</v>
      </c>
      <c r="B154" s="43" t="s">
        <v>679</v>
      </c>
      <c r="C154" s="52" t="s">
        <v>716</v>
      </c>
      <c r="D154" s="93" t="s">
        <v>680</v>
      </c>
      <c r="E154" s="88">
        <v>1</v>
      </c>
      <c r="F154" s="80" t="s">
        <v>723</v>
      </c>
      <c r="G154" t="s">
        <v>724</v>
      </c>
      <c r="H154" s="67">
        <v>1</v>
      </c>
      <c r="I154">
        <v>115000</v>
      </c>
      <c r="J154">
        <v>115000</v>
      </c>
      <c r="O154" s="41"/>
    </row>
    <row r="155" spans="1:15">
      <c r="A155" s="43">
        <v>7</v>
      </c>
      <c r="B155" s="43" t="s">
        <v>679</v>
      </c>
      <c r="C155" s="52" t="s">
        <v>716</v>
      </c>
      <c r="D155" s="93" t="s">
        <v>680</v>
      </c>
      <c r="E155" s="88">
        <v>1</v>
      </c>
      <c r="K155" s="41">
        <v>311000</v>
      </c>
      <c r="M155" s="41">
        <v>311000</v>
      </c>
      <c r="O155" s="41"/>
    </row>
    <row r="156" spans="1:15">
      <c r="A156" s="130">
        <v>7</v>
      </c>
      <c r="B156" s="130" t="s">
        <v>721</v>
      </c>
      <c r="C156" s="131" t="s">
        <v>716</v>
      </c>
      <c r="D156" s="132" t="s">
        <v>680</v>
      </c>
      <c r="E156" s="133">
        <v>1</v>
      </c>
      <c r="F156" s="134"/>
      <c r="G156" s="135"/>
      <c r="H156" s="136"/>
      <c r="I156" s="135"/>
      <c r="J156" s="135"/>
      <c r="K156" s="137"/>
      <c r="L156" s="137"/>
      <c r="M156" s="137"/>
      <c r="N156" s="138"/>
      <c r="O156" s="41"/>
    </row>
    <row r="157" spans="1:15">
      <c r="A157" s="43">
        <v>7</v>
      </c>
      <c r="B157" s="43" t="s">
        <v>721</v>
      </c>
      <c r="C157" s="52" t="s">
        <v>716</v>
      </c>
      <c r="D157" s="93" t="s">
        <v>680</v>
      </c>
      <c r="E157" s="88">
        <v>1</v>
      </c>
      <c r="F157" s="80" t="s">
        <v>717</v>
      </c>
      <c r="G157" t="s">
        <v>718</v>
      </c>
      <c r="H157" s="67">
        <v>1</v>
      </c>
      <c r="I157">
        <v>115000</v>
      </c>
      <c r="J157">
        <v>115000</v>
      </c>
      <c r="O157" s="41"/>
    </row>
    <row r="158" spans="1:15">
      <c r="A158" s="43">
        <v>7</v>
      </c>
      <c r="B158" s="43" t="s">
        <v>721</v>
      </c>
      <c r="C158" s="52" t="s">
        <v>716</v>
      </c>
      <c r="D158" s="93" t="s">
        <v>680</v>
      </c>
      <c r="E158" s="88">
        <v>1</v>
      </c>
      <c r="K158" s="41">
        <v>115000</v>
      </c>
      <c r="L158" s="41">
        <v>17000</v>
      </c>
      <c r="M158" s="41">
        <v>98000</v>
      </c>
      <c r="N158" s="40" t="s">
        <v>746</v>
      </c>
      <c r="O158" s="41"/>
    </row>
    <row r="159" spans="1:15">
      <c r="A159" s="130">
        <v>7</v>
      </c>
      <c r="B159" s="130" t="s">
        <v>721</v>
      </c>
      <c r="C159" s="131" t="s">
        <v>716</v>
      </c>
      <c r="D159" s="132" t="s">
        <v>680</v>
      </c>
      <c r="E159" s="133">
        <v>2</v>
      </c>
      <c r="F159" s="134"/>
      <c r="G159" s="135"/>
      <c r="H159" s="136"/>
      <c r="I159" s="135"/>
      <c r="J159" s="135"/>
      <c r="K159" s="137"/>
      <c r="L159" s="137"/>
      <c r="M159" s="137"/>
      <c r="N159" s="138"/>
      <c r="O159" s="41"/>
    </row>
    <row r="160" spans="1:15">
      <c r="A160" s="43">
        <v>7</v>
      </c>
      <c r="B160" s="43" t="s">
        <v>721</v>
      </c>
      <c r="C160" s="52" t="s">
        <v>716</v>
      </c>
      <c r="D160" s="93" t="s">
        <v>680</v>
      </c>
      <c r="E160" s="88">
        <v>2</v>
      </c>
      <c r="F160" s="80" t="s">
        <v>729</v>
      </c>
      <c r="G160" t="s">
        <v>730</v>
      </c>
      <c r="H160" s="67">
        <v>1</v>
      </c>
      <c r="I160">
        <v>85000</v>
      </c>
      <c r="J160">
        <v>85000</v>
      </c>
      <c r="O160" s="41"/>
    </row>
    <row r="161" spans="1:15">
      <c r="A161" s="43">
        <v>7</v>
      </c>
      <c r="B161" s="43" t="s">
        <v>721</v>
      </c>
      <c r="C161" s="52" t="s">
        <v>716</v>
      </c>
      <c r="D161" s="93" t="s">
        <v>680</v>
      </c>
      <c r="E161" s="88">
        <v>2</v>
      </c>
      <c r="K161" s="41">
        <v>85000</v>
      </c>
      <c r="M161" s="41">
        <v>85000</v>
      </c>
      <c r="O161" s="41"/>
    </row>
    <row r="162" spans="1:15">
      <c r="A162" s="130">
        <v>7</v>
      </c>
      <c r="B162" s="130" t="s">
        <v>721</v>
      </c>
      <c r="C162" s="131" t="s">
        <v>716</v>
      </c>
      <c r="D162" s="132" t="s">
        <v>680</v>
      </c>
      <c r="E162" s="133">
        <v>3</v>
      </c>
      <c r="F162" s="134"/>
      <c r="G162" s="135"/>
      <c r="H162" s="136"/>
      <c r="I162" s="135"/>
      <c r="J162" s="135"/>
      <c r="K162" s="137"/>
      <c r="L162" s="137"/>
      <c r="M162" s="137"/>
      <c r="N162" s="138"/>
      <c r="O162" s="41"/>
    </row>
    <row r="163" spans="1:15">
      <c r="A163" s="43">
        <v>7</v>
      </c>
      <c r="B163" s="43" t="s">
        <v>721</v>
      </c>
      <c r="C163" s="52" t="s">
        <v>716</v>
      </c>
      <c r="D163" s="93" t="s">
        <v>680</v>
      </c>
      <c r="E163" s="88">
        <v>3</v>
      </c>
      <c r="F163" s="80" t="s">
        <v>732</v>
      </c>
      <c r="G163" t="s">
        <v>656</v>
      </c>
      <c r="H163" s="67">
        <v>1</v>
      </c>
      <c r="I163">
        <v>98000</v>
      </c>
      <c r="J163">
        <v>98000</v>
      </c>
      <c r="O163" s="41"/>
    </row>
    <row r="164" spans="1:15">
      <c r="A164" s="43">
        <v>7</v>
      </c>
      <c r="B164" s="43" t="s">
        <v>721</v>
      </c>
      <c r="C164" s="52" t="s">
        <v>716</v>
      </c>
      <c r="D164" s="93" t="s">
        <v>680</v>
      </c>
      <c r="E164" s="88">
        <v>3</v>
      </c>
      <c r="K164" s="41">
        <v>98000</v>
      </c>
      <c r="M164" s="41">
        <v>98000</v>
      </c>
      <c r="O164" s="41"/>
    </row>
    <row r="165" spans="1:15">
      <c r="A165" s="130">
        <v>7</v>
      </c>
      <c r="B165" s="130" t="s">
        <v>721</v>
      </c>
      <c r="C165" s="131" t="s">
        <v>716</v>
      </c>
      <c r="D165" s="132" t="s">
        <v>680</v>
      </c>
      <c r="E165" s="133">
        <v>4</v>
      </c>
      <c r="F165" s="134"/>
      <c r="G165" s="135"/>
      <c r="H165" s="136"/>
      <c r="I165" s="135"/>
      <c r="J165" s="135"/>
      <c r="K165" s="137"/>
      <c r="L165" s="137"/>
      <c r="M165" s="137"/>
      <c r="N165" s="138"/>
      <c r="O165" s="41"/>
    </row>
    <row r="166" spans="1:15">
      <c r="A166" s="43">
        <v>7</v>
      </c>
      <c r="B166" s="43" t="s">
        <v>721</v>
      </c>
      <c r="C166" s="52" t="s">
        <v>716</v>
      </c>
      <c r="D166" s="93" t="s">
        <v>680</v>
      </c>
      <c r="E166" s="88">
        <v>4</v>
      </c>
      <c r="F166" s="80" t="s">
        <v>681</v>
      </c>
      <c r="G166" t="s">
        <v>682</v>
      </c>
      <c r="H166" s="67">
        <v>1</v>
      </c>
      <c r="I166">
        <v>195000</v>
      </c>
      <c r="J166">
        <v>195000</v>
      </c>
      <c r="O166" s="41"/>
    </row>
    <row r="167" spans="1:15">
      <c r="A167" s="43">
        <v>7</v>
      </c>
      <c r="B167" s="43" t="s">
        <v>721</v>
      </c>
      <c r="C167" s="52" t="s">
        <v>716</v>
      </c>
      <c r="D167" s="93" t="s">
        <v>680</v>
      </c>
      <c r="E167" s="88">
        <v>4</v>
      </c>
      <c r="F167" s="80" t="s">
        <v>689</v>
      </c>
      <c r="G167" t="s">
        <v>690</v>
      </c>
      <c r="H167" s="67">
        <v>1</v>
      </c>
      <c r="I167">
        <v>115000</v>
      </c>
      <c r="J167">
        <v>115000</v>
      </c>
      <c r="O167" s="41"/>
    </row>
    <row r="168" spans="1:15">
      <c r="A168" s="43">
        <v>7</v>
      </c>
      <c r="B168" s="43" t="s">
        <v>721</v>
      </c>
      <c r="C168" s="52" t="s">
        <v>716</v>
      </c>
      <c r="D168" s="93" t="s">
        <v>680</v>
      </c>
      <c r="E168" s="88">
        <v>4</v>
      </c>
      <c r="K168" s="41">
        <v>310000</v>
      </c>
      <c r="M168" s="41">
        <v>310000</v>
      </c>
      <c r="O168" s="41"/>
    </row>
    <row r="169" spans="1:15">
      <c r="A169" s="130">
        <v>12</v>
      </c>
      <c r="B169" s="130" t="s">
        <v>721</v>
      </c>
      <c r="C169" s="131" t="s">
        <v>747</v>
      </c>
      <c r="D169" s="132" t="s">
        <v>680</v>
      </c>
      <c r="E169" s="133">
        <v>1</v>
      </c>
      <c r="F169" s="134"/>
      <c r="G169" s="135"/>
      <c r="H169" s="136"/>
      <c r="I169" s="135"/>
      <c r="J169" s="135"/>
      <c r="K169" s="137"/>
      <c r="L169" s="137"/>
      <c r="M169" s="137"/>
      <c r="N169" s="138"/>
      <c r="O169" s="41"/>
    </row>
    <row r="170" spans="1:15">
      <c r="A170" s="43">
        <v>12</v>
      </c>
      <c r="B170" s="43" t="s">
        <v>721</v>
      </c>
      <c r="C170" s="52" t="s">
        <v>747</v>
      </c>
      <c r="D170" s="93" t="s">
        <v>680</v>
      </c>
      <c r="E170" s="88">
        <v>1</v>
      </c>
      <c r="F170" s="80" t="s">
        <v>719</v>
      </c>
      <c r="G170" t="s">
        <v>651</v>
      </c>
      <c r="H170" s="67">
        <v>1</v>
      </c>
      <c r="I170">
        <v>98000</v>
      </c>
      <c r="J170">
        <v>98000</v>
      </c>
      <c r="O170" s="41"/>
    </row>
    <row r="171" spans="1:15">
      <c r="A171" s="43">
        <v>12</v>
      </c>
      <c r="B171" s="43" t="s">
        <v>721</v>
      </c>
      <c r="C171" s="52" t="s">
        <v>747</v>
      </c>
      <c r="D171" s="93" t="s">
        <v>680</v>
      </c>
      <c r="E171" s="88">
        <v>1</v>
      </c>
      <c r="F171" s="80" t="s">
        <v>681</v>
      </c>
      <c r="G171" t="s">
        <v>682</v>
      </c>
      <c r="H171" s="67">
        <v>1</v>
      </c>
      <c r="I171">
        <v>195000</v>
      </c>
      <c r="J171">
        <v>195000</v>
      </c>
      <c r="O171" s="41"/>
    </row>
    <row r="172" spans="1:15">
      <c r="A172" s="43">
        <v>12</v>
      </c>
      <c r="B172" s="43" t="s">
        <v>721</v>
      </c>
      <c r="C172" s="52" t="s">
        <v>747</v>
      </c>
      <c r="D172" s="93" t="s">
        <v>680</v>
      </c>
      <c r="E172" s="88">
        <v>1</v>
      </c>
      <c r="K172" s="41">
        <v>293000</v>
      </c>
      <c r="M172" s="41">
        <v>293000</v>
      </c>
      <c r="O172" s="41"/>
    </row>
    <row r="173" spans="1:15">
      <c r="A173" s="130">
        <v>12</v>
      </c>
      <c r="B173" s="130" t="s">
        <v>721</v>
      </c>
      <c r="C173" s="131" t="s">
        <v>747</v>
      </c>
      <c r="D173" s="132" t="s">
        <v>680</v>
      </c>
      <c r="E173" s="133">
        <v>2</v>
      </c>
      <c r="F173" s="134"/>
      <c r="G173" s="135"/>
      <c r="H173" s="136"/>
      <c r="I173" s="135"/>
      <c r="J173" s="135"/>
      <c r="K173" s="137"/>
      <c r="L173" s="137"/>
      <c r="M173" s="137"/>
      <c r="N173" s="138"/>
      <c r="O173" s="41"/>
    </row>
    <row r="174" spans="1:15">
      <c r="A174" s="43">
        <v>12</v>
      </c>
      <c r="B174" s="43" t="s">
        <v>721</v>
      </c>
      <c r="C174" s="52" t="s">
        <v>747</v>
      </c>
      <c r="D174" s="93" t="s">
        <v>680</v>
      </c>
      <c r="E174" s="88">
        <v>2</v>
      </c>
      <c r="F174" s="80" t="s">
        <v>741</v>
      </c>
      <c r="G174" t="s">
        <v>652</v>
      </c>
      <c r="H174" s="67">
        <v>1</v>
      </c>
      <c r="I174">
        <v>98000</v>
      </c>
      <c r="J174">
        <v>98000</v>
      </c>
      <c r="O174" s="41"/>
    </row>
    <row r="175" spans="1:15">
      <c r="A175" s="43">
        <v>12</v>
      </c>
      <c r="B175" s="43" t="s">
        <v>721</v>
      </c>
      <c r="C175" s="52" t="s">
        <v>747</v>
      </c>
      <c r="D175" s="93" t="s">
        <v>680</v>
      </c>
      <c r="E175" s="88">
        <v>2</v>
      </c>
      <c r="F175" s="80" t="s">
        <v>729</v>
      </c>
      <c r="G175" t="s">
        <v>730</v>
      </c>
      <c r="H175" s="67">
        <v>1</v>
      </c>
      <c r="I175">
        <v>85000</v>
      </c>
      <c r="J175">
        <v>85000</v>
      </c>
      <c r="O175" s="41"/>
    </row>
    <row r="176" spans="1:15">
      <c r="A176" s="43">
        <v>12</v>
      </c>
      <c r="B176" s="43" t="s">
        <v>721</v>
      </c>
      <c r="C176" s="52" t="s">
        <v>747</v>
      </c>
      <c r="D176" s="93" t="s">
        <v>680</v>
      </c>
      <c r="E176" s="88">
        <v>2</v>
      </c>
      <c r="K176" s="41">
        <v>183000</v>
      </c>
      <c r="M176" s="41">
        <v>183000</v>
      </c>
      <c r="O176" s="41"/>
    </row>
    <row r="177" spans="1:15">
      <c r="A177" s="130">
        <v>13</v>
      </c>
      <c r="B177" s="130" t="s">
        <v>679</v>
      </c>
      <c r="C177" s="131" t="s">
        <v>747</v>
      </c>
      <c r="D177" s="132" t="s">
        <v>680</v>
      </c>
      <c r="E177" s="133">
        <v>1</v>
      </c>
      <c r="F177" s="134"/>
      <c r="G177" s="135"/>
      <c r="H177" s="136"/>
      <c r="I177" s="135"/>
      <c r="J177" s="135"/>
      <c r="K177" s="137"/>
      <c r="L177" s="137"/>
      <c r="M177" s="137"/>
      <c r="N177" s="138"/>
      <c r="O177" s="41"/>
    </row>
    <row r="178" spans="1:15">
      <c r="A178" s="43">
        <v>13</v>
      </c>
      <c r="B178" s="43" t="s">
        <v>679</v>
      </c>
      <c r="C178" s="52" t="s">
        <v>747</v>
      </c>
      <c r="D178" s="93" t="s">
        <v>680</v>
      </c>
      <c r="E178" s="88">
        <v>1</v>
      </c>
      <c r="F178" s="80" t="s">
        <v>681</v>
      </c>
      <c r="G178" t="s">
        <v>682</v>
      </c>
      <c r="H178" s="67">
        <v>2</v>
      </c>
      <c r="I178">
        <v>195000</v>
      </c>
      <c r="J178">
        <v>390000</v>
      </c>
      <c r="O178" s="41"/>
    </row>
    <row r="179" spans="1:15">
      <c r="A179" s="43">
        <v>13</v>
      </c>
      <c r="B179" s="43" t="s">
        <v>679</v>
      </c>
      <c r="C179" s="52" t="s">
        <v>747</v>
      </c>
      <c r="D179" s="93" t="s">
        <v>680</v>
      </c>
      <c r="E179" s="88">
        <v>1</v>
      </c>
      <c r="K179" s="41">
        <v>390000</v>
      </c>
      <c r="M179" s="41">
        <v>390000</v>
      </c>
      <c r="O179" s="41"/>
    </row>
    <row r="180" spans="1:15">
      <c r="A180" s="130">
        <v>13</v>
      </c>
      <c r="B180" s="130" t="s">
        <v>721</v>
      </c>
      <c r="C180" s="131" t="s">
        <v>747</v>
      </c>
      <c r="D180" s="132" t="s">
        <v>680</v>
      </c>
      <c r="E180" s="133">
        <v>1</v>
      </c>
      <c r="F180" s="134"/>
      <c r="G180" s="135"/>
      <c r="H180" s="136"/>
      <c r="I180" s="135"/>
      <c r="J180" s="135"/>
      <c r="K180" s="137"/>
      <c r="L180" s="137"/>
      <c r="M180" s="137"/>
      <c r="N180" s="138"/>
      <c r="O180" s="41"/>
    </row>
    <row r="181" spans="1:15">
      <c r="A181" s="43">
        <v>13</v>
      </c>
      <c r="B181" s="43" t="s">
        <v>721</v>
      </c>
      <c r="C181" s="52" t="s">
        <v>747</v>
      </c>
      <c r="D181" s="93" t="s">
        <v>680</v>
      </c>
      <c r="E181" s="88">
        <v>1</v>
      </c>
      <c r="F181" s="80" t="s">
        <v>681</v>
      </c>
      <c r="G181" t="s">
        <v>682</v>
      </c>
      <c r="H181" s="67">
        <v>1</v>
      </c>
      <c r="I181">
        <v>195000</v>
      </c>
      <c r="J181">
        <v>195000</v>
      </c>
      <c r="O181" s="41"/>
    </row>
    <row r="182" spans="1:15">
      <c r="A182" s="43">
        <v>13</v>
      </c>
      <c r="B182" s="43" t="s">
        <v>721</v>
      </c>
      <c r="C182" s="52" t="s">
        <v>747</v>
      </c>
      <c r="D182" s="93" t="s">
        <v>680</v>
      </c>
      <c r="E182" s="88">
        <v>1</v>
      </c>
      <c r="F182" s="80" t="s">
        <v>723</v>
      </c>
      <c r="G182" t="s">
        <v>724</v>
      </c>
      <c r="H182" s="67">
        <v>1</v>
      </c>
      <c r="I182">
        <v>115000</v>
      </c>
      <c r="J182">
        <v>115000</v>
      </c>
      <c r="O182" s="41"/>
    </row>
    <row r="183" spans="1:15">
      <c r="A183" s="43">
        <v>13</v>
      </c>
      <c r="B183" s="43" t="s">
        <v>721</v>
      </c>
      <c r="C183" s="52" t="s">
        <v>747</v>
      </c>
      <c r="D183" s="93" t="s">
        <v>680</v>
      </c>
      <c r="E183" s="88">
        <v>1</v>
      </c>
      <c r="K183" s="41">
        <v>310000</v>
      </c>
      <c r="M183" s="41">
        <v>310000</v>
      </c>
      <c r="O183" s="41"/>
    </row>
    <row r="184" spans="1:15">
      <c r="A184" s="130">
        <v>13</v>
      </c>
      <c r="B184" s="130" t="s">
        <v>721</v>
      </c>
      <c r="C184" s="131" t="s">
        <v>747</v>
      </c>
      <c r="D184" s="132" t="s">
        <v>680</v>
      </c>
      <c r="E184" s="133">
        <v>2</v>
      </c>
      <c r="F184" s="134"/>
      <c r="G184" s="135"/>
      <c r="H184" s="136"/>
      <c r="I184" s="135"/>
      <c r="J184" s="135"/>
      <c r="K184" s="137"/>
      <c r="L184" s="137"/>
      <c r="M184" s="137"/>
      <c r="N184" s="138"/>
      <c r="O184" s="41"/>
    </row>
    <row r="185" spans="1:15">
      <c r="A185" s="43">
        <v>13</v>
      </c>
      <c r="B185" s="43" t="s">
        <v>721</v>
      </c>
      <c r="C185" s="52" t="s">
        <v>747</v>
      </c>
      <c r="D185" s="93" t="s">
        <v>680</v>
      </c>
      <c r="E185" s="88">
        <v>2</v>
      </c>
      <c r="F185" s="80" t="s">
        <v>729</v>
      </c>
      <c r="G185" t="s">
        <v>730</v>
      </c>
      <c r="H185" s="67">
        <v>1</v>
      </c>
      <c r="I185">
        <v>85000</v>
      </c>
      <c r="J185">
        <v>85000</v>
      </c>
      <c r="O185" s="41"/>
    </row>
    <row r="186" spans="1:15">
      <c r="A186" s="43">
        <v>13</v>
      </c>
      <c r="B186" s="43" t="s">
        <v>721</v>
      </c>
      <c r="C186" s="52" t="s">
        <v>747</v>
      </c>
      <c r="D186" s="93" t="s">
        <v>680</v>
      </c>
      <c r="E186" s="88">
        <v>2</v>
      </c>
      <c r="K186" s="41">
        <v>85000</v>
      </c>
      <c r="M186" s="41">
        <v>85000</v>
      </c>
      <c r="O186" s="41"/>
    </row>
    <row r="187" spans="1:15">
      <c r="A187" s="130">
        <v>8</v>
      </c>
      <c r="B187" s="130" t="s">
        <v>679</v>
      </c>
      <c r="C187" s="131" t="s">
        <v>716</v>
      </c>
      <c r="D187" s="132" t="s">
        <v>680</v>
      </c>
      <c r="E187" s="133">
        <v>2</v>
      </c>
      <c r="F187" s="134"/>
      <c r="G187" s="135"/>
      <c r="H187" s="136"/>
      <c r="I187" s="135"/>
      <c r="J187" s="135"/>
      <c r="K187" s="137"/>
      <c r="L187" s="137"/>
      <c r="M187" s="137"/>
      <c r="N187" s="138"/>
      <c r="O187" s="41"/>
    </row>
    <row r="188" spans="1:15">
      <c r="A188" s="43">
        <v>8</v>
      </c>
      <c r="B188" s="43" t="s">
        <v>679</v>
      </c>
      <c r="C188" s="52" t="s">
        <v>716</v>
      </c>
      <c r="D188" s="93" t="s">
        <v>680</v>
      </c>
      <c r="E188" s="88">
        <v>2</v>
      </c>
      <c r="F188" s="80" t="s">
        <v>681</v>
      </c>
      <c r="G188" t="s">
        <v>682</v>
      </c>
      <c r="H188" s="67">
        <v>1</v>
      </c>
      <c r="I188">
        <v>195000</v>
      </c>
      <c r="J188">
        <v>195000</v>
      </c>
      <c r="O188" s="41"/>
    </row>
    <row r="189" spans="1:15">
      <c r="A189" s="43">
        <v>8</v>
      </c>
      <c r="B189" s="43" t="s">
        <v>679</v>
      </c>
      <c r="C189" s="52" t="s">
        <v>716</v>
      </c>
      <c r="D189" s="93" t="s">
        <v>680</v>
      </c>
      <c r="E189" s="88">
        <v>2</v>
      </c>
      <c r="K189" s="41">
        <v>195000</v>
      </c>
      <c r="M189" s="41">
        <v>195000</v>
      </c>
      <c r="O189" s="41"/>
    </row>
    <row r="190" spans="1:15">
      <c r="A190" s="130">
        <v>8</v>
      </c>
      <c r="B190" s="130" t="s">
        <v>721</v>
      </c>
      <c r="C190" s="131" t="s">
        <v>716</v>
      </c>
      <c r="D190" s="132" t="s">
        <v>680</v>
      </c>
      <c r="E190" s="133">
        <v>1</v>
      </c>
      <c r="F190" s="134"/>
      <c r="G190" s="135"/>
      <c r="H190" s="136"/>
      <c r="I190" s="135"/>
      <c r="J190" s="135"/>
      <c r="K190" s="137"/>
      <c r="L190" s="137"/>
      <c r="M190" s="137"/>
      <c r="N190" s="138"/>
      <c r="O190" s="41"/>
    </row>
    <row r="191" spans="1:15">
      <c r="A191" s="43">
        <v>8</v>
      </c>
      <c r="B191" s="43" t="s">
        <v>721</v>
      </c>
      <c r="C191" s="52" t="s">
        <v>716</v>
      </c>
      <c r="D191" s="93" t="s">
        <v>680</v>
      </c>
      <c r="E191" s="88">
        <v>1</v>
      </c>
      <c r="F191" s="80" t="s">
        <v>719</v>
      </c>
      <c r="G191" t="s">
        <v>651</v>
      </c>
      <c r="H191" s="67">
        <v>2</v>
      </c>
      <c r="I191">
        <v>98000</v>
      </c>
      <c r="J191">
        <v>196000</v>
      </c>
      <c r="O191" s="41"/>
    </row>
    <row r="192" spans="1:15">
      <c r="A192" s="43">
        <v>8</v>
      </c>
      <c r="B192" s="43" t="s">
        <v>721</v>
      </c>
      <c r="C192" s="52" t="s">
        <v>716</v>
      </c>
      <c r="D192" s="93" t="s">
        <v>680</v>
      </c>
      <c r="E192" s="88">
        <v>1</v>
      </c>
      <c r="K192" s="41">
        <v>196000</v>
      </c>
      <c r="M192" s="41">
        <v>196000</v>
      </c>
      <c r="O192" s="41"/>
    </row>
    <row r="193" spans="1:15">
      <c r="A193" s="130">
        <v>8</v>
      </c>
      <c r="B193" s="130" t="s">
        <v>721</v>
      </c>
      <c r="C193" s="131" t="s">
        <v>716</v>
      </c>
      <c r="D193" s="132" t="s">
        <v>680</v>
      </c>
      <c r="E193" s="133">
        <v>2</v>
      </c>
      <c r="F193" s="134"/>
      <c r="G193" s="135"/>
      <c r="H193" s="136"/>
      <c r="I193" s="135"/>
      <c r="J193" s="135"/>
      <c r="K193" s="137"/>
      <c r="L193" s="137"/>
      <c r="M193" s="137"/>
      <c r="N193" s="138"/>
      <c r="O193" s="41"/>
    </row>
    <row r="194" spans="1:15">
      <c r="A194" s="43">
        <v>8</v>
      </c>
      <c r="B194" s="43" t="s">
        <v>721</v>
      </c>
      <c r="C194" s="52" t="s">
        <v>716</v>
      </c>
      <c r="D194" s="93" t="s">
        <v>680</v>
      </c>
      <c r="E194" s="88">
        <v>2</v>
      </c>
      <c r="F194" s="80" t="s">
        <v>737</v>
      </c>
      <c r="G194" t="s">
        <v>693</v>
      </c>
      <c r="H194" s="67">
        <v>1</v>
      </c>
      <c r="I194">
        <v>58000</v>
      </c>
      <c r="J194">
        <v>58000</v>
      </c>
      <c r="O194" s="41"/>
    </row>
    <row r="195" spans="1:15">
      <c r="A195" s="43">
        <v>8</v>
      </c>
      <c r="B195" s="43" t="s">
        <v>721</v>
      </c>
      <c r="C195" s="52" t="s">
        <v>716</v>
      </c>
      <c r="D195" s="93" t="s">
        <v>680</v>
      </c>
      <c r="E195" s="88">
        <v>2</v>
      </c>
      <c r="K195" s="41">
        <v>58000</v>
      </c>
      <c r="M195" s="41">
        <v>58000</v>
      </c>
      <c r="O195" s="41"/>
    </row>
    <row r="196" spans="1:15">
      <c r="A196" s="130">
        <v>8</v>
      </c>
      <c r="B196" s="130" t="s">
        <v>721</v>
      </c>
      <c r="C196" s="131" t="s">
        <v>716</v>
      </c>
      <c r="D196" s="132" t="s">
        <v>680</v>
      </c>
      <c r="E196" s="133">
        <v>3</v>
      </c>
      <c r="F196" s="134"/>
      <c r="G196" s="135"/>
      <c r="H196" s="136"/>
      <c r="I196" s="135"/>
      <c r="J196" s="135"/>
      <c r="K196" s="137"/>
      <c r="L196" s="137"/>
      <c r="M196" s="137"/>
      <c r="N196" s="138"/>
      <c r="O196" s="41"/>
    </row>
    <row r="197" spans="1:15">
      <c r="A197" s="43">
        <v>8</v>
      </c>
      <c r="B197" s="43" t="s">
        <v>721</v>
      </c>
      <c r="C197" s="52" t="s">
        <v>716</v>
      </c>
      <c r="D197" s="93" t="s">
        <v>680</v>
      </c>
      <c r="E197" s="88">
        <v>3</v>
      </c>
      <c r="F197" s="80" t="s">
        <v>732</v>
      </c>
      <c r="G197" t="s">
        <v>656</v>
      </c>
      <c r="H197" s="67">
        <v>1</v>
      </c>
      <c r="I197">
        <v>98000</v>
      </c>
      <c r="J197">
        <v>98000</v>
      </c>
      <c r="O197" s="41"/>
    </row>
    <row r="198" spans="1:15">
      <c r="A198" s="43">
        <v>8</v>
      </c>
      <c r="B198" s="43" t="s">
        <v>721</v>
      </c>
      <c r="C198" s="52" t="s">
        <v>716</v>
      </c>
      <c r="D198" s="93" t="s">
        <v>680</v>
      </c>
      <c r="E198" s="88">
        <v>3</v>
      </c>
      <c r="K198" s="41">
        <v>98000</v>
      </c>
      <c r="M198" s="41">
        <v>98000</v>
      </c>
      <c r="O198" s="41"/>
    </row>
    <row r="199" spans="1:15">
      <c r="A199" s="130">
        <v>9</v>
      </c>
      <c r="B199" s="130" t="s">
        <v>721</v>
      </c>
      <c r="C199" s="131" t="s">
        <v>748</v>
      </c>
      <c r="D199" s="132" t="s">
        <v>680</v>
      </c>
      <c r="E199" s="133">
        <v>1</v>
      </c>
      <c r="F199" s="134"/>
      <c r="G199" s="135"/>
      <c r="H199" s="136"/>
      <c r="I199" s="135"/>
      <c r="J199" s="135"/>
      <c r="K199" s="154"/>
      <c r="L199" s="154"/>
      <c r="M199" s="154"/>
      <c r="N199" s="138"/>
      <c r="O199" s="41"/>
    </row>
    <row r="200" spans="1:15">
      <c r="A200" s="43">
        <v>9</v>
      </c>
      <c r="B200" s="43" t="s">
        <v>721</v>
      </c>
      <c r="C200" s="52" t="s">
        <v>748</v>
      </c>
      <c r="D200" s="93" t="s">
        <v>680</v>
      </c>
      <c r="E200" s="88">
        <v>1</v>
      </c>
      <c r="F200" s="80" t="s">
        <v>667</v>
      </c>
      <c r="G200" t="s">
        <v>652</v>
      </c>
      <c r="H200" s="67">
        <v>1</v>
      </c>
      <c r="I200">
        <v>98000</v>
      </c>
      <c r="J200">
        <v>98000</v>
      </c>
      <c r="O200" s="41"/>
    </row>
    <row r="201" spans="1:15">
      <c r="A201" s="43">
        <v>9</v>
      </c>
      <c r="B201" s="43" t="s">
        <v>721</v>
      </c>
      <c r="C201" s="52" t="s">
        <v>748</v>
      </c>
      <c r="D201" s="93" t="s">
        <v>680</v>
      </c>
      <c r="E201" s="88">
        <v>1</v>
      </c>
      <c r="K201" s="41">
        <v>98000</v>
      </c>
      <c r="M201" s="41">
        <v>98000</v>
      </c>
      <c r="O201" s="41"/>
    </row>
    <row r="202" spans="1:15">
      <c r="A202" s="130">
        <v>9</v>
      </c>
      <c r="B202" s="130" t="s">
        <v>721</v>
      </c>
      <c r="C202" s="131" t="s">
        <v>748</v>
      </c>
      <c r="D202" s="132" t="s">
        <v>680</v>
      </c>
      <c r="E202" s="133">
        <v>2</v>
      </c>
      <c r="F202" s="134"/>
      <c r="G202" s="135"/>
      <c r="H202" s="136"/>
      <c r="I202" s="135"/>
      <c r="J202" s="135"/>
      <c r="K202" s="154"/>
      <c r="L202" s="154"/>
      <c r="M202" s="154"/>
      <c r="N202" s="138"/>
      <c r="O202" s="41"/>
    </row>
    <row r="203" spans="1:15">
      <c r="A203" s="43">
        <v>9</v>
      </c>
      <c r="B203" s="43" t="s">
        <v>721</v>
      </c>
      <c r="C203" s="52" t="s">
        <v>748</v>
      </c>
      <c r="D203" s="93" t="s">
        <v>680</v>
      </c>
      <c r="E203" s="88">
        <v>2</v>
      </c>
      <c r="F203" s="80" t="s">
        <v>666</v>
      </c>
      <c r="G203" t="s">
        <v>651</v>
      </c>
      <c r="H203" s="67">
        <v>1</v>
      </c>
      <c r="I203">
        <v>98000</v>
      </c>
      <c r="J203">
        <v>98000</v>
      </c>
      <c r="O203" s="41"/>
    </row>
    <row r="204" spans="1:15">
      <c r="A204" s="43">
        <v>9</v>
      </c>
      <c r="B204" s="43" t="s">
        <v>721</v>
      </c>
      <c r="C204" s="52" t="s">
        <v>748</v>
      </c>
      <c r="D204" s="93" t="s">
        <v>680</v>
      </c>
      <c r="E204" s="88">
        <v>2</v>
      </c>
      <c r="K204" s="41">
        <v>98000</v>
      </c>
      <c r="M204" s="41">
        <v>98000</v>
      </c>
      <c r="O204" s="41"/>
    </row>
    <row r="205" spans="1:15">
      <c r="A205" s="130">
        <v>9</v>
      </c>
      <c r="B205" s="130" t="s">
        <v>721</v>
      </c>
      <c r="C205" s="131" t="s">
        <v>748</v>
      </c>
      <c r="D205" s="132" t="s">
        <v>680</v>
      </c>
      <c r="E205" s="133">
        <v>3</v>
      </c>
      <c r="F205" s="134"/>
      <c r="G205" s="135"/>
      <c r="H205" s="136"/>
      <c r="I205" s="135"/>
      <c r="J205" s="135"/>
      <c r="K205" s="154"/>
      <c r="L205" s="154"/>
      <c r="M205" s="154"/>
      <c r="N205" s="138"/>
      <c r="O205" s="41"/>
    </row>
    <row r="206" spans="1:15">
      <c r="A206" s="43">
        <v>9</v>
      </c>
      <c r="B206" s="43" t="s">
        <v>721</v>
      </c>
      <c r="C206" s="52" t="s">
        <v>748</v>
      </c>
      <c r="D206" s="93" t="s">
        <v>680</v>
      </c>
      <c r="E206" s="88">
        <v>3</v>
      </c>
      <c r="F206" s="80" t="s">
        <v>668</v>
      </c>
      <c r="G206" t="s">
        <v>718</v>
      </c>
      <c r="H206" s="67">
        <v>1</v>
      </c>
      <c r="I206">
        <v>115000</v>
      </c>
      <c r="J206">
        <v>115000</v>
      </c>
      <c r="O206" s="41"/>
    </row>
    <row r="207" spans="1:15">
      <c r="A207" s="43">
        <v>9</v>
      </c>
      <c r="B207" s="43" t="s">
        <v>721</v>
      </c>
      <c r="C207" s="52" t="s">
        <v>748</v>
      </c>
      <c r="D207" s="93" t="s">
        <v>680</v>
      </c>
      <c r="E207" s="88">
        <v>3</v>
      </c>
      <c r="K207" s="41">
        <v>115000</v>
      </c>
      <c r="L207" s="41">
        <v>17000</v>
      </c>
      <c r="M207" s="41">
        <v>98000</v>
      </c>
      <c r="N207" s="40" t="s">
        <v>749</v>
      </c>
      <c r="O207" s="41"/>
    </row>
    <row r="208" spans="1:15">
      <c r="A208" s="130">
        <v>9</v>
      </c>
      <c r="B208" s="130" t="s">
        <v>721</v>
      </c>
      <c r="C208" s="131" t="s">
        <v>748</v>
      </c>
      <c r="D208" s="132" t="s">
        <v>680</v>
      </c>
      <c r="E208" s="133">
        <v>4</v>
      </c>
      <c r="F208" s="134"/>
      <c r="G208" s="135"/>
      <c r="H208" s="136"/>
      <c r="I208" s="135"/>
      <c r="J208" s="135"/>
      <c r="K208" s="154"/>
      <c r="L208" s="154"/>
      <c r="M208" s="154"/>
      <c r="N208" s="138"/>
      <c r="O208" s="41"/>
    </row>
    <row r="209" spans="1:15">
      <c r="A209" s="43">
        <v>9</v>
      </c>
      <c r="B209" s="43" t="s">
        <v>721</v>
      </c>
      <c r="C209" s="52" t="s">
        <v>748</v>
      </c>
      <c r="D209" s="93" t="s">
        <v>680</v>
      </c>
      <c r="E209" s="88">
        <v>4</v>
      </c>
      <c r="F209" s="80" t="s">
        <v>668</v>
      </c>
      <c r="G209" t="s">
        <v>718</v>
      </c>
      <c r="H209" s="67">
        <v>1</v>
      </c>
      <c r="I209">
        <v>115000</v>
      </c>
      <c r="J209">
        <v>115000</v>
      </c>
      <c r="O209" s="41"/>
    </row>
    <row r="210" spans="1:15">
      <c r="A210" s="43">
        <v>9</v>
      </c>
      <c r="B210" s="43" t="s">
        <v>721</v>
      </c>
      <c r="C210" s="52" t="s">
        <v>748</v>
      </c>
      <c r="D210" s="93" t="s">
        <v>680</v>
      </c>
      <c r="E210" s="88">
        <v>4</v>
      </c>
      <c r="K210" s="41">
        <v>115000</v>
      </c>
      <c r="L210" s="41">
        <v>17000</v>
      </c>
      <c r="M210" s="41">
        <v>98000</v>
      </c>
      <c r="N210" s="40" t="s">
        <v>749</v>
      </c>
      <c r="O210" s="41"/>
    </row>
    <row r="211" spans="1:15">
      <c r="A211" s="130">
        <v>9</v>
      </c>
      <c r="B211" s="130" t="s">
        <v>721</v>
      </c>
      <c r="C211" s="131" t="s">
        <v>748</v>
      </c>
      <c r="D211" s="132" t="s">
        <v>680</v>
      </c>
      <c r="E211" s="133">
        <v>5</v>
      </c>
      <c r="F211" s="134"/>
      <c r="G211" s="135"/>
      <c r="H211" s="136"/>
      <c r="I211" s="135"/>
      <c r="J211" s="135"/>
      <c r="K211" s="154"/>
      <c r="L211" s="154"/>
      <c r="M211" s="154"/>
      <c r="N211" s="138"/>
      <c r="O211" s="41"/>
    </row>
    <row r="212" spans="1:15">
      <c r="A212" s="43">
        <v>9</v>
      </c>
      <c r="B212" s="43" t="s">
        <v>721</v>
      </c>
      <c r="C212" s="52" t="s">
        <v>748</v>
      </c>
      <c r="D212" s="93" t="s">
        <v>680</v>
      </c>
      <c r="E212" s="88">
        <v>5</v>
      </c>
      <c r="F212" s="80" t="s">
        <v>750</v>
      </c>
      <c r="G212" t="s">
        <v>651</v>
      </c>
      <c r="H212" s="67">
        <v>1</v>
      </c>
      <c r="I212">
        <v>98000</v>
      </c>
      <c r="J212">
        <v>98000</v>
      </c>
      <c r="O212" s="41"/>
    </row>
    <row r="213" spans="1:15">
      <c r="A213" s="43">
        <v>9</v>
      </c>
      <c r="B213" s="43" t="s">
        <v>721</v>
      </c>
      <c r="C213" s="52" t="s">
        <v>748</v>
      </c>
      <c r="D213" s="93" t="s">
        <v>680</v>
      </c>
      <c r="E213" s="88">
        <v>5</v>
      </c>
      <c r="K213" s="41">
        <v>98000</v>
      </c>
      <c r="M213" s="41">
        <v>98000</v>
      </c>
      <c r="O213" s="41"/>
    </row>
    <row r="214" spans="1:15">
      <c r="A214" s="130">
        <v>9</v>
      </c>
      <c r="B214" s="130" t="s">
        <v>721</v>
      </c>
      <c r="C214" s="131" t="s">
        <v>748</v>
      </c>
      <c r="D214" s="132" t="s">
        <v>680</v>
      </c>
      <c r="E214" s="133">
        <v>6</v>
      </c>
      <c r="F214" s="134"/>
      <c r="G214" s="135"/>
      <c r="H214" s="136"/>
      <c r="I214" s="135"/>
      <c r="J214" s="135"/>
      <c r="K214" s="154"/>
      <c r="L214" s="154"/>
      <c r="M214" s="154"/>
      <c r="N214" s="138"/>
      <c r="O214" s="41"/>
    </row>
    <row r="215" spans="1:15">
      <c r="A215" s="43">
        <v>9</v>
      </c>
      <c r="B215" s="43" t="s">
        <v>721</v>
      </c>
      <c r="C215" s="52" t="s">
        <v>748</v>
      </c>
      <c r="D215" s="93" t="s">
        <v>680</v>
      </c>
      <c r="E215" s="88">
        <v>6</v>
      </c>
      <c r="F215" s="80" t="s">
        <v>668</v>
      </c>
      <c r="G215" t="s">
        <v>718</v>
      </c>
      <c r="H215" s="67">
        <v>1</v>
      </c>
      <c r="I215">
        <v>115000</v>
      </c>
      <c r="J215">
        <v>115000</v>
      </c>
      <c r="O215" s="41"/>
    </row>
    <row r="216" spans="1:15">
      <c r="A216" s="43">
        <v>9</v>
      </c>
      <c r="B216" s="43" t="s">
        <v>721</v>
      </c>
      <c r="C216" s="52" t="s">
        <v>748</v>
      </c>
      <c r="D216" s="93" t="s">
        <v>680</v>
      </c>
      <c r="E216" s="88">
        <v>6</v>
      </c>
      <c r="K216" s="41">
        <v>115000</v>
      </c>
      <c r="L216" s="41">
        <v>17000</v>
      </c>
      <c r="M216" s="41">
        <v>98000</v>
      </c>
      <c r="N216" s="40" t="s">
        <v>749</v>
      </c>
      <c r="O216" s="41"/>
    </row>
    <row r="217" spans="1:15">
      <c r="A217" s="130">
        <v>9</v>
      </c>
      <c r="B217" s="130" t="s">
        <v>721</v>
      </c>
      <c r="C217" s="131" t="s">
        <v>748</v>
      </c>
      <c r="D217" s="132" t="s">
        <v>680</v>
      </c>
      <c r="E217" s="133">
        <v>7</v>
      </c>
      <c r="F217" s="134"/>
      <c r="G217" s="135"/>
      <c r="H217" s="136"/>
      <c r="I217" s="135"/>
      <c r="J217" s="135"/>
      <c r="K217" s="154"/>
      <c r="L217" s="154"/>
      <c r="M217" s="154"/>
      <c r="N217" s="138"/>
      <c r="O217" s="41"/>
    </row>
    <row r="218" spans="1:15">
      <c r="A218" s="43">
        <v>9</v>
      </c>
      <c r="B218" s="43" t="s">
        <v>721</v>
      </c>
      <c r="C218" s="52" t="s">
        <v>748</v>
      </c>
      <c r="D218" s="93" t="s">
        <v>680</v>
      </c>
      <c r="E218" s="88">
        <v>7</v>
      </c>
      <c r="F218" s="80" t="s">
        <v>678</v>
      </c>
      <c r="G218" t="s">
        <v>682</v>
      </c>
      <c r="H218" s="67">
        <v>1</v>
      </c>
      <c r="I218">
        <v>195000</v>
      </c>
      <c r="J218">
        <v>195000</v>
      </c>
      <c r="O218" s="41"/>
    </row>
    <row r="219" spans="1:15">
      <c r="A219" s="43">
        <v>9</v>
      </c>
      <c r="B219" s="43" t="s">
        <v>721</v>
      </c>
      <c r="C219" s="52" t="s">
        <v>748</v>
      </c>
      <c r="D219" s="93" t="s">
        <v>680</v>
      </c>
      <c r="E219" s="88">
        <v>7</v>
      </c>
      <c r="K219" s="41">
        <v>195000</v>
      </c>
      <c r="M219" s="41">
        <v>195000</v>
      </c>
      <c r="O219" s="41"/>
    </row>
    <row r="220" spans="1:15">
      <c r="A220" s="130">
        <v>9</v>
      </c>
      <c r="B220" s="130" t="s">
        <v>721</v>
      </c>
      <c r="C220" s="131" t="s">
        <v>748</v>
      </c>
      <c r="D220" s="132" t="s">
        <v>680</v>
      </c>
      <c r="E220" s="133">
        <v>8</v>
      </c>
      <c r="F220" s="134"/>
      <c r="G220" s="135"/>
      <c r="H220" s="136"/>
      <c r="I220" s="135"/>
      <c r="J220" s="135"/>
      <c r="K220" s="154"/>
      <c r="L220" s="154"/>
      <c r="M220" s="154"/>
      <c r="N220" s="138"/>
      <c r="O220" s="41"/>
    </row>
    <row r="221" spans="1:15">
      <c r="A221" s="43">
        <v>9</v>
      </c>
      <c r="B221" s="43" t="s">
        <v>721</v>
      </c>
      <c r="C221" s="52" t="s">
        <v>748</v>
      </c>
      <c r="D221" s="93" t="s">
        <v>680</v>
      </c>
      <c r="E221" s="88">
        <v>8</v>
      </c>
      <c r="F221" s="80" t="s">
        <v>707</v>
      </c>
      <c r="G221" t="s">
        <v>694</v>
      </c>
      <c r="H221" s="67">
        <v>1</v>
      </c>
      <c r="I221">
        <v>58000</v>
      </c>
      <c r="J221">
        <v>58000</v>
      </c>
      <c r="O221" s="41"/>
    </row>
    <row r="222" spans="1:15">
      <c r="A222" s="43">
        <v>9</v>
      </c>
      <c r="B222" s="43" t="s">
        <v>721</v>
      </c>
      <c r="C222" s="52" t="s">
        <v>748</v>
      </c>
      <c r="D222" s="93" t="s">
        <v>680</v>
      </c>
      <c r="E222" s="88">
        <v>8</v>
      </c>
      <c r="K222" s="41">
        <v>58000</v>
      </c>
      <c r="L222" s="41">
        <v>18000</v>
      </c>
      <c r="M222" s="41">
        <v>40000</v>
      </c>
      <c r="N222" s="40" t="s">
        <v>751</v>
      </c>
      <c r="O222" s="41"/>
    </row>
    <row r="223" spans="1:15">
      <c r="A223" s="130">
        <v>10</v>
      </c>
      <c r="B223" s="130" t="s">
        <v>679</v>
      </c>
      <c r="C223" s="131" t="s">
        <v>748</v>
      </c>
      <c r="D223" s="132" t="s">
        <v>680</v>
      </c>
      <c r="E223" s="133">
        <v>1</v>
      </c>
      <c r="F223" s="134"/>
      <c r="G223" s="135"/>
      <c r="H223" s="136"/>
      <c r="I223" s="135"/>
      <c r="J223" s="135"/>
      <c r="K223" s="154"/>
      <c r="L223" s="154"/>
      <c r="M223" s="154"/>
      <c r="N223" s="138"/>
      <c r="O223" s="41"/>
    </row>
    <row r="224" spans="1:15">
      <c r="A224" s="43">
        <v>10</v>
      </c>
      <c r="B224" s="43" t="s">
        <v>679</v>
      </c>
      <c r="C224" s="52" t="s">
        <v>748</v>
      </c>
      <c r="D224" s="93" t="s">
        <v>680</v>
      </c>
      <c r="E224" s="88">
        <v>1</v>
      </c>
      <c r="F224" s="80" t="s">
        <v>678</v>
      </c>
      <c r="G224" t="s">
        <v>682</v>
      </c>
      <c r="H224" s="67">
        <v>1</v>
      </c>
      <c r="I224">
        <v>195000</v>
      </c>
      <c r="J224">
        <v>195000</v>
      </c>
      <c r="O224" s="41"/>
    </row>
    <row r="225" spans="1:15">
      <c r="A225" s="43">
        <v>10</v>
      </c>
      <c r="B225" s="43" t="s">
        <v>679</v>
      </c>
      <c r="C225" s="52" t="s">
        <v>748</v>
      </c>
      <c r="D225" s="93" t="s">
        <v>680</v>
      </c>
      <c r="E225" s="88">
        <v>1</v>
      </c>
      <c r="K225" s="41">
        <v>195000</v>
      </c>
      <c r="M225" s="41">
        <v>195000</v>
      </c>
      <c r="O225" s="41"/>
    </row>
    <row r="226" spans="1:15">
      <c r="A226" s="130">
        <v>10</v>
      </c>
      <c r="B226" s="130" t="s">
        <v>679</v>
      </c>
      <c r="C226" s="131" t="s">
        <v>748</v>
      </c>
      <c r="D226" s="132" t="s">
        <v>680</v>
      </c>
      <c r="E226" s="133">
        <v>2</v>
      </c>
      <c r="F226" s="134"/>
      <c r="G226" s="135"/>
      <c r="H226" s="136"/>
      <c r="I226" s="135"/>
      <c r="J226" s="135"/>
      <c r="K226" s="154"/>
      <c r="L226" s="154"/>
      <c r="M226" s="154"/>
      <c r="N226" s="138"/>
      <c r="O226" s="41"/>
    </row>
    <row r="227" spans="1:15">
      <c r="A227" s="43">
        <v>10</v>
      </c>
      <c r="B227" s="43" t="s">
        <v>679</v>
      </c>
      <c r="C227" s="52" t="s">
        <v>748</v>
      </c>
      <c r="D227" s="93" t="s">
        <v>680</v>
      </c>
      <c r="E227" s="88">
        <v>2</v>
      </c>
      <c r="F227" s="80" t="s">
        <v>668</v>
      </c>
      <c r="G227" t="s">
        <v>718</v>
      </c>
      <c r="H227" s="67">
        <v>1</v>
      </c>
      <c r="I227">
        <v>115000</v>
      </c>
      <c r="J227">
        <v>115000</v>
      </c>
      <c r="O227" s="41"/>
    </row>
    <row r="228" spans="1:15">
      <c r="A228" s="43">
        <v>10</v>
      </c>
      <c r="B228" s="43" t="s">
        <v>679</v>
      </c>
      <c r="C228" s="52" t="s">
        <v>748</v>
      </c>
      <c r="D228" s="93" t="s">
        <v>680</v>
      </c>
      <c r="E228" s="88">
        <v>2</v>
      </c>
      <c r="K228" s="41">
        <v>115000</v>
      </c>
      <c r="L228" s="41">
        <v>17000</v>
      </c>
      <c r="M228" s="41">
        <v>98000</v>
      </c>
      <c r="N228" s="40" t="s">
        <v>749</v>
      </c>
      <c r="O228" s="41"/>
    </row>
    <row r="229" spans="1:15">
      <c r="A229" s="130">
        <v>10</v>
      </c>
      <c r="B229" s="130" t="s">
        <v>679</v>
      </c>
      <c r="C229" s="131" t="s">
        <v>748</v>
      </c>
      <c r="D229" s="132" t="s">
        <v>680</v>
      </c>
      <c r="E229" s="133">
        <v>3</v>
      </c>
      <c r="F229" s="134"/>
      <c r="G229" s="135"/>
      <c r="H229" s="136"/>
      <c r="I229" s="135"/>
      <c r="J229" s="135"/>
      <c r="K229" s="154"/>
      <c r="L229" s="154"/>
      <c r="M229" s="154"/>
      <c r="N229" s="138"/>
      <c r="O229" s="41"/>
    </row>
    <row r="230" spans="1:15">
      <c r="A230" s="43">
        <v>10</v>
      </c>
      <c r="B230" s="43" t="s">
        <v>679</v>
      </c>
      <c r="C230" s="52" t="s">
        <v>748</v>
      </c>
      <c r="D230" s="93" t="s">
        <v>680</v>
      </c>
      <c r="E230" s="88">
        <v>3</v>
      </c>
      <c r="F230" s="80" t="s">
        <v>671</v>
      </c>
      <c r="G230" t="s">
        <v>656</v>
      </c>
      <c r="H230" s="67">
        <v>1</v>
      </c>
      <c r="I230">
        <v>98000</v>
      </c>
      <c r="J230">
        <v>98000</v>
      </c>
      <c r="O230" s="41"/>
    </row>
    <row r="231" spans="1:15">
      <c r="A231" s="43">
        <v>10</v>
      </c>
      <c r="B231" s="43" t="s">
        <v>679</v>
      </c>
      <c r="C231" s="52" t="s">
        <v>748</v>
      </c>
      <c r="D231" s="93" t="s">
        <v>680</v>
      </c>
      <c r="E231" s="88">
        <v>3</v>
      </c>
      <c r="K231" s="41">
        <v>98000</v>
      </c>
      <c r="M231" s="41">
        <v>98000</v>
      </c>
      <c r="O231" s="41"/>
    </row>
    <row r="232" spans="1:15">
      <c r="A232" s="130">
        <v>10</v>
      </c>
      <c r="B232" s="130" t="s">
        <v>679</v>
      </c>
      <c r="C232" s="131" t="s">
        <v>748</v>
      </c>
      <c r="D232" s="132" t="s">
        <v>680</v>
      </c>
      <c r="E232" s="133">
        <v>4</v>
      </c>
      <c r="F232" s="134"/>
      <c r="G232" s="135"/>
      <c r="H232" s="136"/>
      <c r="I232" s="135"/>
      <c r="J232" s="135"/>
      <c r="K232" s="154"/>
      <c r="L232" s="154"/>
      <c r="M232" s="154"/>
      <c r="N232" s="138"/>
      <c r="O232" s="41"/>
    </row>
    <row r="233" spans="1:15">
      <c r="A233" s="43">
        <v>10</v>
      </c>
      <c r="B233" s="43" t="s">
        <v>679</v>
      </c>
      <c r="C233" s="52" t="s">
        <v>748</v>
      </c>
      <c r="D233" s="93" t="s">
        <v>680</v>
      </c>
      <c r="E233" s="88">
        <v>4</v>
      </c>
      <c r="F233" s="80" t="s">
        <v>672</v>
      </c>
      <c r="G233" t="s">
        <v>657</v>
      </c>
      <c r="H233" s="67">
        <v>1</v>
      </c>
      <c r="I233">
        <v>98000</v>
      </c>
      <c r="J233">
        <v>98000</v>
      </c>
      <c r="O233" s="41"/>
    </row>
    <row r="234" spans="1:15">
      <c r="A234" s="43">
        <v>10</v>
      </c>
      <c r="B234" s="43" t="s">
        <v>679</v>
      </c>
      <c r="C234" s="52" t="s">
        <v>748</v>
      </c>
      <c r="D234" s="93" t="s">
        <v>680</v>
      </c>
      <c r="E234" s="88">
        <v>4</v>
      </c>
      <c r="K234" s="41">
        <v>98000</v>
      </c>
      <c r="M234" s="41">
        <v>98000</v>
      </c>
      <c r="O234" s="41"/>
    </row>
    <row r="235" spans="1:15">
      <c r="A235" s="130">
        <v>10</v>
      </c>
      <c r="B235" s="130" t="s">
        <v>679</v>
      </c>
      <c r="C235" s="131" t="s">
        <v>748</v>
      </c>
      <c r="D235" s="132" t="s">
        <v>680</v>
      </c>
      <c r="E235" s="133">
        <v>5</v>
      </c>
      <c r="F235" s="134"/>
      <c r="G235" s="135"/>
      <c r="H235" s="136"/>
      <c r="I235" s="135"/>
      <c r="J235" s="135"/>
      <c r="K235" s="154"/>
      <c r="L235" s="154"/>
      <c r="M235" s="154"/>
      <c r="N235" s="138"/>
      <c r="O235" s="41"/>
    </row>
    <row r="236" spans="1:15">
      <c r="A236" s="43">
        <v>10</v>
      </c>
      <c r="B236" s="43" t="s">
        <v>679</v>
      </c>
      <c r="C236" s="52" t="s">
        <v>748</v>
      </c>
      <c r="D236" s="93" t="s">
        <v>680</v>
      </c>
      <c r="E236" s="88">
        <v>5</v>
      </c>
      <c r="F236" s="80" t="s">
        <v>672</v>
      </c>
      <c r="G236" t="s">
        <v>657</v>
      </c>
      <c r="H236" s="67">
        <v>1</v>
      </c>
      <c r="I236">
        <v>98000</v>
      </c>
      <c r="J236">
        <v>98000</v>
      </c>
      <c r="O236" s="41"/>
    </row>
    <row r="237" spans="1:15">
      <c r="A237" s="43">
        <v>10</v>
      </c>
      <c r="B237" s="43" t="s">
        <v>679</v>
      </c>
      <c r="C237" s="52" t="s">
        <v>748</v>
      </c>
      <c r="D237" s="93" t="s">
        <v>680</v>
      </c>
      <c r="E237" s="88">
        <v>5</v>
      </c>
      <c r="K237" s="41">
        <v>98000</v>
      </c>
      <c r="M237" s="41">
        <v>98000</v>
      </c>
      <c r="O237" s="41"/>
    </row>
    <row r="238" spans="1:15">
      <c r="A238" s="130">
        <v>10</v>
      </c>
      <c r="B238" s="130" t="s">
        <v>679</v>
      </c>
      <c r="C238" s="131" t="s">
        <v>748</v>
      </c>
      <c r="D238" s="132" t="s">
        <v>680</v>
      </c>
      <c r="E238" s="133">
        <v>6</v>
      </c>
      <c r="F238" s="134"/>
      <c r="G238" s="135"/>
      <c r="H238" s="136"/>
      <c r="I238" s="135"/>
      <c r="J238" s="135"/>
      <c r="K238" s="154"/>
      <c r="L238" s="154"/>
      <c r="M238" s="154"/>
      <c r="N238" s="138"/>
      <c r="O238" s="41"/>
    </row>
    <row r="239" spans="1:15">
      <c r="A239" s="43">
        <v>10</v>
      </c>
      <c r="B239" s="43" t="s">
        <v>679</v>
      </c>
      <c r="C239" s="52" t="s">
        <v>748</v>
      </c>
      <c r="D239" s="93" t="s">
        <v>680</v>
      </c>
      <c r="E239" s="88">
        <v>6</v>
      </c>
      <c r="F239" s="80" t="s">
        <v>673</v>
      </c>
      <c r="G239" t="s">
        <v>658</v>
      </c>
      <c r="H239" s="67">
        <v>1</v>
      </c>
      <c r="I239">
        <v>98000</v>
      </c>
      <c r="J239">
        <v>98000</v>
      </c>
      <c r="O239" s="41"/>
    </row>
    <row r="240" spans="1:15">
      <c r="A240" s="43">
        <v>10</v>
      </c>
      <c r="B240" s="43" t="s">
        <v>679</v>
      </c>
      <c r="C240" s="52" t="s">
        <v>748</v>
      </c>
      <c r="D240" s="93" t="s">
        <v>680</v>
      </c>
      <c r="E240" s="88">
        <v>6</v>
      </c>
      <c r="K240" s="41">
        <v>98000</v>
      </c>
      <c r="M240" s="41">
        <v>98000</v>
      </c>
      <c r="O240" s="41"/>
    </row>
    <row r="241" spans="1:15">
      <c r="A241" s="130">
        <v>10</v>
      </c>
      <c r="B241" s="130" t="s">
        <v>721</v>
      </c>
      <c r="C241" s="131" t="s">
        <v>748</v>
      </c>
      <c r="D241" s="132" t="s">
        <v>680</v>
      </c>
      <c r="E241" s="133">
        <v>1</v>
      </c>
      <c r="F241" s="134"/>
      <c r="G241" s="135"/>
      <c r="H241" s="136"/>
      <c r="I241" s="135"/>
      <c r="J241" s="135"/>
      <c r="K241" s="154"/>
      <c r="L241" s="154"/>
      <c r="M241" s="154"/>
      <c r="N241" s="138"/>
      <c r="O241" s="41"/>
    </row>
    <row r="242" spans="1:15">
      <c r="A242" s="43">
        <v>10</v>
      </c>
      <c r="B242" s="43" t="s">
        <v>721</v>
      </c>
      <c r="C242" s="52" t="s">
        <v>748</v>
      </c>
      <c r="D242" s="93" t="s">
        <v>680</v>
      </c>
      <c r="E242" s="88">
        <v>1</v>
      </c>
      <c r="F242" s="80" t="s">
        <v>671</v>
      </c>
      <c r="G242" t="s">
        <v>656</v>
      </c>
      <c r="H242" s="67">
        <v>1</v>
      </c>
      <c r="I242">
        <v>98000</v>
      </c>
      <c r="J242">
        <v>98000</v>
      </c>
      <c r="O242" s="41"/>
    </row>
    <row r="243" spans="1:15">
      <c r="A243" s="43">
        <v>10</v>
      </c>
      <c r="B243" s="43" t="s">
        <v>721</v>
      </c>
      <c r="C243" s="52" t="s">
        <v>748</v>
      </c>
      <c r="D243" s="93" t="s">
        <v>680</v>
      </c>
      <c r="E243" s="88">
        <v>1</v>
      </c>
      <c r="K243" s="41">
        <v>98000</v>
      </c>
      <c r="M243" s="41">
        <v>98000</v>
      </c>
      <c r="O243" s="41"/>
    </row>
    <row r="244" spans="1:15">
      <c r="A244" s="130">
        <v>10</v>
      </c>
      <c r="B244" s="130" t="s">
        <v>721</v>
      </c>
      <c r="C244" s="131" t="s">
        <v>748</v>
      </c>
      <c r="D244" s="132" t="s">
        <v>680</v>
      </c>
      <c r="E244" s="133">
        <v>2</v>
      </c>
      <c r="F244" s="134"/>
      <c r="G244" s="135"/>
      <c r="H244" s="136"/>
      <c r="I244" s="135"/>
      <c r="J244" s="135"/>
      <c r="K244" s="154"/>
      <c r="L244" s="154"/>
      <c r="M244" s="154"/>
      <c r="N244" s="138"/>
      <c r="O244" s="41"/>
    </row>
    <row r="245" spans="1:15">
      <c r="A245" s="43">
        <v>10</v>
      </c>
      <c r="B245" s="43" t="s">
        <v>721</v>
      </c>
      <c r="C245" s="52" t="s">
        <v>748</v>
      </c>
      <c r="D245" s="93" t="s">
        <v>680</v>
      </c>
      <c r="E245" s="88">
        <v>2</v>
      </c>
      <c r="F245" s="80" t="s">
        <v>672</v>
      </c>
      <c r="G245" t="s">
        <v>657</v>
      </c>
      <c r="H245" s="67">
        <v>1</v>
      </c>
      <c r="I245">
        <v>98000</v>
      </c>
      <c r="J245">
        <v>98000</v>
      </c>
      <c r="O245" s="41"/>
    </row>
    <row r="246" spans="1:15">
      <c r="A246" s="43">
        <v>10</v>
      </c>
      <c r="B246" s="43" t="s">
        <v>721</v>
      </c>
      <c r="C246" s="52" t="s">
        <v>748</v>
      </c>
      <c r="D246" s="93" t="s">
        <v>680</v>
      </c>
      <c r="E246" s="88">
        <v>2</v>
      </c>
      <c r="K246" s="41">
        <v>98000</v>
      </c>
      <c r="M246" s="41">
        <v>98000</v>
      </c>
      <c r="O246" s="41"/>
    </row>
    <row r="247" spans="1:15">
      <c r="A247" s="130">
        <v>10</v>
      </c>
      <c r="B247" s="130" t="s">
        <v>721</v>
      </c>
      <c r="C247" s="131" t="s">
        <v>748</v>
      </c>
      <c r="D247" s="132" t="s">
        <v>680</v>
      </c>
      <c r="E247" s="133">
        <v>3</v>
      </c>
      <c r="F247" s="134"/>
      <c r="G247" s="135"/>
      <c r="H247" s="136"/>
      <c r="I247" s="135"/>
      <c r="J247" s="135"/>
      <c r="K247" s="154"/>
      <c r="L247" s="154"/>
      <c r="M247" s="154"/>
      <c r="N247" s="138"/>
      <c r="O247" s="41"/>
    </row>
    <row r="248" spans="1:15">
      <c r="A248" s="43">
        <v>10</v>
      </c>
      <c r="B248" s="43" t="s">
        <v>721</v>
      </c>
      <c r="C248" s="52" t="s">
        <v>748</v>
      </c>
      <c r="D248" s="93" t="s">
        <v>680</v>
      </c>
      <c r="E248" s="88">
        <v>3</v>
      </c>
      <c r="F248" s="80" t="s">
        <v>675</v>
      </c>
      <c r="G248" t="s">
        <v>724</v>
      </c>
      <c r="H248" s="67">
        <v>1</v>
      </c>
      <c r="I248">
        <v>115000</v>
      </c>
      <c r="J248">
        <v>115000</v>
      </c>
      <c r="O248" s="41"/>
    </row>
    <row r="249" spans="1:15">
      <c r="A249" s="43">
        <v>10</v>
      </c>
      <c r="B249" s="43" t="s">
        <v>721</v>
      </c>
      <c r="C249" s="52" t="s">
        <v>748</v>
      </c>
      <c r="D249" s="93" t="s">
        <v>680</v>
      </c>
      <c r="E249" s="88">
        <v>3</v>
      </c>
      <c r="K249" s="41">
        <v>115000</v>
      </c>
      <c r="M249" s="41">
        <v>115000</v>
      </c>
      <c r="O249" s="41"/>
    </row>
    <row r="250" spans="1:15">
      <c r="A250" s="130">
        <v>10</v>
      </c>
      <c r="B250" s="130" t="s">
        <v>721</v>
      </c>
      <c r="C250" s="131" t="s">
        <v>748</v>
      </c>
      <c r="D250" s="132" t="s">
        <v>680</v>
      </c>
      <c r="E250" s="133">
        <v>4</v>
      </c>
      <c r="F250" s="134"/>
      <c r="G250" s="135"/>
      <c r="H250" s="136"/>
      <c r="I250" s="135"/>
      <c r="J250" s="135"/>
      <c r="K250" s="154"/>
      <c r="L250" s="154"/>
      <c r="M250" s="154"/>
      <c r="N250" s="138"/>
      <c r="O250" s="41"/>
    </row>
    <row r="251" spans="1:15">
      <c r="A251" s="43">
        <v>10</v>
      </c>
      <c r="B251" s="43" t="s">
        <v>721</v>
      </c>
      <c r="C251" s="52" t="s">
        <v>748</v>
      </c>
      <c r="D251" s="93" t="s">
        <v>680</v>
      </c>
      <c r="E251" s="88">
        <v>4</v>
      </c>
      <c r="F251" s="80" t="s">
        <v>665</v>
      </c>
      <c r="G251" t="s">
        <v>650</v>
      </c>
      <c r="H251" s="67">
        <v>1</v>
      </c>
      <c r="I251">
        <v>85000</v>
      </c>
      <c r="J251">
        <v>85000</v>
      </c>
      <c r="O251" s="41"/>
    </row>
    <row r="252" spans="1:15">
      <c r="A252" s="43">
        <v>10</v>
      </c>
      <c r="B252" s="43" t="s">
        <v>721</v>
      </c>
      <c r="C252" s="52" t="s">
        <v>748</v>
      </c>
      <c r="D252" s="93" t="s">
        <v>680</v>
      </c>
      <c r="E252" s="88">
        <v>4</v>
      </c>
      <c r="K252" s="41">
        <v>85000</v>
      </c>
      <c r="M252" s="41">
        <v>85000</v>
      </c>
      <c r="O252" s="41"/>
    </row>
    <row r="253" spans="1:15">
      <c r="A253" s="130">
        <v>10</v>
      </c>
      <c r="B253" s="130" t="s">
        <v>721</v>
      </c>
      <c r="C253" s="131" t="s">
        <v>748</v>
      </c>
      <c r="D253" s="132" t="s">
        <v>680</v>
      </c>
      <c r="E253" s="133">
        <v>5</v>
      </c>
      <c r="F253" s="134"/>
      <c r="G253" s="135"/>
      <c r="H253" s="136"/>
      <c r="I253" s="135"/>
      <c r="J253" s="135"/>
      <c r="K253" s="154"/>
      <c r="L253" s="154"/>
      <c r="M253" s="154"/>
      <c r="N253" s="138"/>
      <c r="O253" s="41"/>
    </row>
    <row r="254" spans="1:15">
      <c r="A254" s="43">
        <v>10</v>
      </c>
      <c r="B254" s="43" t="s">
        <v>721</v>
      </c>
      <c r="C254" s="52" t="s">
        <v>748</v>
      </c>
      <c r="D254" s="93" t="s">
        <v>680</v>
      </c>
      <c r="E254" s="88">
        <v>5</v>
      </c>
      <c r="F254" s="80" t="s">
        <v>665</v>
      </c>
      <c r="G254" t="s">
        <v>650</v>
      </c>
      <c r="H254" s="67">
        <v>1</v>
      </c>
      <c r="I254">
        <v>85000</v>
      </c>
      <c r="J254">
        <v>85000</v>
      </c>
      <c r="O254" s="41"/>
    </row>
    <row r="255" spans="1:15">
      <c r="A255" s="43">
        <v>10</v>
      </c>
      <c r="B255" s="43" t="s">
        <v>721</v>
      </c>
      <c r="C255" s="52" t="s">
        <v>748</v>
      </c>
      <c r="D255" s="93" t="s">
        <v>680</v>
      </c>
      <c r="E255" s="88">
        <v>5</v>
      </c>
      <c r="K255" s="41">
        <v>85000</v>
      </c>
      <c r="M255" s="41">
        <v>85000</v>
      </c>
      <c r="O255" s="41"/>
    </row>
    <row r="256" spans="1:15">
      <c r="A256" s="130">
        <v>10</v>
      </c>
      <c r="B256" s="130" t="s">
        <v>721</v>
      </c>
      <c r="C256" s="131" t="s">
        <v>748</v>
      </c>
      <c r="D256" s="132" t="s">
        <v>680</v>
      </c>
      <c r="E256" s="133">
        <v>6</v>
      </c>
      <c r="F256" s="134"/>
      <c r="G256" s="135"/>
      <c r="H256" s="136"/>
      <c r="I256" s="135"/>
      <c r="J256" s="135"/>
      <c r="K256" s="154"/>
      <c r="L256" s="154"/>
      <c r="M256" s="154"/>
      <c r="N256" s="138"/>
      <c r="O256" s="41"/>
    </row>
    <row r="257" spans="1:15">
      <c r="A257" s="43">
        <v>10</v>
      </c>
      <c r="B257" s="43" t="s">
        <v>721</v>
      </c>
      <c r="C257" s="52" t="s">
        <v>748</v>
      </c>
      <c r="D257" s="93" t="s">
        <v>680</v>
      </c>
      <c r="E257" s="88">
        <v>6</v>
      </c>
      <c r="F257" s="80" t="s">
        <v>665</v>
      </c>
      <c r="G257" t="s">
        <v>650</v>
      </c>
      <c r="H257" s="67">
        <v>1</v>
      </c>
      <c r="I257">
        <v>85000</v>
      </c>
      <c r="J257">
        <v>85000</v>
      </c>
      <c r="O257" s="41"/>
    </row>
    <row r="258" spans="1:15">
      <c r="A258" s="43">
        <v>10</v>
      </c>
      <c r="B258" s="43" t="s">
        <v>721</v>
      </c>
      <c r="C258" s="52" t="s">
        <v>748</v>
      </c>
      <c r="D258" s="93" t="s">
        <v>680</v>
      </c>
      <c r="E258" s="88">
        <v>6</v>
      </c>
      <c r="K258" s="41">
        <v>85000</v>
      </c>
      <c r="M258" s="41">
        <v>85000</v>
      </c>
      <c r="O258" s="41"/>
    </row>
    <row r="259" spans="1:15">
      <c r="A259" s="130">
        <v>10</v>
      </c>
      <c r="B259" s="130" t="s">
        <v>721</v>
      </c>
      <c r="C259" s="131" t="s">
        <v>748</v>
      </c>
      <c r="D259" s="132" t="s">
        <v>680</v>
      </c>
      <c r="E259" s="133">
        <v>7</v>
      </c>
      <c r="F259" s="134"/>
      <c r="G259" s="135"/>
      <c r="H259" s="136"/>
      <c r="I259" s="135"/>
      <c r="J259" s="135"/>
      <c r="K259" s="154"/>
      <c r="L259" s="154"/>
      <c r="M259" s="154"/>
      <c r="N259" s="138"/>
      <c r="O259" s="41"/>
    </row>
    <row r="260" spans="1:15">
      <c r="A260" s="43">
        <v>10</v>
      </c>
      <c r="B260" s="43" t="s">
        <v>721</v>
      </c>
      <c r="C260" s="52" t="s">
        <v>748</v>
      </c>
      <c r="D260" s="93" t="s">
        <v>680</v>
      </c>
      <c r="E260" s="88">
        <v>7</v>
      </c>
      <c r="F260" s="80" t="s">
        <v>666</v>
      </c>
      <c r="G260" t="s">
        <v>651</v>
      </c>
      <c r="H260" s="67">
        <v>1</v>
      </c>
      <c r="I260">
        <v>98000</v>
      </c>
      <c r="J260">
        <v>98000</v>
      </c>
      <c r="O260" s="41"/>
    </row>
    <row r="261" spans="1:15">
      <c r="A261" s="43">
        <v>10</v>
      </c>
      <c r="B261" s="43" t="s">
        <v>721</v>
      </c>
      <c r="C261" s="52" t="s">
        <v>748</v>
      </c>
      <c r="D261" s="93" t="s">
        <v>680</v>
      </c>
      <c r="E261" s="88">
        <v>7</v>
      </c>
      <c r="K261" s="41">
        <v>98000</v>
      </c>
      <c r="M261" s="41">
        <v>98000</v>
      </c>
      <c r="O261" s="41"/>
    </row>
    <row r="262" spans="1:15">
      <c r="A262" s="130">
        <v>10</v>
      </c>
      <c r="B262" s="130" t="s">
        <v>721</v>
      </c>
      <c r="C262" s="131" t="s">
        <v>748</v>
      </c>
      <c r="D262" s="132" t="s">
        <v>680</v>
      </c>
      <c r="E262" s="133">
        <v>8</v>
      </c>
      <c r="F262" s="134"/>
      <c r="G262" s="135"/>
      <c r="H262" s="136"/>
      <c r="I262" s="135"/>
      <c r="J262" s="135"/>
      <c r="K262" s="154"/>
      <c r="L262" s="154"/>
      <c r="M262" s="154"/>
      <c r="N262" s="138"/>
      <c r="O262" s="41"/>
    </row>
    <row r="263" spans="1:15">
      <c r="A263" s="43">
        <v>10</v>
      </c>
      <c r="B263" s="43" t="s">
        <v>721</v>
      </c>
      <c r="C263" s="52" t="s">
        <v>748</v>
      </c>
      <c r="D263" s="93" t="s">
        <v>680</v>
      </c>
      <c r="E263" s="88">
        <v>8</v>
      </c>
      <c r="F263" s="80" t="s">
        <v>666</v>
      </c>
      <c r="G263" t="s">
        <v>651</v>
      </c>
      <c r="H263" s="67">
        <v>1</v>
      </c>
      <c r="I263">
        <v>98000</v>
      </c>
      <c r="J263">
        <v>98000</v>
      </c>
      <c r="O263" s="41"/>
    </row>
    <row r="264" spans="1:15">
      <c r="A264" s="43">
        <v>10</v>
      </c>
      <c r="B264" s="43" t="s">
        <v>721</v>
      </c>
      <c r="C264" s="52" t="s">
        <v>748</v>
      </c>
      <c r="D264" s="93" t="s">
        <v>680</v>
      </c>
      <c r="E264" s="88">
        <v>8</v>
      </c>
      <c r="K264" s="41">
        <v>98000</v>
      </c>
      <c r="M264" s="41">
        <v>98000</v>
      </c>
      <c r="O264" s="41"/>
    </row>
    <row r="265" spans="1:15">
      <c r="A265" s="130">
        <v>10</v>
      </c>
      <c r="B265" s="130" t="s">
        <v>721</v>
      </c>
      <c r="C265" s="131" t="s">
        <v>748</v>
      </c>
      <c r="D265" s="132" t="s">
        <v>680</v>
      </c>
      <c r="E265" s="133">
        <v>9</v>
      </c>
      <c r="F265" s="134"/>
      <c r="G265" s="135"/>
      <c r="H265" s="136"/>
      <c r="I265" s="135"/>
      <c r="J265" s="135"/>
      <c r="K265" s="154"/>
      <c r="L265" s="154"/>
      <c r="M265" s="154"/>
      <c r="N265" s="138"/>
      <c r="O265" s="41"/>
    </row>
    <row r="266" spans="1:15">
      <c r="A266" s="43">
        <v>10</v>
      </c>
      <c r="B266" s="43" t="s">
        <v>721</v>
      </c>
      <c r="C266" s="52" t="s">
        <v>748</v>
      </c>
      <c r="D266" s="93" t="s">
        <v>680</v>
      </c>
      <c r="E266" s="88">
        <v>9</v>
      </c>
      <c r="F266" s="80" t="s">
        <v>715</v>
      </c>
      <c r="G266" t="s">
        <v>703</v>
      </c>
      <c r="H266" s="67">
        <v>1</v>
      </c>
      <c r="I266">
        <v>125000</v>
      </c>
      <c r="J266">
        <v>125000</v>
      </c>
      <c r="O266" s="41"/>
    </row>
    <row r="267" spans="1:15">
      <c r="A267" s="43">
        <v>10</v>
      </c>
      <c r="B267" s="43" t="s">
        <v>721</v>
      </c>
      <c r="C267" s="52" t="s">
        <v>748</v>
      </c>
      <c r="D267" s="93" t="s">
        <v>680</v>
      </c>
      <c r="E267" s="88">
        <v>9</v>
      </c>
      <c r="K267" s="41">
        <v>125000</v>
      </c>
      <c r="L267" s="41">
        <v>25000</v>
      </c>
      <c r="M267" s="41">
        <v>100000</v>
      </c>
      <c r="N267" s="40" t="s">
        <v>751</v>
      </c>
      <c r="O267" s="41"/>
    </row>
    <row r="268" spans="1:15">
      <c r="A268" s="130">
        <v>11</v>
      </c>
      <c r="B268" s="130" t="s">
        <v>721</v>
      </c>
      <c r="C268" s="131" t="s">
        <v>748</v>
      </c>
      <c r="D268" s="132" t="s">
        <v>680</v>
      </c>
      <c r="E268" s="133">
        <v>1</v>
      </c>
      <c r="F268" s="134"/>
      <c r="G268" s="135"/>
      <c r="H268" s="136"/>
      <c r="I268" s="135"/>
      <c r="J268" s="135"/>
      <c r="K268" s="154"/>
      <c r="L268" s="154"/>
      <c r="M268" s="154"/>
      <c r="N268" s="138"/>
      <c r="O268" s="41"/>
    </row>
    <row r="269" spans="1:15">
      <c r="A269" s="43">
        <v>11</v>
      </c>
      <c r="B269" s="43" t="s">
        <v>721</v>
      </c>
      <c r="C269" s="52" t="s">
        <v>748</v>
      </c>
      <c r="D269" s="93" t="s">
        <v>680</v>
      </c>
      <c r="E269" s="88">
        <v>1</v>
      </c>
      <c r="F269" s="80" t="s">
        <v>666</v>
      </c>
      <c r="G269" t="s">
        <v>651</v>
      </c>
      <c r="H269" s="67">
        <v>1</v>
      </c>
      <c r="I269">
        <v>98000</v>
      </c>
      <c r="J269">
        <v>98000</v>
      </c>
      <c r="O269" s="41"/>
    </row>
    <row r="270" spans="1:15">
      <c r="A270" s="43">
        <v>11</v>
      </c>
      <c r="B270" s="43" t="s">
        <v>721</v>
      </c>
      <c r="C270" s="52" t="s">
        <v>748</v>
      </c>
      <c r="D270" s="93" t="s">
        <v>680</v>
      </c>
      <c r="E270" s="88">
        <v>1</v>
      </c>
      <c r="K270" s="41">
        <v>98000</v>
      </c>
      <c r="M270" s="41">
        <v>98000</v>
      </c>
      <c r="O270" s="41"/>
    </row>
    <row r="271" spans="1:15">
      <c r="A271" s="130">
        <v>11</v>
      </c>
      <c r="B271" s="130" t="s">
        <v>721</v>
      </c>
      <c r="C271" s="131" t="s">
        <v>748</v>
      </c>
      <c r="D271" s="132" t="s">
        <v>680</v>
      </c>
      <c r="E271" s="133">
        <v>2</v>
      </c>
      <c r="F271" s="134"/>
      <c r="G271" s="135"/>
      <c r="H271" s="136"/>
      <c r="I271" s="135"/>
      <c r="J271" s="135"/>
      <c r="K271" s="154"/>
      <c r="L271" s="154"/>
      <c r="M271" s="154"/>
      <c r="N271" s="138"/>
      <c r="O271" s="41"/>
    </row>
    <row r="272" spans="1:15">
      <c r="A272" s="43">
        <v>11</v>
      </c>
      <c r="B272" s="43" t="s">
        <v>721</v>
      </c>
      <c r="C272" s="52" t="s">
        <v>748</v>
      </c>
      <c r="D272" s="93" t="s">
        <v>680</v>
      </c>
      <c r="E272" s="88">
        <v>2</v>
      </c>
      <c r="F272" s="80" t="s">
        <v>666</v>
      </c>
      <c r="G272" t="s">
        <v>651</v>
      </c>
      <c r="H272" s="67">
        <v>1</v>
      </c>
      <c r="I272">
        <v>98000</v>
      </c>
      <c r="J272">
        <v>98000</v>
      </c>
      <c r="O272" s="41"/>
    </row>
    <row r="273" spans="1:15">
      <c r="A273" s="43">
        <v>11</v>
      </c>
      <c r="B273" s="43" t="s">
        <v>721</v>
      </c>
      <c r="C273" s="52" t="s">
        <v>748</v>
      </c>
      <c r="D273" s="93" t="s">
        <v>680</v>
      </c>
      <c r="E273" s="88">
        <v>2</v>
      </c>
      <c r="K273" s="41">
        <v>98000</v>
      </c>
      <c r="M273" s="41">
        <v>98000</v>
      </c>
      <c r="O273" s="41"/>
    </row>
    <row r="274" spans="1:15">
      <c r="A274" s="130">
        <v>11</v>
      </c>
      <c r="B274" s="130" t="s">
        <v>721</v>
      </c>
      <c r="C274" s="131" t="s">
        <v>748</v>
      </c>
      <c r="D274" s="132" t="s">
        <v>680</v>
      </c>
      <c r="E274" s="133">
        <v>3</v>
      </c>
      <c r="F274" s="134"/>
      <c r="G274" s="135"/>
      <c r="H274" s="136"/>
      <c r="I274" s="135"/>
      <c r="J274" s="135"/>
      <c r="K274" s="154"/>
      <c r="L274" s="154"/>
      <c r="M274" s="154"/>
      <c r="N274" s="138"/>
      <c r="O274" s="41"/>
    </row>
    <row r="275" spans="1:15">
      <c r="A275" s="43">
        <v>11</v>
      </c>
      <c r="B275" s="43" t="s">
        <v>721</v>
      </c>
      <c r="C275" s="52" t="s">
        <v>748</v>
      </c>
      <c r="D275" s="93" t="s">
        <v>680</v>
      </c>
      <c r="E275" s="88">
        <v>3</v>
      </c>
      <c r="F275" s="80" t="s">
        <v>666</v>
      </c>
      <c r="G275" t="s">
        <v>651</v>
      </c>
      <c r="H275" s="67">
        <v>1</v>
      </c>
      <c r="I275">
        <v>98000</v>
      </c>
      <c r="J275">
        <v>98000</v>
      </c>
      <c r="O275" s="41"/>
    </row>
    <row r="276" spans="1:15">
      <c r="A276" s="43">
        <v>11</v>
      </c>
      <c r="B276" s="43" t="s">
        <v>721</v>
      </c>
      <c r="C276" s="52" t="s">
        <v>748</v>
      </c>
      <c r="D276" s="93" t="s">
        <v>680</v>
      </c>
      <c r="E276" s="88">
        <v>3</v>
      </c>
      <c r="K276" s="41">
        <v>98000</v>
      </c>
      <c r="M276" s="41">
        <v>98000</v>
      </c>
      <c r="O276" s="41"/>
    </row>
    <row r="277" spans="1:15">
      <c r="A277" s="130">
        <v>11</v>
      </c>
      <c r="B277" s="130" t="s">
        <v>721</v>
      </c>
      <c r="C277" s="131" t="s">
        <v>748</v>
      </c>
      <c r="D277" s="132" t="s">
        <v>680</v>
      </c>
      <c r="E277" s="133">
        <v>4</v>
      </c>
      <c r="F277" s="134"/>
      <c r="G277" s="135"/>
      <c r="H277" s="136"/>
      <c r="I277" s="135"/>
      <c r="J277" s="135"/>
      <c r="K277" s="154"/>
      <c r="L277" s="154"/>
      <c r="M277" s="154"/>
      <c r="N277" s="138"/>
      <c r="O277" s="41"/>
    </row>
    <row r="278" spans="1:15">
      <c r="A278" s="43">
        <v>11</v>
      </c>
      <c r="B278" s="43" t="s">
        <v>721</v>
      </c>
      <c r="C278" s="52" t="s">
        <v>748</v>
      </c>
      <c r="D278" s="93" t="s">
        <v>680</v>
      </c>
      <c r="E278" s="88">
        <v>4</v>
      </c>
      <c r="F278" s="80" t="s">
        <v>666</v>
      </c>
      <c r="G278" t="s">
        <v>651</v>
      </c>
      <c r="H278" s="67">
        <v>1</v>
      </c>
      <c r="I278">
        <v>98000</v>
      </c>
      <c r="J278">
        <v>98000</v>
      </c>
      <c r="O278" s="41"/>
    </row>
    <row r="279" spans="1:15">
      <c r="A279" s="43">
        <v>11</v>
      </c>
      <c r="B279" s="43" t="s">
        <v>721</v>
      </c>
      <c r="C279" s="52" t="s">
        <v>748</v>
      </c>
      <c r="D279" s="93" t="s">
        <v>680</v>
      </c>
      <c r="E279" s="88">
        <v>4</v>
      </c>
      <c r="K279" s="41">
        <v>98000</v>
      </c>
      <c r="M279" s="41">
        <v>98000</v>
      </c>
      <c r="O279" s="41"/>
    </row>
    <row r="280" spans="1:15">
      <c r="A280" s="130">
        <v>11</v>
      </c>
      <c r="B280" s="130" t="s">
        <v>721</v>
      </c>
      <c r="C280" s="131" t="s">
        <v>748</v>
      </c>
      <c r="D280" s="132" t="s">
        <v>680</v>
      </c>
      <c r="E280" s="133">
        <v>5</v>
      </c>
      <c r="F280" s="134"/>
      <c r="G280" s="135"/>
      <c r="H280" s="136"/>
      <c r="I280" s="135"/>
      <c r="J280" s="135"/>
      <c r="K280" s="154"/>
      <c r="L280" s="154"/>
      <c r="M280" s="154"/>
      <c r="N280" s="138"/>
      <c r="O280" s="41"/>
    </row>
    <row r="281" spans="1:15">
      <c r="A281" s="43">
        <v>11</v>
      </c>
      <c r="B281" s="43" t="s">
        <v>721</v>
      </c>
      <c r="C281" s="52" t="s">
        <v>748</v>
      </c>
      <c r="D281" s="93" t="s">
        <v>680</v>
      </c>
      <c r="E281" s="88">
        <v>5</v>
      </c>
      <c r="F281" s="80" t="s">
        <v>666</v>
      </c>
      <c r="G281" t="s">
        <v>651</v>
      </c>
      <c r="H281" s="67">
        <v>1</v>
      </c>
      <c r="I281">
        <v>98000</v>
      </c>
      <c r="J281">
        <v>98000</v>
      </c>
      <c r="O281" s="41"/>
    </row>
    <row r="282" spans="1:15">
      <c r="A282" s="43">
        <v>11</v>
      </c>
      <c r="B282" s="43" t="s">
        <v>721</v>
      </c>
      <c r="C282" s="52" t="s">
        <v>748</v>
      </c>
      <c r="D282" s="93" t="s">
        <v>680</v>
      </c>
      <c r="E282" s="88">
        <v>5</v>
      </c>
      <c r="K282" s="41">
        <v>98000</v>
      </c>
      <c r="M282" s="41">
        <v>98000</v>
      </c>
      <c r="O282" s="41"/>
    </row>
    <row r="283" spans="1:15">
      <c r="A283" s="130">
        <v>11</v>
      </c>
      <c r="B283" s="130" t="s">
        <v>721</v>
      </c>
      <c r="C283" s="131" t="s">
        <v>748</v>
      </c>
      <c r="D283" s="132" t="s">
        <v>680</v>
      </c>
      <c r="E283" s="133">
        <v>6</v>
      </c>
      <c r="F283" s="134"/>
      <c r="G283" s="135"/>
      <c r="H283" s="136"/>
      <c r="I283" s="135"/>
      <c r="J283" s="135"/>
      <c r="K283" s="154"/>
      <c r="L283" s="154"/>
      <c r="M283" s="154"/>
      <c r="N283" s="138"/>
      <c r="O283" s="41"/>
    </row>
    <row r="284" spans="1:15">
      <c r="A284" s="43">
        <v>11</v>
      </c>
      <c r="B284" s="43" t="s">
        <v>721</v>
      </c>
      <c r="C284" s="52" t="s">
        <v>748</v>
      </c>
      <c r="D284" s="93" t="s">
        <v>680</v>
      </c>
      <c r="E284" s="88">
        <v>6</v>
      </c>
      <c r="F284" s="80" t="s">
        <v>666</v>
      </c>
      <c r="G284" t="s">
        <v>651</v>
      </c>
      <c r="H284" s="67">
        <v>1</v>
      </c>
      <c r="I284">
        <v>98000</v>
      </c>
      <c r="J284">
        <v>98000</v>
      </c>
      <c r="O284" s="41"/>
    </row>
    <row r="285" spans="1:15">
      <c r="A285" s="43">
        <v>11</v>
      </c>
      <c r="B285" s="43" t="s">
        <v>721</v>
      </c>
      <c r="C285" s="52" t="s">
        <v>748</v>
      </c>
      <c r="D285" s="93" t="s">
        <v>680</v>
      </c>
      <c r="E285" s="88">
        <v>6</v>
      </c>
      <c r="K285" s="41">
        <v>98000</v>
      </c>
      <c r="M285" s="41">
        <v>98000</v>
      </c>
      <c r="O285" s="41"/>
    </row>
    <row r="286" spans="1:15">
      <c r="A286" s="130">
        <v>11</v>
      </c>
      <c r="B286" s="130" t="s">
        <v>721</v>
      </c>
      <c r="C286" s="131" t="s">
        <v>748</v>
      </c>
      <c r="D286" s="132" t="s">
        <v>680</v>
      </c>
      <c r="E286" s="133">
        <v>7</v>
      </c>
      <c r="F286" s="134" t="s">
        <v>15</v>
      </c>
      <c r="G286" s="135" t="s">
        <v>16</v>
      </c>
      <c r="H286" s="136" t="s">
        <v>17</v>
      </c>
      <c r="I286" s="135" t="s">
        <v>18</v>
      </c>
      <c r="J286" s="135" t="s">
        <v>19</v>
      </c>
      <c r="K286" s="154"/>
      <c r="L286" s="154"/>
      <c r="M286" s="154"/>
      <c r="N286" s="138"/>
      <c r="O286" s="41"/>
    </row>
    <row r="287" spans="1:15">
      <c r="A287" s="43">
        <v>11</v>
      </c>
      <c r="B287" s="43" t="s">
        <v>721</v>
      </c>
      <c r="C287" s="52" t="s">
        <v>748</v>
      </c>
      <c r="D287" s="93" t="s">
        <v>680</v>
      </c>
      <c r="E287" s="88">
        <v>7</v>
      </c>
      <c r="K287" s="41">
        <v>0</v>
      </c>
      <c r="M287" s="41">
        <v>0</v>
      </c>
      <c r="O287" s="41"/>
    </row>
    <row r="288" spans="1:15">
      <c r="A288" s="130">
        <v>11</v>
      </c>
      <c r="B288" s="130" t="s">
        <v>721</v>
      </c>
      <c r="C288" s="131" t="s">
        <v>748</v>
      </c>
      <c r="D288" s="132" t="s">
        <v>680</v>
      </c>
      <c r="E288" s="133">
        <v>7</v>
      </c>
      <c r="F288" s="134"/>
      <c r="G288" s="135"/>
      <c r="H288" s="136"/>
      <c r="I288" s="135"/>
      <c r="J288" s="135"/>
      <c r="K288" s="154"/>
      <c r="L288" s="154"/>
      <c r="M288" s="154"/>
      <c r="N288" s="138"/>
      <c r="O288" s="41"/>
    </row>
    <row r="289" spans="1:15">
      <c r="A289" s="43">
        <v>11</v>
      </c>
      <c r="B289" s="43" t="s">
        <v>721</v>
      </c>
      <c r="C289" s="52" t="s">
        <v>748</v>
      </c>
      <c r="D289" s="93" t="s">
        <v>680</v>
      </c>
      <c r="E289" s="88">
        <v>7</v>
      </c>
      <c r="F289" s="80" t="s">
        <v>666</v>
      </c>
      <c r="G289" t="s">
        <v>651</v>
      </c>
      <c r="H289" s="67">
        <v>1</v>
      </c>
      <c r="I289">
        <v>98000</v>
      </c>
      <c r="J289">
        <v>98000</v>
      </c>
      <c r="O289" s="41"/>
    </row>
    <row r="290" spans="1:15">
      <c r="A290" s="43">
        <v>11</v>
      </c>
      <c r="B290" s="43" t="s">
        <v>721</v>
      </c>
      <c r="C290" s="52" t="s">
        <v>748</v>
      </c>
      <c r="D290" s="93" t="s">
        <v>680</v>
      </c>
      <c r="E290" s="88">
        <v>7</v>
      </c>
      <c r="K290" s="41">
        <v>98000</v>
      </c>
      <c r="M290" s="41">
        <v>98000</v>
      </c>
      <c r="O290" s="41"/>
    </row>
    <row r="291" spans="1:15">
      <c r="A291" s="130">
        <v>11</v>
      </c>
      <c r="B291" s="130" t="s">
        <v>721</v>
      </c>
      <c r="C291" s="131" t="s">
        <v>748</v>
      </c>
      <c r="D291" s="132" t="s">
        <v>680</v>
      </c>
      <c r="E291" s="133">
        <v>8</v>
      </c>
      <c r="F291" s="134"/>
      <c r="G291" s="135"/>
      <c r="H291" s="136"/>
      <c r="I291" s="135"/>
      <c r="J291" s="135"/>
      <c r="K291" s="154"/>
      <c r="L291" s="154"/>
      <c r="M291" s="154"/>
      <c r="N291" s="138"/>
      <c r="O291" s="41"/>
    </row>
    <row r="292" spans="1:15">
      <c r="A292" s="43">
        <v>11</v>
      </c>
      <c r="B292" s="43" t="s">
        <v>721</v>
      </c>
      <c r="C292" s="52" t="s">
        <v>748</v>
      </c>
      <c r="D292" s="93" t="s">
        <v>680</v>
      </c>
      <c r="E292" s="88">
        <v>8</v>
      </c>
      <c r="F292" s="80" t="s">
        <v>665</v>
      </c>
      <c r="G292" t="s">
        <v>650</v>
      </c>
      <c r="H292" s="67">
        <v>1</v>
      </c>
      <c r="I292">
        <v>85000</v>
      </c>
      <c r="J292">
        <v>85000</v>
      </c>
      <c r="O292" s="41"/>
    </row>
    <row r="293" spans="1:15">
      <c r="A293" s="43">
        <v>11</v>
      </c>
      <c r="B293" s="43" t="s">
        <v>721</v>
      </c>
      <c r="C293" s="52" t="s">
        <v>748</v>
      </c>
      <c r="D293" s="93" t="s">
        <v>680</v>
      </c>
      <c r="E293" s="88">
        <v>8</v>
      </c>
      <c r="K293" s="41">
        <v>85000</v>
      </c>
      <c r="M293" s="41">
        <v>85000</v>
      </c>
      <c r="O293" s="41"/>
    </row>
    <row r="294" spans="1:15">
      <c r="A294" s="130">
        <v>11</v>
      </c>
      <c r="B294" s="130" t="s">
        <v>721</v>
      </c>
      <c r="C294" s="131" t="s">
        <v>748</v>
      </c>
      <c r="D294" s="132" t="s">
        <v>680</v>
      </c>
      <c r="E294" s="133">
        <v>9</v>
      </c>
      <c r="F294" s="134"/>
      <c r="G294" s="135"/>
      <c r="H294" s="136"/>
      <c r="I294" s="135"/>
      <c r="J294" s="135"/>
      <c r="K294" s="154"/>
      <c r="L294" s="154"/>
      <c r="M294" s="154"/>
      <c r="N294" s="138"/>
      <c r="O294" s="41"/>
    </row>
    <row r="295" spans="1:15">
      <c r="A295" s="43">
        <v>11</v>
      </c>
      <c r="B295" s="43" t="s">
        <v>721</v>
      </c>
      <c r="C295" s="52" t="s">
        <v>748</v>
      </c>
      <c r="D295" s="93" t="s">
        <v>680</v>
      </c>
      <c r="E295" s="88">
        <v>9</v>
      </c>
      <c r="F295" s="80" t="s">
        <v>665</v>
      </c>
      <c r="G295" t="s">
        <v>650</v>
      </c>
      <c r="H295" s="67">
        <v>1</v>
      </c>
      <c r="I295">
        <v>85000</v>
      </c>
      <c r="J295">
        <v>85000</v>
      </c>
      <c r="O295" s="41"/>
    </row>
    <row r="296" spans="1:15">
      <c r="A296" s="43">
        <v>11</v>
      </c>
      <c r="B296" s="43" t="s">
        <v>721</v>
      </c>
      <c r="C296" s="52" t="s">
        <v>748</v>
      </c>
      <c r="D296" s="93" t="s">
        <v>680</v>
      </c>
      <c r="E296" s="88">
        <v>9</v>
      </c>
      <c r="K296" s="41">
        <v>85000</v>
      </c>
      <c r="M296" s="41">
        <v>85000</v>
      </c>
      <c r="O296" s="41"/>
    </row>
    <row r="297" spans="1:15">
      <c r="A297" s="130">
        <v>11</v>
      </c>
      <c r="B297" s="130" t="s">
        <v>721</v>
      </c>
      <c r="C297" s="131" t="s">
        <v>748</v>
      </c>
      <c r="D297" s="132" t="s">
        <v>680</v>
      </c>
      <c r="E297" s="133">
        <v>10</v>
      </c>
      <c r="F297" s="134"/>
      <c r="G297" s="135"/>
      <c r="H297" s="136"/>
      <c r="I297" s="135"/>
      <c r="J297" s="135"/>
      <c r="K297" s="154"/>
      <c r="L297" s="154"/>
      <c r="M297" s="154"/>
      <c r="N297" s="138"/>
      <c r="O297" s="41"/>
    </row>
    <row r="298" spans="1:15">
      <c r="A298" s="43">
        <v>11</v>
      </c>
      <c r="B298" s="43" t="s">
        <v>721</v>
      </c>
      <c r="C298" s="52" t="s">
        <v>748</v>
      </c>
      <c r="D298" s="93" t="s">
        <v>680</v>
      </c>
      <c r="E298" s="88">
        <v>10</v>
      </c>
      <c r="F298" s="80" t="s">
        <v>666</v>
      </c>
      <c r="G298" t="s">
        <v>651</v>
      </c>
      <c r="H298" s="67">
        <v>1</v>
      </c>
      <c r="I298">
        <v>98000</v>
      </c>
      <c r="J298">
        <v>98000</v>
      </c>
      <c r="O298" s="41"/>
    </row>
    <row r="299" spans="1:15">
      <c r="A299" s="43">
        <v>11</v>
      </c>
      <c r="B299" s="43" t="s">
        <v>721</v>
      </c>
      <c r="C299" s="52" t="s">
        <v>748</v>
      </c>
      <c r="D299" s="93" t="s">
        <v>680</v>
      </c>
      <c r="E299" s="88">
        <v>10</v>
      </c>
      <c r="K299" s="41">
        <v>98000</v>
      </c>
      <c r="M299" s="41">
        <v>98000</v>
      </c>
      <c r="O299" s="41"/>
    </row>
    <row r="300" spans="1:15">
      <c r="A300" s="130">
        <v>11</v>
      </c>
      <c r="B300" s="130" t="s">
        <v>721</v>
      </c>
      <c r="C300" s="131" t="s">
        <v>748</v>
      </c>
      <c r="D300" s="132" t="s">
        <v>680</v>
      </c>
      <c r="E300" s="133">
        <v>11</v>
      </c>
      <c r="F300" s="134"/>
      <c r="G300" s="135"/>
      <c r="H300" s="136"/>
      <c r="I300" s="135"/>
      <c r="J300" s="135"/>
      <c r="K300" s="154"/>
      <c r="L300" s="154"/>
      <c r="M300" s="154"/>
      <c r="N300" s="138"/>
      <c r="O300" s="41"/>
    </row>
    <row r="301" spans="1:15">
      <c r="A301" s="43">
        <v>11</v>
      </c>
      <c r="B301" s="43" t="s">
        <v>721</v>
      </c>
      <c r="C301" s="52" t="s">
        <v>748</v>
      </c>
      <c r="D301" s="93" t="s">
        <v>680</v>
      </c>
      <c r="E301" s="88">
        <v>11</v>
      </c>
      <c r="F301" s="80" t="s">
        <v>678</v>
      </c>
      <c r="G301" t="s">
        <v>682</v>
      </c>
      <c r="H301" s="67">
        <v>1</v>
      </c>
      <c r="I301">
        <v>195000</v>
      </c>
      <c r="J301">
        <v>195000</v>
      </c>
      <c r="O301" s="41"/>
    </row>
    <row r="302" spans="1:15">
      <c r="A302" s="43">
        <v>11</v>
      </c>
      <c r="B302" s="43" t="s">
        <v>721</v>
      </c>
      <c r="C302" s="52" t="s">
        <v>748</v>
      </c>
      <c r="D302" s="93" t="s">
        <v>680</v>
      </c>
      <c r="E302" s="88">
        <v>11</v>
      </c>
      <c r="K302" s="41">
        <v>195000</v>
      </c>
      <c r="M302" s="41">
        <v>195000</v>
      </c>
      <c r="O302" s="41"/>
    </row>
    <row r="303" spans="1:15">
      <c r="A303" s="130">
        <v>11</v>
      </c>
      <c r="B303" s="130" t="s">
        <v>721</v>
      </c>
      <c r="C303" s="131" t="s">
        <v>748</v>
      </c>
      <c r="D303" s="132" t="s">
        <v>680</v>
      </c>
      <c r="E303" s="133">
        <v>12</v>
      </c>
      <c r="F303" s="134"/>
      <c r="G303" s="135"/>
      <c r="H303" s="136"/>
      <c r="I303" s="135"/>
      <c r="J303" s="135"/>
      <c r="K303" s="154"/>
      <c r="L303" s="154"/>
      <c r="M303" s="154"/>
      <c r="N303" s="138"/>
      <c r="O303" s="41"/>
    </row>
    <row r="304" spans="1:15">
      <c r="A304" s="43">
        <v>11</v>
      </c>
      <c r="B304" s="43" t="s">
        <v>721</v>
      </c>
      <c r="C304" s="52" t="s">
        <v>748</v>
      </c>
      <c r="D304" s="93" t="s">
        <v>680</v>
      </c>
      <c r="E304" s="88">
        <v>12</v>
      </c>
      <c r="F304" s="80" t="s">
        <v>670</v>
      </c>
      <c r="G304" t="s">
        <v>730</v>
      </c>
      <c r="H304" s="67">
        <v>1</v>
      </c>
      <c r="I304">
        <v>85000</v>
      </c>
      <c r="J304">
        <v>85000</v>
      </c>
      <c r="O304" s="41"/>
    </row>
    <row r="305" spans="1:15">
      <c r="A305" s="43">
        <v>11</v>
      </c>
      <c r="B305" s="43" t="s">
        <v>721</v>
      </c>
      <c r="C305" s="52" t="s">
        <v>748</v>
      </c>
      <c r="D305" s="93" t="s">
        <v>680</v>
      </c>
      <c r="E305" s="88">
        <v>12</v>
      </c>
      <c r="K305" s="41">
        <v>85000</v>
      </c>
      <c r="M305" s="41">
        <v>85000</v>
      </c>
      <c r="O305" s="41"/>
    </row>
    <row r="306" spans="1:15">
      <c r="A306" s="130">
        <v>11</v>
      </c>
      <c r="B306" s="130" t="s">
        <v>721</v>
      </c>
      <c r="C306" s="131" t="s">
        <v>748</v>
      </c>
      <c r="D306" s="132" t="s">
        <v>680</v>
      </c>
      <c r="E306" s="133">
        <v>13</v>
      </c>
      <c r="F306" s="134"/>
      <c r="G306" s="135"/>
      <c r="H306" s="136"/>
      <c r="I306" s="135"/>
      <c r="J306" s="135"/>
      <c r="K306" s="154"/>
      <c r="L306" s="154"/>
      <c r="M306" s="154"/>
      <c r="N306" s="138"/>
      <c r="O306" s="41"/>
    </row>
    <row r="307" spans="1:15">
      <c r="A307" s="43">
        <v>11</v>
      </c>
      <c r="B307" s="43" t="s">
        <v>721</v>
      </c>
      <c r="C307" s="52" t="s">
        <v>748</v>
      </c>
      <c r="D307" s="93" t="s">
        <v>680</v>
      </c>
      <c r="E307" s="88">
        <v>13</v>
      </c>
      <c r="F307" s="80" t="s">
        <v>671</v>
      </c>
      <c r="G307" t="s">
        <v>656</v>
      </c>
      <c r="H307" s="67">
        <v>1</v>
      </c>
      <c r="I307">
        <v>98000</v>
      </c>
      <c r="J307">
        <v>98000</v>
      </c>
      <c r="O307" s="41"/>
    </row>
    <row r="308" spans="1:15">
      <c r="A308" s="43">
        <v>11</v>
      </c>
      <c r="B308" s="43" t="s">
        <v>721</v>
      </c>
      <c r="C308" s="52" t="s">
        <v>748</v>
      </c>
      <c r="D308" s="93" t="s">
        <v>680</v>
      </c>
      <c r="E308" s="88">
        <v>13</v>
      </c>
      <c r="K308" s="41">
        <v>98000</v>
      </c>
      <c r="M308" s="41">
        <v>98000</v>
      </c>
      <c r="O308" s="41"/>
    </row>
    <row r="309" spans="1:15">
      <c r="A309" s="130">
        <v>14</v>
      </c>
      <c r="B309" s="130" t="s">
        <v>721</v>
      </c>
      <c r="C309" s="131" t="s">
        <v>748</v>
      </c>
      <c r="D309" s="132" t="s">
        <v>680</v>
      </c>
      <c r="E309" s="133">
        <v>1</v>
      </c>
      <c r="F309" s="134"/>
      <c r="G309" s="135"/>
      <c r="H309" s="136"/>
      <c r="I309" s="135"/>
      <c r="J309" s="135"/>
      <c r="K309" s="154"/>
      <c r="L309" s="154"/>
      <c r="M309" s="154"/>
      <c r="N309" s="138"/>
      <c r="O309" s="41"/>
    </row>
    <row r="310" spans="1:15">
      <c r="A310" s="43">
        <v>14</v>
      </c>
      <c r="B310" s="43" t="s">
        <v>721</v>
      </c>
      <c r="C310" s="52" t="s">
        <v>748</v>
      </c>
      <c r="D310" s="93" t="s">
        <v>680</v>
      </c>
      <c r="E310" s="88">
        <v>1</v>
      </c>
      <c r="F310" s="80" t="s">
        <v>672</v>
      </c>
      <c r="G310" t="s">
        <v>657</v>
      </c>
      <c r="H310" s="67">
        <v>1</v>
      </c>
      <c r="I310">
        <v>98000</v>
      </c>
      <c r="J310">
        <v>98000</v>
      </c>
      <c r="O310" s="41"/>
    </row>
    <row r="311" spans="1:15">
      <c r="A311" s="43">
        <v>14</v>
      </c>
      <c r="B311" s="43" t="s">
        <v>721</v>
      </c>
      <c r="C311" s="52" t="s">
        <v>748</v>
      </c>
      <c r="D311" s="93" t="s">
        <v>680</v>
      </c>
      <c r="E311" s="88">
        <v>1</v>
      </c>
      <c r="K311" s="41">
        <v>98000</v>
      </c>
      <c r="M311" s="41">
        <v>98000</v>
      </c>
      <c r="O311" s="41"/>
    </row>
    <row r="312" spans="1:15">
      <c r="A312" s="130">
        <v>14</v>
      </c>
      <c r="B312" s="130" t="s">
        <v>721</v>
      </c>
      <c r="C312" s="131" t="s">
        <v>748</v>
      </c>
      <c r="D312" s="132" t="s">
        <v>680</v>
      </c>
      <c r="E312" s="133">
        <v>2</v>
      </c>
      <c r="F312" s="134"/>
      <c r="G312" s="135"/>
      <c r="H312" s="136"/>
      <c r="I312" s="135"/>
      <c r="J312" s="135"/>
      <c r="K312" s="154"/>
      <c r="L312" s="154"/>
      <c r="M312" s="154"/>
      <c r="N312" s="138"/>
      <c r="O312" s="41"/>
    </row>
    <row r="313" spans="1:15">
      <c r="A313" s="43">
        <v>14</v>
      </c>
      <c r="B313" s="43" t="s">
        <v>721</v>
      </c>
      <c r="C313" s="52" t="s">
        <v>748</v>
      </c>
      <c r="D313" s="93" t="s">
        <v>680</v>
      </c>
      <c r="E313" s="88">
        <v>2</v>
      </c>
      <c r="F313" s="80" t="s">
        <v>676</v>
      </c>
      <c r="G313" t="s">
        <v>752</v>
      </c>
      <c r="H313" s="67">
        <v>1</v>
      </c>
      <c r="I313">
        <v>155000</v>
      </c>
      <c r="J313">
        <v>155000</v>
      </c>
      <c r="O313" s="41"/>
    </row>
    <row r="314" spans="1:15">
      <c r="A314" s="43">
        <v>14</v>
      </c>
      <c r="B314" s="43" t="s">
        <v>721</v>
      </c>
      <c r="C314" s="52" t="s">
        <v>748</v>
      </c>
      <c r="D314" s="93" t="s">
        <v>680</v>
      </c>
      <c r="E314" s="88">
        <v>2</v>
      </c>
      <c r="K314" s="41">
        <v>155000</v>
      </c>
      <c r="M314" s="41">
        <v>155000</v>
      </c>
      <c r="O314" s="41"/>
    </row>
    <row r="315" spans="1:15">
      <c r="A315" s="130">
        <v>14</v>
      </c>
      <c r="B315" s="130" t="s">
        <v>721</v>
      </c>
      <c r="C315" s="131" t="s">
        <v>748</v>
      </c>
      <c r="D315" s="132" t="s">
        <v>680</v>
      </c>
      <c r="E315" s="133">
        <v>3</v>
      </c>
      <c r="F315" s="134"/>
      <c r="G315" s="135"/>
      <c r="H315" s="136"/>
      <c r="I315" s="135"/>
      <c r="J315" s="135"/>
      <c r="K315" s="154"/>
      <c r="L315" s="154"/>
      <c r="M315" s="154"/>
      <c r="N315" s="138"/>
      <c r="O315" s="41"/>
    </row>
    <row r="316" spans="1:15">
      <c r="A316" s="43">
        <v>14</v>
      </c>
      <c r="B316" s="43" t="s">
        <v>721</v>
      </c>
      <c r="C316" s="52" t="s">
        <v>748</v>
      </c>
      <c r="D316" s="93" t="s">
        <v>680</v>
      </c>
      <c r="E316" s="88">
        <v>3</v>
      </c>
      <c r="F316" s="80" t="s">
        <v>666</v>
      </c>
      <c r="G316" t="s">
        <v>651</v>
      </c>
      <c r="H316" s="67">
        <v>1</v>
      </c>
      <c r="I316">
        <v>98000</v>
      </c>
      <c r="J316">
        <v>98000</v>
      </c>
      <c r="O316" s="41"/>
    </row>
    <row r="317" spans="1:15">
      <c r="A317" s="43">
        <v>14</v>
      </c>
      <c r="B317" s="43" t="s">
        <v>721</v>
      </c>
      <c r="C317" s="52" t="s">
        <v>748</v>
      </c>
      <c r="D317" s="93" t="s">
        <v>680</v>
      </c>
      <c r="E317" s="88">
        <v>3</v>
      </c>
      <c r="K317" s="41">
        <v>98000</v>
      </c>
      <c r="M317" s="41">
        <v>98000</v>
      </c>
      <c r="O317" s="41"/>
    </row>
    <row r="318" spans="1:15">
      <c r="A318" s="130">
        <v>14</v>
      </c>
      <c r="B318" s="130" t="s">
        <v>721</v>
      </c>
      <c r="C318" s="131" t="s">
        <v>748</v>
      </c>
      <c r="D318" s="132" t="s">
        <v>680</v>
      </c>
      <c r="E318" s="133">
        <v>4</v>
      </c>
      <c r="F318" s="134"/>
      <c r="G318" s="135"/>
      <c r="H318" s="136"/>
      <c r="I318" s="135"/>
      <c r="J318" s="135"/>
      <c r="K318" s="154"/>
      <c r="L318" s="154"/>
      <c r="M318" s="154"/>
      <c r="N318" s="138"/>
      <c r="O318" s="41"/>
    </row>
    <row r="319" spans="1:15">
      <c r="A319" s="43">
        <v>14</v>
      </c>
      <c r="B319" s="43" t="s">
        <v>721</v>
      </c>
      <c r="C319" s="52" t="s">
        <v>748</v>
      </c>
      <c r="D319" s="93" t="s">
        <v>680</v>
      </c>
      <c r="E319" s="88">
        <v>4</v>
      </c>
      <c r="F319" s="80" t="s">
        <v>676</v>
      </c>
      <c r="G319" t="s">
        <v>752</v>
      </c>
      <c r="H319" s="67">
        <v>1</v>
      </c>
      <c r="I319">
        <v>155000</v>
      </c>
      <c r="J319">
        <v>155000</v>
      </c>
      <c r="O319" s="41"/>
    </row>
    <row r="320" spans="1:15">
      <c r="A320" s="43">
        <v>14</v>
      </c>
      <c r="B320" s="43" t="s">
        <v>721</v>
      </c>
      <c r="C320" s="52" t="s">
        <v>748</v>
      </c>
      <c r="D320" s="93" t="s">
        <v>680</v>
      </c>
      <c r="E320" s="88">
        <v>4</v>
      </c>
      <c r="K320" s="41">
        <v>155000</v>
      </c>
      <c r="M320" s="41">
        <v>155000</v>
      </c>
      <c r="O320" s="41"/>
    </row>
    <row r="321" spans="1:15">
      <c r="A321" s="130">
        <v>14</v>
      </c>
      <c r="B321" s="130" t="s">
        <v>721</v>
      </c>
      <c r="C321" s="131" t="s">
        <v>748</v>
      </c>
      <c r="D321" s="132" t="s">
        <v>680</v>
      </c>
      <c r="E321" s="133">
        <v>5</v>
      </c>
      <c r="F321" s="134"/>
      <c r="G321" s="135"/>
      <c r="H321" s="136"/>
      <c r="I321" s="135"/>
      <c r="J321" s="135"/>
      <c r="K321" s="154"/>
      <c r="L321" s="154"/>
      <c r="M321" s="154"/>
      <c r="N321" s="138"/>
      <c r="O321" s="41"/>
    </row>
    <row r="322" spans="1:15">
      <c r="A322" s="43">
        <v>14</v>
      </c>
      <c r="B322" s="43" t="s">
        <v>721</v>
      </c>
      <c r="C322" s="52" t="s">
        <v>748</v>
      </c>
      <c r="D322" s="93" t="s">
        <v>680</v>
      </c>
      <c r="E322" s="88">
        <v>5</v>
      </c>
      <c r="F322" s="80" t="s">
        <v>670</v>
      </c>
      <c r="G322" t="s">
        <v>730</v>
      </c>
      <c r="H322" s="67">
        <v>1</v>
      </c>
      <c r="I322">
        <v>85000</v>
      </c>
      <c r="J322">
        <v>85000</v>
      </c>
      <c r="O322" s="41"/>
    </row>
    <row r="323" spans="1:15">
      <c r="A323" s="43">
        <v>14</v>
      </c>
      <c r="B323" s="43" t="s">
        <v>721</v>
      </c>
      <c r="C323" s="52" t="s">
        <v>748</v>
      </c>
      <c r="D323" s="93" t="s">
        <v>680</v>
      </c>
      <c r="E323" s="88">
        <v>5</v>
      </c>
      <c r="K323" s="41">
        <v>85000</v>
      </c>
      <c r="M323" s="41">
        <v>85000</v>
      </c>
      <c r="O323" s="41"/>
    </row>
    <row r="324" spans="1:15">
      <c r="A324" s="130">
        <v>14</v>
      </c>
      <c r="B324" s="130" t="s">
        <v>721</v>
      </c>
      <c r="C324" s="131" t="s">
        <v>748</v>
      </c>
      <c r="D324" s="132" t="s">
        <v>680</v>
      </c>
      <c r="E324" s="133">
        <v>6</v>
      </c>
      <c r="F324" s="134"/>
      <c r="G324" s="135"/>
      <c r="H324" s="136"/>
      <c r="I324" s="135"/>
      <c r="J324" s="135"/>
      <c r="K324" s="154"/>
      <c r="L324" s="154"/>
      <c r="M324" s="154"/>
      <c r="N324" s="138"/>
      <c r="O324" s="41"/>
    </row>
    <row r="325" spans="1:15">
      <c r="A325" s="43">
        <v>14</v>
      </c>
      <c r="B325" s="43" t="s">
        <v>721</v>
      </c>
      <c r="C325" s="52" t="s">
        <v>748</v>
      </c>
      <c r="D325" s="93" t="s">
        <v>680</v>
      </c>
      <c r="E325" s="88">
        <v>6</v>
      </c>
      <c r="F325" s="80" t="s">
        <v>668</v>
      </c>
      <c r="G325" t="s">
        <v>718</v>
      </c>
      <c r="H325" s="67">
        <v>1</v>
      </c>
      <c r="I325">
        <v>115000</v>
      </c>
      <c r="J325">
        <v>115000</v>
      </c>
      <c r="O325" s="41"/>
    </row>
    <row r="326" spans="1:15">
      <c r="A326" s="43">
        <v>14</v>
      </c>
      <c r="B326" s="43" t="s">
        <v>721</v>
      </c>
      <c r="C326" s="52" t="s">
        <v>748</v>
      </c>
      <c r="D326" s="93" t="s">
        <v>680</v>
      </c>
      <c r="E326" s="88">
        <v>6</v>
      </c>
      <c r="K326" s="41">
        <v>115000</v>
      </c>
      <c r="M326" s="41">
        <v>115000</v>
      </c>
      <c r="O326" s="41"/>
    </row>
    <row r="327" spans="1:15">
      <c r="A327" s="130">
        <v>14</v>
      </c>
      <c r="B327" s="130" t="s">
        <v>721</v>
      </c>
      <c r="C327" s="131" t="s">
        <v>748</v>
      </c>
      <c r="D327" s="132" t="s">
        <v>680</v>
      </c>
      <c r="E327" s="133">
        <v>7</v>
      </c>
      <c r="F327" s="134"/>
      <c r="G327" s="135"/>
      <c r="H327" s="136"/>
      <c r="I327" s="135"/>
      <c r="J327" s="135"/>
      <c r="K327" s="154"/>
      <c r="L327" s="154"/>
      <c r="M327" s="154"/>
      <c r="N327" s="138"/>
      <c r="O327" s="41"/>
    </row>
    <row r="328" spans="1:15">
      <c r="A328" s="43">
        <v>14</v>
      </c>
      <c r="B328" s="43" t="s">
        <v>721</v>
      </c>
      <c r="C328" s="52" t="s">
        <v>748</v>
      </c>
      <c r="D328" s="93" t="s">
        <v>680</v>
      </c>
      <c r="E328" s="88">
        <v>7</v>
      </c>
      <c r="F328" s="80" t="s">
        <v>705</v>
      </c>
      <c r="G328" t="s">
        <v>693</v>
      </c>
      <c r="H328" s="67">
        <v>1</v>
      </c>
      <c r="I328">
        <v>58000</v>
      </c>
      <c r="J328">
        <v>58000</v>
      </c>
      <c r="O328" s="41"/>
    </row>
    <row r="329" spans="1:15">
      <c r="A329" s="43">
        <v>14</v>
      </c>
      <c r="B329" s="43" t="s">
        <v>721</v>
      </c>
      <c r="C329" s="52" t="s">
        <v>748</v>
      </c>
      <c r="D329" s="93" t="s">
        <v>680</v>
      </c>
      <c r="E329" s="88">
        <v>7</v>
      </c>
      <c r="K329" s="41">
        <v>58000</v>
      </c>
      <c r="L329" s="41">
        <v>18000</v>
      </c>
      <c r="M329" s="41">
        <v>40000</v>
      </c>
      <c r="N329" s="40" t="s">
        <v>751</v>
      </c>
      <c r="O329" s="41"/>
    </row>
    <row r="330" spans="1:15">
      <c r="A330" s="130">
        <v>15</v>
      </c>
      <c r="B330" s="130" t="s">
        <v>679</v>
      </c>
      <c r="C330" s="131" t="s">
        <v>748</v>
      </c>
      <c r="D330" s="132" t="s">
        <v>680</v>
      </c>
      <c r="E330" s="133">
        <v>1</v>
      </c>
      <c r="F330" s="134"/>
      <c r="G330" s="135"/>
      <c r="H330" s="136"/>
      <c r="I330" s="135"/>
      <c r="J330" s="135"/>
      <c r="K330" s="154"/>
      <c r="L330" s="154"/>
      <c r="M330" s="154"/>
      <c r="N330" s="138"/>
      <c r="O330" s="41"/>
    </row>
    <row r="331" spans="1:15">
      <c r="A331" s="43">
        <v>15</v>
      </c>
      <c r="B331" s="43" t="s">
        <v>679</v>
      </c>
      <c r="C331" s="52" t="s">
        <v>748</v>
      </c>
      <c r="D331" s="93" t="s">
        <v>680</v>
      </c>
      <c r="E331" s="88">
        <v>1</v>
      </c>
      <c r="F331" s="80" t="s">
        <v>666</v>
      </c>
      <c r="G331" t="s">
        <v>651</v>
      </c>
      <c r="H331" s="67">
        <v>1</v>
      </c>
      <c r="I331">
        <v>98000</v>
      </c>
      <c r="J331">
        <v>98000</v>
      </c>
      <c r="O331" s="41"/>
    </row>
    <row r="332" spans="1:15">
      <c r="A332" s="43">
        <v>15</v>
      </c>
      <c r="B332" s="43" t="s">
        <v>679</v>
      </c>
      <c r="C332" s="52" t="s">
        <v>748</v>
      </c>
      <c r="D332" s="93" t="s">
        <v>680</v>
      </c>
      <c r="E332" s="88">
        <v>1</v>
      </c>
      <c r="K332" s="41">
        <v>98000</v>
      </c>
      <c r="M332" s="41">
        <v>98000</v>
      </c>
      <c r="O332" s="41"/>
    </row>
    <row r="333" spans="1:15">
      <c r="A333" s="130">
        <v>15</v>
      </c>
      <c r="B333" s="130" t="s">
        <v>721</v>
      </c>
      <c r="C333" s="131" t="s">
        <v>748</v>
      </c>
      <c r="D333" s="132" t="s">
        <v>680</v>
      </c>
      <c r="E333" s="133">
        <v>1</v>
      </c>
      <c r="F333" s="134"/>
      <c r="G333" s="135"/>
      <c r="H333" s="136"/>
      <c r="I333" s="135"/>
      <c r="J333" s="135"/>
      <c r="K333" s="154"/>
      <c r="L333" s="154"/>
      <c r="M333" s="154"/>
      <c r="N333" s="138"/>
      <c r="O333" s="41"/>
    </row>
    <row r="334" spans="1:15">
      <c r="A334" s="43">
        <v>15</v>
      </c>
      <c r="B334" s="43" t="s">
        <v>721</v>
      </c>
      <c r="C334" s="52" t="s">
        <v>748</v>
      </c>
      <c r="D334" s="93" t="s">
        <v>680</v>
      </c>
      <c r="E334" s="88">
        <v>1</v>
      </c>
      <c r="F334" s="80" t="s">
        <v>666</v>
      </c>
      <c r="G334" t="s">
        <v>651</v>
      </c>
      <c r="H334" s="67">
        <v>1</v>
      </c>
      <c r="I334">
        <v>98000</v>
      </c>
      <c r="J334">
        <v>98000</v>
      </c>
      <c r="O334" s="41"/>
    </row>
    <row r="335" spans="1:15">
      <c r="A335" s="43">
        <v>15</v>
      </c>
      <c r="B335" s="43" t="s">
        <v>721</v>
      </c>
      <c r="C335" s="52" t="s">
        <v>748</v>
      </c>
      <c r="D335" s="93" t="s">
        <v>680</v>
      </c>
      <c r="E335" s="88">
        <v>1</v>
      </c>
      <c r="K335" s="41">
        <v>98000</v>
      </c>
      <c r="M335" s="41">
        <v>98000</v>
      </c>
      <c r="O335" s="41"/>
    </row>
    <row r="336" spans="1:15">
      <c r="A336" s="130">
        <v>18</v>
      </c>
      <c r="B336" s="130" t="s">
        <v>679</v>
      </c>
      <c r="C336" s="131" t="s">
        <v>716</v>
      </c>
      <c r="D336" s="132" t="s">
        <v>680</v>
      </c>
      <c r="E336" s="133">
        <v>1</v>
      </c>
      <c r="F336" s="134"/>
      <c r="G336" s="135"/>
      <c r="H336" s="136"/>
      <c r="I336" s="135"/>
      <c r="J336" s="135"/>
      <c r="K336" s="137"/>
      <c r="L336" s="137"/>
      <c r="M336" s="137"/>
      <c r="N336" s="138"/>
      <c r="O336" s="154"/>
    </row>
    <row r="337" spans="1:15">
      <c r="A337" s="43">
        <v>18</v>
      </c>
      <c r="B337" s="43" t="s">
        <v>679</v>
      </c>
      <c r="C337" s="52" t="s">
        <v>716</v>
      </c>
      <c r="D337" s="93" t="s">
        <v>680</v>
      </c>
      <c r="E337" s="88">
        <v>1</v>
      </c>
      <c r="F337" s="80" t="s">
        <v>717</v>
      </c>
      <c r="G337" t="s">
        <v>718</v>
      </c>
      <c r="H337" s="67">
        <v>1</v>
      </c>
      <c r="I337">
        <v>115000</v>
      </c>
      <c r="J337">
        <v>115000</v>
      </c>
      <c r="O337" s="41"/>
    </row>
    <row r="338" spans="1:15">
      <c r="A338" s="43">
        <v>18</v>
      </c>
      <c r="B338" s="43" t="s">
        <v>679</v>
      </c>
      <c r="C338" s="52" t="s">
        <v>716</v>
      </c>
      <c r="D338" s="93" t="s">
        <v>680</v>
      </c>
      <c r="E338" s="88">
        <v>1</v>
      </c>
      <c r="F338" s="80" t="s">
        <v>719</v>
      </c>
      <c r="G338" t="s">
        <v>651</v>
      </c>
      <c r="H338" s="67">
        <v>1</v>
      </c>
      <c r="I338">
        <v>98000</v>
      </c>
      <c r="J338">
        <v>98000</v>
      </c>
      <c r="O338" s="41"/>
    </row>
    <row r="339" spans="1:15">
      <c r="A339" s="43">
        <v>18</v>
      </c>
      <c r="B339" s="43" t="s">
        <v>679</v>
      </c>
      <c r="C339" s="52" t="s">
        <v>716</v>
      </c>
      <c r="D339" s="93" t="s">
        <v>680</v>
      </c>
      <c r="E339" s="88">
        <v>1</v>
      </c>
      <c r="K339" s="41">
        <v>213000</v>
      </c>
      <c r="M339" s="41">
        <v>213000</v>
      </c>
      <c r="O339" s="41"/>
    </row>
    <row r="340" spans="1:15">
      <c r="A340" s="130">
        <v>17</v>
      </c>
      <c r="B340" s="130" t="s">
        <v>721</v>
      </c>
      <c r="C340" s="131" t="s">
        <v>716</v>
      </c>
      <c r="D340" s="132" t="s">
        <v>680</v>
      </c>
      <c r="E340" s="133">
        <v>1</v>
      </c>
      <c r="F340" s="134"/>
      <c r="G340" s="135"/>
      <c r="H340" s="136"/>
      <c r="I340" s="135"/>
      <c r="J340" s="135"/>
      <c r="K340" s="137"/>
      <c r="L340" s="137"/>
      <c r="M340" s="137"/>
      <c r="N340" s="138"/>
      <c r="O340" s="154"/>
    </row>
    <row r="341" spans="1:15">
      <c r="A341" s="43">
        <v>17</v>
      </c>
      <c r="B341" s="43" t="s">
        <v>721</v>
      </c>
      <c r="C341" s="52" t="s">
        <v>716</v>
      </c>
      <c r="D341" s="93" t="s">
        <v>680</v>
      </c>
      <c r="E341" s="88">
        <v>1</v>
      </c>
      <c r="F341" s="80" t="s">
        <v>719</v>
      </c>
      <c r="G341" t="s">
        <v>651</v>
      </c>
      <c r="H341" s="67">
        <v>1</v>
      </c>
      <c r="I341">
        <v>98000</v>
      </c>
      <c r="J341">
        <v>98000</v>
      </c>
      <c r="O341" s="41"/>
    </row>
    <row r="342" spans="1:15">
      <c r="A342" s="43">
        <v>17</v>
      </c>
      <c r="B342" s="43" t="s">
        <v>721</v>
      </c>
      <c r="C342" s="52" t="s">
        <v>716</v>
      </c>
      <c r="D342" s="93" t="s">
        <v>680</v>
      </c>
      <c r="E342" s="88">
        <v>1</v>
      </c>
      <c r="F342" s="80" t="s">
        <v>720</v>
      </c>
      <c r="G342" t="s">
        <v>702</v>
      </c>
      <c r="H342" s="67">
        <v>1</v>
      </c>
      <c r="I342">
        <v>125000</v>
      </c>
      <c r="J342">
        <v>125000</v>
      </c>
      <c r="O342" s="41"/>
    </row>
    <row r="343" spans="1:15">
      <c r="A343" s="43">
        <v>17</v>
      </c>
      <c r="B343" s="43" t="s">
        <v>721</v>
      </c>
      <c r="C343" s="52" t="s">
        <v>716</v>
      </c>
      <c r="D343" s="93" t="s">
        <v>680</v>
      </c>
      <c r="E343" s="88">
        <v>1</v>
      </c>
      <c r="K343" s="41">
        <v>223000</v>
      </c>
      <c r="L343" s="41">
        <v>25000</v>
      </c>
      <c r="M343" s="41">
        <v>198000</v>
      </c>
      <c r="N343" s="40" t="s">
        <v>781</v>
      </c>
      <c r="O343" s="41"/>
    </row>
    <row r="344" spans="1:15">
      <c r="A344" s="130">
        <v>16</v>
      </c>
      <c r="B344" s="130" t="s">
        <v>679</v>
      </c>
      <c r="C344" s="131" t="s">
        <v>747</v>
      </c>
      <c r="D344" s="132" t="s">
        <v>680</v>
      </c>
      <c r="E344" s="133">
        <v>1</v>
      </c>
      <c r="F344" s="134"/>
      <c r="G344" s="135"/>
      <c r="H344" s="136"/>
      <c r="I344" s="135"/>
      <c r="J344" s="135"/>
      <c r="K344" s="137"/>
      <c r="L344" s="137"/>
      <c r="M344" s="137"/>
      <c r="N344" s="138"/>
      <c r="O344" s="154"/>
    </row>
    <row r="345" spans="1:15">
      <c r="A345" s="43">
        <v>16</v>
      </c>
      <c r="B345" s="43" t="s">
        <v>679</v>
      </c>
      <c r="C345" s="52" t="s">
        <v>747</v>
      </c>
      <c r="D345" s="93" t="s">
        <v>680</v>
      </c>
      <c r="E345" s="88">
        <v>1</v>
      </c>
      <c r="F345" s="80" t="s">
        <v>727</v>
      </c>
      <c r="G345" t="s">
        <v>650</v>
      </c>
      <c r="H345" s="67">
        <v>1</v>
      </c>
      <c r="I345">
        <v>98000</v>
      </c>
      <c r="J345">
        <v>98000</v>
      </c>
      <c r="O345" s="41"/>
    </row>
    <row r="346" spans="1:15">
      <c r="A346" s="43">
        <v>16</v>
      </c>
      <c r="B346" s="43" t="s">
        <v>679</v>
      </c>
      <c r="C346" s="52" t="s">
        <v>747</v>
      </c>
      <c r="D346" s="93" t="s">
        <v>680</v>
      </c>
      <c r="E346" s="88">
        <v>1</v>
      </c>
      <c r="K346" s="41">
        <v>98000</v>
      </c>
      <c r="M346" s="41">
        <v>98000</v>
      </c>
      <c r="O346" s="41"/>
    </row>
    <row r="347" spans="1:15">
      <c r="A347" s="130">
        <v>16</v>
      </c>
      <c r="B347" s="130" t="s">
        <v>679</v>
      </c>
      <c r="C347" s="131" t="s">
        <v>747</v>
      </c>
      <c r="D347" s="132" t="s">
        <v>680</v>
      </c>
      <c r="E347" s="133">
        <v>2</v>
      </c>
      <c r="F347" s="134"/>
      <c r="G347" s="135"/>
      <c r="H347" s="136"/>
      <c r="I347" s="135"/>
      <c r="J347" s="135"/>
      <c r="K347" s="137"/>
      <c r="L347" s="137"/>
      <c r="M347" s="137"/>
      <c r="N347" s="138"/>
      <c r="O347" s="154"/>
    </row>
    <row r="348" spans="1:15">
      <c r="A348" s="43">
        <v>16</v>
      </c>
      <c r="B348" s="43" t="s">
        <v>679</v>
      </c>
      <c r="C348" s="52" t="s">
        <v>747</v>
      </c>
      <c r="D348" s="93" t="s">
        <v>680</v>
      </c>
      <c r="E348" s="88">
        <v>2</v>
      </c>
      <c r="F348" s="80" t="s">
        <v>732</v>
      </c>
      <c r="G348" t="s">
        <v>656</v>
      </c>
      <c r="H348" s="67">
        <v>2</v>
      </c>
      <c r="I348">
        <v>98000</v>
      </c>
      <c r="J348">
        <v>196000</v>
      </c>
      <c r="O348" s="41"/>
    </row>
    <row r="349" spans="1:15">
      <c r="A349" s="43">
        <v>16</v>
      </c>
      <c r="B349" s="43" t="s">
        <v>679</v>
      </c>
      <c r="C349" s="52" t="s">
        <v>747</v>
      </c>
      <c r="D349" s="93" t="s">
        <v>680</v>
      </c>
      <c r="E349" s="88">
        <v>2</v>
      </c>
      <c r="F349" s="80" t="s">
        <v>681</v>
      </c>
      <c r="G349" t="s">
        <v>682</v>
      </c>
      <c r="H349" s="67">
        <v>1</v>
      </c>
      <c r="I349">
        <v>195000</v>
      </c>
      <c r="J349">
        <v>195000</v>
      </c>
      <c r="O349" s="41"/>
    </row>
    <row r="350" spans="1:15">
      <c r="A350" s="43">
        <v>16</v>
      </c>
      <c r="B350" s="43" t="s">
        <v>679</v>
      </c>
      <c r="C350" s="52" t="s">
        <v>747</v>
      </c>
      <c r="D350" s="93" t="s">
        <v>680</v>
      </c>
      <c r="E350" s="88">
        <v>2</v>
      </c>
      <c r="K350" s="41">
        <v>391000</v>
      </c>
      <c r="M350" s="41">
        <v>391000</v>
      </c>
      <c r="O350" s="41"/>
    </row>
    <row r="351" spans="1:15">
      <c r="A351" s="130">
        <v>16</v>
      </c>
      <c r="B351" s="130" t="s">
        <v>679</v>
      </c>
      <c r="C351" s="131" t="s">
        <v>747</v>
      </c>
      <c r="D351" s="132" t="s">
        <v>680</v>
      </c>
      <c r="E351" s="133">
        <v>3</v>
      </c>
      <c r="F351" s="134"/>
      <c r="G351" s="135"/>
      <c r="H351" s="136"/>
      <c r="I351" s="135"/>
      <c r="J351" s="135"/>
      <c r="K351" s="137"/>
      <c r="L351" s="137"/>
      <c r="M351" s="137"/>
      <c r="N351" s="138"/>
      <c r="O351" s="154"/>
    </row>
    <row r="352" spans="1:15">
      <c r="A352" s="43">
        <v>16</v>
      </c>
      <c r="B352" s="43" t="s">
        <v>679</v>
      </c>
      <c r="C352" s="52" t="s">
        <v>747</v>
      </c>
      <c r="D352" s="93" t="s">
        <v>680</v>
      </c>
      <c r="E352" s="88">
        <v>3</v>
      </c>
      <c r="F352" s="80" t="s">
        <v>717</v>
      </c>
      <c r="G352" t="s">
        <v>718</v>
      </c>
      <c r="H352" s="67">
        <v>1</v>
      </c>
      <c r="I352">
        <v>115000</v>
      </c>
      <c r="J352">
        <v>115000</v>
      </c>
      <c r="O352" s="41"/>
    </row>
    <row r="353" spans="1:15">
      <c r="A353" s="43">
        <v>16</v>
      </c>
      <c r="B353" s="43" t="s">
        <v>679</v>
      </c>
      <c r="C353" s="52" t="s">
        <v>747</v>
      </c>
      <c r="D353" s="93" t="s">
        <v>680</v>
      </c>
      <c r="E353" s="88">
        <v>3</v>
      </c>
      <c r="F353" s="80" t="s">
        <v>689</v>
      </c>
      <c r="G353" t="s">
        <v>690</v>
      </c>
      <c r="H353" s="67">
        <v>1</v>
      </c>
      <c r="I353">
        <v>115000</v>
      </c>
      <c r="J353">
        <v>115000</v>
      </c>
      <c r="O353" s="41"/>
    </row>
    <row r="354" spans="1:15">
      <c r="A354" s="43">
        <v>16</v>
      </c>
      <c r="B354" s="43" t="s">
        <v>679</v>
      </c>
      <c r="C354" s="52" t="s">
        <v>747</v>
      </c>
      <c r="D354" s="93" t="s">
        <v>680</v>
      </c>
      <c r="E354" s="88">
        <v>3</v>
      </c>
      <c r="K354" s="41">
        <v>230000</v>
      </c>
      <c r="M354" s="41">
        <v>230000</v>
      </c>
      <c r="O354" s="41"/>
    </row>
    <row r="355" spans="1:15">
      <c r="A355" s="130">
        <v>16</v>
      </c>
      <c r="B355" s="130" t="s">
        <v>721</v>
      </c>
      <c r="C355" s="131" t="s">
        <v>747</v>
      </c>
      <c r="D355" s="132" t="s">
        <v>680</v>
      </c>
      <c r="E355" s="133">
        <v>1</v>
      </c>
      <c r="F355" s="134"/>
      <c r="G355" s="135"/>
      <c r="H355" s="136"/>
      <c r="I355" s="135"/>
      <c r="J355" s="135"/>
      <c r="K355" s="137"/>
      <c r="L355" s="137"/>
      <c r="M355" s="137"/>
      <c r="N355" s="138"/>
      <c r="O355" s="154"/>
    </row>
    <row r="356" spans="1:15">
      <c r="A356" s="43">
        <v>16</v>
      </c>
      <c r="B356" s="43" t="s">
        <v>721</v>
      </c>
      <c r="C356" s="52" t="s">
        <v>747</v>
      </c>
      <c r="D356" s="93" t="s">
        <v>680</v>
      </c>
      <c r="E356" s="88">
        <v>1</v>
      </c>
      <c r="F356" s="80" t="s">
        <v>719</v>
      </c>
      <c r="G356" t="s">
        <v>651</v>
      </c>
      <c r="H356" s="67">
        <v>1</v>
      </c>
      <c r="I356">
        <v>98000</v>
      </c>
      <c r="J356">
        <v>98000</v>
      </c>
      <c r="O356" s="41"/>
    </row>
    <row r="357" spans="1:15">
      <c r="A357" s="43">
        <v>16</v>
      </c>
      <c r="B357" s="43" t="s">
        <v>721</v>
      </c>
      <c r="C357" s="52" t="s">
        <v>747</v>
      </c>
      <c r="D357" s="93" t="s">
        <v>680</v>
      </c>
      <c r="E357" s="88">
        <v>1</v>
      </c>
      <c r="F357" s="80" t="s">
        <v>717</v>
      </c>
      <c r="G357" t="s">
        <v>718</v>
      </c>
      <c r="H357" s="67">
        <v>1</v>
      </c>
      <c r="I357">
        <v>98000</v>
      </c>
      <c r="J357">
        <v>98000</v>
      </c>
      <c r="O357" s="41"/>
    </row>
    <row r="358" spans="1:15">
      <c r="A358" s="43">
        <v>16</v>
      </c>
      <c r="B358" s="43" t="s">
        <v>721</v>
      </c>
      <c r="C358" s="52" t="s">
        <v>747</v>
      </c>
      <c r="D358" s="93" t="s">
        <v>680</v>
      </c>
      <c r="E358" s="88">
        <v>1</v>
      </c>
      <c r="F358" s="80" t="s">
        <v>723</v>
      </c>
      <c r="G358" t="s">
        <v>724</v>
      </c>
      <c r="H358" s="67">
        <v>1</v>
      </c>
      <c r="I358">
        <v>115000</v>
      </c>
      <c r="J358">
        <v>115000</v>
      </c>
      <c r="O358" s="41"/>
    </row>
    <row r="359" spans="1:15">
      <c r="A359" s="43">
        <v>16</v>
      </c>
      <c r="B359" s="43" t="s">
        <v>721</v>
      </c>
      <c r="C359" s="52" t="s">
        <v>747</v>
      </c>
      <c r="D359" s="93" t="s">
        <v>680</v>
      </c>
      <c r="E359" s="88">
        <v>1</v>
      </c>
      <c r="F359" s="80" t="s">
        <v>719</v>
      </c>
      <c r="G359" t="s">
        <v>651</v>
      </c>
      <c r="H359" s="67">
        <v>1</v>
      </c>
      <c r="I359">
        <v>98000</v>
      </c>
      <c r="J359">
        <v>98000</v>
      </c>
      <c r="O359" s="41"/>
    </row>
    <row r="360" spans="1:15">
      <c r="A360" s="43">
        <v>16</v>
      </c>
      <c r="B360" s="43" t="s">
        <v>721</v>
      </c>
      <c r="C360" s="52" t="s">
        <v>747</v>
      </c>
      <c r="D360" s="93" t="s">
        <v>680</v>
      </c>
      <c r="E360" s="88">
        <v>1</v>
      </c>
      <c r="F360" s="80" t="s">
        <v>782</v>
      </c>
      <c r="G360" t="s">
        <v>700</v>
      </c>
      <c r="H360" s="67">
        <v>1</v>
      </c>
      <c r="I360">
        <v>115000</v>
      </c>
      <c r="J360">
        <v>115000</v>
      </c>
      <c r="O360" s="41"/>
    </row>
    <row r="361" spans="1:15">
      <c r="A361" s="43">
        <v>16</v>
      </c>
      <c r="B361" s="43" t="s">
        <v>721</v>
      </c>
      <c r="C361" s="52" t="s">
        <v>747</v>
      </c>
      <c r="D361" s="93" t="s">
        <v>680</v>
      </c>
      <c r="E361" s="88">
        <v>1</v>
      </c>
      <c r="F361" s="80" t="s">
        <v>741</v>
      </c>
      <c r="G361" t="s">
        <v>652</v>
      </c>
      <c r="H361" s="67">
        <v>1</v>
      </c>
      <c r="I361">
        <v>98000</v>
      </c>
      <c r="J361">
        <v>98000</v>
      </c>
      <c r="O361" s="41"/>
    </row>
    <row r="362" spans="1:15">
      <c r="A362" s="43">
        <v>16</v>
      </c>
      <c r="B362" s="43" t="s">
        <v>721</v>
      </c>
      <c r="C362" s="52" t="s">
        <v>747</v>
      </c>
      <c r="D362" s="93" t="s">
        <v>680</v>
      </c>
      <c r="E362" s="88">
        <v>1</v>
      </c>
      <c r="F362" s="80" t="s">
        <v>739</v>
      </c>
      <c r="G362" t="s">
        <v>692</v>
      </c>
      <c r="H362" s="67">
        <v>1</v>
      </c>
      <c r="I362">
        <v>58000</v>
      </c>
      <c r="J362">
        <v>58000</v>
      </c>
      <c r="O362" s="41"/>
    </row>
    <row r="363" spans="1:15">
      <c r="A363" s="43">
        <v>16</v>
      </c>
      <c r="B363" s="43" t="s">
        <v>721</v>
      </c>
      <c r="C363" s="52" t="s">
        <v>747</v>
      </c>
      <c r="D363" s="93" t="s">
        <v>680</v>
      </c>
      <c r="E363" s="88">
        <v>1</v>
      </c>
      <c r="F363" s="80" t="s">
        <v>719</v>
      </c>
      <c r="G363" t="s">
        <v>651</v>
      </c>
      <c r="H363" s="67">
        <v>1</v>
      </c>
      <c r="I363">
        <v>98000</v>
      </c>
      <c r="J363">
        <v>98000</v>
      </c>
      <c r="O363" s="41"/>
    </row>
    <row r="364" spans="1:15">
      <c r="A364" s="43">
        <v>16</v>
      </c>
      <c r="B364" s="43" t="s">
        <v>721</v>
      </c>
      <c r="C364" s="52" t="s">
        <v>747</v>
      </c>
      <c r="D364" s="93" t="s">
        <v>680</v>
      </c>
      <c r="E364" s="88">
        <v>1</v>
      </c>
      <c r="F364" s="80" t="s">
        <v>729</v>
      </c>
      <c r="G364" t="s">
        <v>730</v>
      </c>
      <c r="H364" s="67">
        <v>1</v>
      </c>
      <c r="I364">
        <v>85000</v>
      </c>
      <c r="J364">
        <v>85000</v>
      </c>
      <c r="O364" s="41"/>
    </row>
    <row r="365" spans="1:15">
      <c r="A365" s="43">
        <v>16</v>
      </c>
      <c r="B365" s="43" t="s">
        <v>721</v>
      </c>
      <c r="C365" s="52" t="s">
        <v>747</v>
      </c>
      <c r="D365" s="93" t="s">
        <v>680</v>
      </c>
      <c r="E365" s="88">
        <v>1</v>
      </c>
      <c r="K365" s="41">
        <v>863000</v>
      </c>
      <c r="L365" s="41">
        <v>18000</v>
      </c>
      <c r="M365" s="41">
        <v>845000</v>
      </c>
      <c r="N365" s="40" t="s">
        <v>783</v>
      </c>
      <c r="O365" s="41"/>
    </row>
    <row r="366" spans="1:15">
      <c r="A366" s="130">
        <v>19</v>
      </c>
      <c r="B366" s="130" t="s">
        <v>679</v>
      </c>
      <c r="C366" s="131" t="s">
        <v>780</v>
      </c>
      <c r="D366" s="132" t="s">
        <v>680</v>
      </c>
      <c r="E366" s="133">
        <v>1</v>
      </c>
      <c r="F366" s="134"/>
      <c r="G366" s="135"/>
      <c r="H366" s="136"/>
      <c r="I366" s="135"/>
      <c r="J366" s="135"/>
      <c r="K366" s="137"/>
      <c r="L366" s="137"/>
      <c r="M366" s="137"/>
      <c r="N366" s="138"/>
      <c r="O366" s="154"/>
    </row>
    <row r="367" spans="1:15">
      <c r="A367" s="43">
        <v>19</v>
      </c>
      <c r="B367" s="43" t="s">
        <v>679</v>
      </c>
      <c r="C367" s="52" t="s">
        <v>780</v>
      </c>
      <c r="D367" s="93" t="s">
        <v>680</v>
      </c>
      <c r="E367" s="88">
        <v>1</v>
      </c>
      <c r="F367" s="80" t="s">
        <v>678</v>
      </c>
      <c r="G367" t="s">
        <v>682</v>
      </c>
      <c r="H367" s="67">
        <v>1</v>
      </c>
      <c r="I367">
        <v>195000</v>
      </c>
      <c r="J367">
        <v>195000</v>
      </c>
      <c r="O367" s="41"/>
    </row>
    <row r="368" spans="1:15">
      <c r="A368" s="43">
        <v>19</v>
      </c>
      <c r="B368" s="43" t="s">
        <v>679</v>
      </c>
      <c r="C368" s="52" t="s">
        <v>780</v>
      </c>
      <c r="D368" s="93" t="s">
        <v>680</v>
      </c>
      <c r="E368" s="88">
        <v>1</v>
      </c>
      <c r="K368" s="41">
        <v>195000</v>
      </c>
      <c r="M368" s="41">
        <v>195000</v>
      </c>
      <c r="O368" s="41"/>
    </row>
    <row r="369" spans="1:15">
      <c r="A369" s="130">
        <v>19</v>
      </c>
      <c r="B369" s="130" t="s">
        <v>679</v>
      </c>
      <c r="C369" s="131" t="s">
        <v>780</v>
      </c>
      <c r="D369" s="132" t="s">
        <v>680</v>
      </c>
      <c r="E369" s="133">
        <v>2</v>
      </c>
      <c r="F369" s="134"/>
      <c r="G369" s="135"/>
      <c r="H369" s="136"/>
      <c r="I369" s="135"/>
      <c r="J369" s="135"/>
      <c r="K369" s="137"/>
      <c r="L369" s="137"/>
      <c r="M369" s="137"/>
      <c r="N369" s="138"/>
      <c r="O369" s="154"/>
    </row>
    <row r="370" spans="1:15">
      <c r="A370" s="43">
        <v>19</v>
      </c>
      <c r="B370" s="43" t="s">
        <v>679</v>
      </c>
      <c r="C370" s="52" t="s">
        <v>780</v>
      </c>
      <c r="D370" s="93" t="s">
        <v>680</v>
      </c>
      <c r="E370" s="88">
        <v>2</v>
      </c>
      <c r="F370" s="80" t="s">
        <v>714</v>
      </c>
      <c r="G370" t="s">
        <v>702</v>
      </c>
      <c r="H370" s="67">
        <v>1</v>
      </c>
      <c r="I370">
        <v>125000</v>
      </c>
      <c r="J370">
        <v>125000</v>
      </c>
      <c r="O370" s="41"/>
    </row>
    <row r="371" spans="1:15">
      <c r="A371" s="43">
        <v>19</v>
      </c>
      <c r="B371" s="43" t="s">
        <v>679</v>
      </c>
      <c r="C371" s="52" t="s">
        <v>780</v>
      </c>
      <c r="D371" s="93" t="s">
        <v>680</v>
      </c>
      <c r="E371" s="88">
        <v>2</v>
      </c>
      <c r="F371" s="80" t="s">
        <v>669</v>
      </c>
      <c r="G371" t="s">
        <v>690</v>
      </c>
      <c r="H371" s="67">
        <v>1</v>
      </c>
      <c r="I371">
        <v>115000</v>
      </c>
      <c r="J371">
        <v>115000</v>
      </c>
      <c r="O371" s="41"/>
    </row>
    <row r="372" spans="1:15">
      <c r="A372" s="43">
        <v>19</v>
      </c>
      <c r="B372" s="43" t="s">
        <v>679</v>
      </c>
      <c r="C372" s="52" t="s">
        <v>780</v>
      </c>
      <c r="D372" s="93" t="s">
        <v>680</v>
      </c>
      <c r="E372" s="88">
        <v>2</v>
      </c>
      <c r="K372" s="41">
        <v>240000</v>
      </c>
      <c r="L372" s="41">
        <v>25000</v>
      </c>
      <c r="M372" s="41">
        <v>215000</v>
      </c>
      <c r="N372" s="40" t="s">
        <v>784</v>
      </c>
      <c r="O372" s="41"/>
    </row>
    <row r="373" spans="1:15">
      <c r="A373" s="130">
        <v>19</v>
      </c>
      <c r="B373" s="130" t="s">
        <v>679</v>
      </c>
      <c r="C373" s="131" t="s">
        <v>780</v>
      </c>
      <c r="D373" s="132" t="s">
        <v>680</v>
      </c>
      <c r="E373" s="133">
        <v>3</v>
      </c>
      <c r="F373" s="134"/>
      <c r="G373" s="135"/>
      <c r="H373" s="136"/>
      <c r="I373" s="135"/>
      <c r="J373" s="135"/>
      <c r="K373" s="137"/>
      <c r="L373" s="137"/>
      <c r="M373" s="137"/>
      <c r="N373" s="138"/>
      <c r="O373" s="154"/>
    </row>
    <row r="374" spans="1:15">
      <c r="A374" s="43">
        <v>19</v>
      </c>
      <c r="B374" s="43" t="s">
        <v>679</v>
      </c>
      <c r="C374" s="52" t="s">
        <v>780</v>
      </c>
      <c r="D374" s="93" t="s">
        <v>680</v>
      </c>
      <c r="E374" s="88">
        <v>3</v>
      </c>
      <c r="F374" s="80" t="s">
        <v>785</v>
      </c>
      <c r="G374" t="s">
        <v>724</v>
      </c>
      <c r="H374" s="67">
        <v>1</v>
      </c>
      <c r="I374">
        <v>115000</v>
      </c>
      <c r="J374">
        <v>115000</v>
      </c>
      <c r="O374" s="41"/>
    </row>
    <row r="375" spans="1:15">
      <c r="A375" s="43">
        <v>19</v>
      </c>
      <c r="B375" s="43" t="s">
        <v>679</v>
      </c>
      <c r="C375" s="52" t="s">
        <v>780</v>
      </c>
      <c r="D375" s="93" t="s">
        <v>680</v>
      </c>
      <c r="E375" s="88">
        <v>3</v>
      </c>
      <c r="K375" s="41">
        <v>115000</v>
      </c>
      <c r="M375" s="41">
        <v>115000</v>
      </c>
      <c r="O375" s="41"/>
    </row>
    <row r="376" spans="1:15">
      <c r="A376" s="130">
        <v>19</v>
      </c>
      <c r="B376" s="130" t="s">
        <v>679</v>
      </c>
      <c r="C376" s="131" t="s">
        <v>780</v>
      </c>
      <c r="D376" s="132" t="s">
        <v>680</v>
      </c>
      <c r="E376" s="133">
        <v>4</v>
      </c>
      <c r="F376" s="134"/>
      <c r="G376" s="135"/>
      <c r="H376" s="136"/>
      <c r="I376" s="135"/>
      <c r="J376" s="135"/>
      <c r="K376" s="137"/>
      <c r="L376" s="137"/>
      <c r="M376" s="137"/>
      <c r="N376" s="138"/>
      <c r="O376" s="154"/>
    </row>
    <row r="377" spans="1:15">
      <c r="A377" s="43">
        <v>19</v>
      </c>
      <c r="B377" s="43" t="s">
        <v>679</v>
      </c>
      <c r="C377" s="52" t="s">
        <v>780</v>
      </c>
      <c r="D377" s="93" t="s">
        <v>680</v>
      </c>
      <c r="E377" s="88">
        <v>4</v>
      </c>
      <c r="F377" s="80" t="s">
        <v>785</v>
      </c>
      <c r="G377" t="s">
        <v>724</v>
      </c>
      <c r="H377" s="67">
        <v>1</v>
      </c>
      <c r="I377">
        <v>115000</v>
      </c>
      <c r="J377">
        <v>115000</v>
      </c>
      <c r="O377" s="41"/>
    </row>
    <row r="378" spans="1:15">
      <c r="A378" s="43">
        <v>19</v>
      </c>
      <c r="B378" s="43" t="s">
        <v>679</v>
      </c>
      <c r="C378" s="52" t="s">
        <v>780</v>
      </c>
      <c r="D378" s="93" t="s">
        <v>680</v>
      </c>
      <c r="E378" s="88">
        <v>4</v>
      </c>
      <c r="K378" s="41">
        <v>115000</v>
      </c>
      <c r="M378" s="41">
        <v>115000</v>
      </c>
      <c r="O378" s="41"/>
    </row>
    <row r="379" spans="1:15">
      <c r="A379" s="130">
        <v>20</v>
      </c>
      <c r="B379" s="130" t="s">
        <v>721</v>
      </c>
      <c r="C379" s="131" t="s">
        <v>780</v>
      </c>
      <c r="D379" s="132" t="s">
        <v>680</v>
      </c>
      <c r="E379" s="133">
        <v>1</v>
      </c>
      <c r="F379" s="134"/>
      <c r="G379" s="135"/>
      <c r="H379" s="136"/>
      <c r="I379" s="135"/>
      <c r="J379" s="135"/>
      <c r="K379" s="137"/>
      <c r="L379" s="137"/>
      <c r="M379" s="137"/>
      <c r="N379" s="138"/>
      <c r="O379" s="154"/>
    </row>
    <row r="380" spans="1:15">
      <c r="A380" s="43">
        <v>20</v>
      </c>
      <c r="B380" s="43" t="s">
        <v>721</v>
      </c>
      <c r="C380" s="52" t="s">
        <v>780</v>
      </c>
      <c r="D380" s="93" t="s">
        <v>680</v>
      </c>
      <c r="E380" s="88">
        <v>1</v>
      </c>
      <c r="F380" s="80" t="s">
        <v>786</v>
      </c>
      <c r="G380" t="s">
        <v>718</v>
      </c>
      <c r="H380" s="67">
        <v>1</v>
      </c>
      <c r="I380">
        <v>115000</v>
      </c>
      <c r="J380">
        <v>115000</v>
      </c>
      <c r="O380" s="41"/>
    </row>
    <row r="381" spans="1:15">
      <c r="A381" s="43">
        <v>20</v>
      </c>
      <c r="B381" s="43" t="s">
        <v>721</v>
      </c>
      <c r="C381" s="52" t="s">
        <v>780</v>
      </c>
      <c r="D381" s="93" t="s">
        <v>680</v>
      </c>
      <c r="E381" s="88">
        <v>1</v>
      </c>
      <c r="F381" s="80" t="s">
        <v>750</v>
      </c>
      <c r="G381" t="s">
        <v>651</v>
      </c>
      <c r="H381" s="67">
        <v>1</v>
      </c>
      <c r="I381">
        <v>98000</v>
      </c>
      <c r="J381">
        <v>98000</v>
      </c>
      <c r="O381" s="41"/>
    </row>
    <row r="382" spans="1:15">
      <c r="A382" s="43">
        <v>20</v>
      </c>
      <c r="B382" s="43" t="s">
        <v>721</v>
      </c>
      <c r="C382" s="52" t="s">
        <v>780</v>
      </c>
      <c r="D382" s="93" t="s">
        <v>680</v>
      </c>
      <c r="E382" s="88">
        <v>1</v>
      </c>
      <c r="K382" s="41">
        <v>213000</v>
      </c>
      <c r="M382" s="41">
        <v>213000</v>
      </c>
      <c r="O382" s="41"/>
    </row>
    <row r="383" spans="1:15">
      <c r="A383" s="130">
        <v>20</v>
      </c>
      <c r="B383" s="130" t="s">
        <v>721</v>
      </c>
      <c r="C383" s="131" t="s">
        <v>780</v>
      </c>
      <c r="D383" s="132" t="s">
        <v>680</v>
      </c>
      <c r="E383" s="133">
        <v>2</v>
      </c>
      <c r="F383" s="134"/>
      <c r="G383" s="135"/>
      <c r="H383" s="136"/>
      <c r="I383" s="135"/>
      <c r="J383" s="135"/>
      <c r="K383" s="137"/>
      <c r="L383" s="137"/>
      <c r="M383" s="137"/>
      <c r="N383" s="138"/>
      <c r="O383" s="154"/>
    </row>
    <row r="384" spans="1:15">
      <c r="A384" s="43">
        <v>20</v>
      </c>
      <c r="B384" s="43" t="s">
        <v>721</v>
      </c>
      <c r="C384" s="52" t="s">
        <v>780</v>
      </c>
      <c r="D384" s="93" t="s">
        <v>680</v>
      </c>
      <c r="E384" s="88">
        <v>2</v>
      </c>
      <c r="F384" s="80" t="s">
        <v>787</v>
      </c>
      <c r="G384" t="s">
        <v>650</v>
      </c>
      <c r="H384" s="67">
        <v>1</v>
      </c>
      <c r="I384">
        <v>85000</v>
      </c>
      <c r="J384">
        <v>85000</v>
      </c>
      <c r="O384" s="41"/>
    </row>
    <row r="385" spans="1:15">
      <c r="A385" s="43">
        <v>20</v>
      </c>
      <c r="B385" s="43" t="s">
        <v>721</v>
      </c>
      <c r="C385" s="52" t="s">
        <v>780</v>
      </c>
      <c r="D385" s="93" t="s">
        <v>680</v>
      </c>
      <c r="E385" s="88">
        <v>2</v>
      </c>
      <c r="F385" s="80" t="s">
        <v>786</v>
      </c>
      <c r="G385" t="s">
        <v>718</v>
      </c>
      <c r="H385" s="67">
        <v>1</v>
      </c>
      <c r="I385">
        <v>115000</v>
      </c>
      <c r="J385">
        <v>115000</v>
      </c>
      <c r="O385" s="41"/>
    </row>
    <row r="386" spans="1:15">
      <c r="A386" s="43">
        <v>20</v>
      </c>
      <c r="B386" s="43" t="s">
        <v>721</v>
      </c>
      <c r="C386" s="52" t="s">
        <v>780</v>
      </c>
      <c r="D386" s="93" t="s">
        <v>680</v>
      </c>
      <c r="E386" s="88">
        <v>2</v>
      </c>
      <c r="K386" s="41">
        <v>200000</v>
      </c>
      <c r="M386" s="41">
        <v>200000</v>
      </c>
      <c r="N386" s="40" t="s">
        <v>788</v>
      </c>
      <c r="O386" s="41"/>
    </row>
    <row r="387" spans="1:15">
      <c r="A387" s="130">
        <v>21</v>
      </c>
      <c r="B387" s="130" t="s">
        <v>721</v>
      </c>
      <c r="C387" s="131" t="s">
        <v>684</v>
      </c>
      <c r="D387" s="132" t="s">
        <v>680</v>
      </c>
      <c r="E387" s="133">
        <v>1</v>
      </c>
      <c r="F387" s="134"/>
      <c r="G387" s="135"/>
      <c r="H387" s="136"/>
      <c r="I387" s="135"/>
      <c r="J387" s="135"/>
      <c r="K387" s="137"/>
      <c r="L387" s="137"/>
      <c r="M387" s="137"/>
      <c r="N387" s="138"/>
      <c r="O387" s="154"/>
    </row>
    <row r="388" spans="1:15">
      <c r="A388" s="43">
        <v>21</v>
      </c>
      <c r="B388" s="43" t="s">
        <v>721</v>
      </c>
      <c r="C388" s="52" t="s">
        <v>684</v>
      </c>
      <c r="D388" s="93" t="s">
        <v>680</v>
      </c>
      <c r="E388" s="88">
        <v>1</v>
      </c>
      <c r="F388" s="80" t="s">
        <v>689</v>
      </c>
      <c r="G388" t="s">
        <v>690</v>
      </c>
      <c r="H388" s="67">
        <v>1</v>
      </c>
      <c r="I388">
        <v>115000</v>
      </c>
      <c r="J388">
        <v>115000</v>
      </c>
      <c r="O388" s="41"/>
    </row>
    <row r="389" spans="1:15">
      <c r="A389" s="43">
        <v>21</v>
      </c>
      <c r="B389" s="43" t="s">
        <v>721</v>
      </c>
      <c r="C389" s="52" t="s">
        <v>684</v>
      </c>
      <c r="D389" s="93" t="s">
        <v>680</v>
      </c>
      <c r="E389" s="88">
        <v>1</v>
      </c>
      <c r="K389" s="41">
        <v>115000</v>
      </c>
      <c r="M389" s="41">
        <v>115000</v>
      </c>
      <c r="O389" s="41"/>
    </row>
    <row r="390" spans="1:15">
      <c r="A390" s="130">
        <v>21</v>
      </c>
      <c r="B390" s="130" t="s">
        <v>721</v>
      </c>
      <c r="C390" s="131" t="s">
        <v>684</v>
      </c>
      <c r="D390" s="132" t="s">
        <v>680</v>
      </c>
      <c r="E390" s="133">
        <v>2</v>
      </c>
      <c r="F390" s="134"/>
      <c r="G390" s="135"/>
      <c r="H390" s="136"/>
      <c r="I390" s="135"/>
      <c r="J390" s="135"/>
      <c r="K390" s="137"/>
      <c r="L390" s="137"/>
      <c r="M390" s="137"/>
      <c r="N390" s="138"/>
      <c r="O390" s="154"/>
    </row>
    <row r="391" spans="1:15">
      <c r="A391" s="43">
        <v>21</v>
      </c>
      <c r="B391" s="43" t="s">
        <v>721</v>
      </c>
      <c r="C391" s="52" t="s">
        <v>684</v>
      </c>
      <c r="D391" s="93" t="s">
        <v>680</v>
      </c>
      <c r="E391" s="88">
        <v>2</v>
      </c>
      <c r="F391" s="80" t="s">
        <v>681</v>
      </c>
      <c r="G391" t="s">
        <v>682</v>
      </c>
      <c r="H391" s="67">
        <v>1</v>
      </c>
      <c r="I391">
        <v>195000</v>
      </c>
      <c r="J391">
        <v>195000</v>
      </c>
      <c r="O391" s="41"/>
    </row>
    <row r="392" spans="1:15">
      <c r="A392" s="43">
        <v>21</v>
      </c>
      <c r="B392" s="43" t="s">
        <v>721</v>
      </c>
      <c r="C392" s="52" t="s">
        <v>684</v>
      </c>
      <c r="D392" s="93" t="s">
        <v>680</v>
      </c>
      <c r="E392" s="88">
        <v>2</v>
      </c>
      <c r="K392" s="41">
        <v>195000</v>
      </c>
      <c r="M392" s="41">
        <v>195000</v>
      </c>
      <c r="O392" s="41"/>
    </row>
    <row r="393" spans="1:15">
      <c r="A393" s="130">
        <v>18</v>
      </c>
      <c r="B393" s="130" t="s">
        <v>721</v>
      </c>
      <c r="C393" s="131" t="s">
        <v>748</v>
      </c>
      <c r="D393" s="132" t="s">
        <v>644</v>
      </c>
      <c r="E393" s="133">
        <v>1</v>
      </c>
      <c r="F393" s="134"/>
      <c r="G393" s="135"/>
      <c r="H393" s="136"/>
      <c r="I393" s="135"/>
      <c r="J393" s="135"/>
      <c r="K393" s="137"/>
      <c r="L393" s="137"/>
      <c r="M393" s="137"/>
      <c r="N393" s="138"/>
      <c r="O393" s="154"/>
    </row>
    <row r="394" spans="1:15">
      <c r="A394" s="43">
        <v>18</v>
      </c>
      <c r="B394" s="43" t="s">
        <v>721</v>
      </c>
      <c r="C394" s="52" t="s">
        <v>748</v>
      </c>
      <c r="D394" s="93" t="s">
        <v>644</v>
      </c>
      <c r="E394" s="88">
        <v>1</v>
      </c>
      <c r="F394" s="80" t="s">
        <v>676</v>
      </c>
      <c r="G394" t="s">
        <v>752</v>
      </c>
      <c r="H394" s="67">
        <v>1</v>
      </c>
      <c r="I394">
        <v>155000</v>
      </c>
      <c r="J394">
        <v>155000</v>
      </c>
      <c r="O394" s="41"/>
    </row>
    <row r="395" spans="1:15">
      <c r="A395" s="43">
        <v>18</v>
      </c>
      <c r="B395" s="43" t="s">
        <v>721</v>
      </c>
      <c r="C395" s="52" t="s">
        <v>748</v>
      </c>
      <c r="D395" s="93" t="s">
        <v>644</v>
      </c>
      <c r="E395" s="88">
        <v>1</v>
      </c>
      <c r="K395" s="41">
        <v>155000</v>
      </c>
      <c r="M395" s="41">
        <v>155000</v>
      </c>
      <c r="O395" s="41"/>
    </row>
    <row r="396" spans="1:15">
      <c r="A396" s="130">
        <v>18</v>
      </c>
      <c r="B396" s="130" t="s">
        <v>721</v>
      </c>
      <c r="C396" s="131" t="s">
        <v>748</v>
      </c>
      <c r="D396" s="132" t="s">
        <v>644</v>
      </c>
      <c r="E396" s="133">
        <v>2</v>
      </c>
      <c r="F396" s="134"/>
      <c r="G396" s="135"/>
      <c r="H396" s="136"/>
      <c r="I396" s="135"/>
      <c r="J396" s="135"/>
      <c r="K396" s="137"/>
      <c r="L396" s="137"/>
      <c r="M396" s="137"/>
      <c r="N396" s="138"/>
      <c r="O396" s="154"/>
    </row>
    <row r="397" spans="1:15">
      <c r="A397" s="43">
        <v>18</v>
      </c>
      <c r="B397" s="43" t="s">
        <v>721</v>
      </c>
      <c r="C397" s="52" t="s">
        <v>748</v>
      </c>
      <c r="D397" s="93" t="s">
        <v>644</v>
      </c>
      <c r="E397" s="88">
        <v>2</v>
      </c>
      <c r="F397" s="80" t="s">
        <v>678</v>
      </c>
      <c r="G397" t="s">
        <v>682</v>
      </c>
      <c r="H397" s="67">
        <v>1</v>
      </c>
      <c r="I397">
        <v>195000</v>
      </c>
      <c r="J397">
        <v>195000</v>
      </c>
      <c r="O397" s="41"/>
    </row>
    <row r="398" spans="1:15">
      <c r="A398" s="43">
        <v>18</v>
      </c>
      <c r="B398" s="43" t="s">
        <v>721</v>
      </c>
      <c r="C398" s="52" t="s">
        <v>748</v>
      </c>
      <c r="D398" s="93" t="s">
        <v>644</v>
      </c>
      <c r="E398" s="88">
        <v>2</v>
      </c>
      <c r="K398" s="41">
        <v>195000</v>
      </c>
      <c r="M398" s="41">
        <v>195000</v>
      </c>
      <c r="O398" s="41"/>
    </row>
    <row r="399" spans="1:15">
      <c r="A399" s="130">
        <v>18</v>
      </c>
      <c r="B399" s="130" t="s">
        <v>721</v>
      </c>
      <c r="C399" s="131" t="s">
        <v>748</v>
      </c>
      <c r="D399" s="132" t="s">
        <v>644</v>
      </c>
      <c r="E399" s="133">
        <v>3</v>
      </c>
      <c r="F399" s="134"/>
      <c r="G399" s="135"/>
      <c r="H399" s="136"/>
      <c r="I399" s="135"/>
      <c r="J399" s="135"/>
      <c r="K399" s="137"/>
      <c r="L399" s="137"/>
      <c r="M399" s="137"/>
      <c r="N399" s="138"/>
      <c r="O399" s="154"/>
    </row>
    <row r="400" spans="1:15">
      <c r="A400" s="43">
        <v>18</v>
      </c>
      <c r="B400" s="43" t="s">
        <v>721</v>
      </c>
      <c r="C400" s="52" t="s">
        <v>748</v>
      </c>
      <c r="D400" s="93" t="s">
        <v>644</v>
      </c>
      <c r="E400" s="88">
        <v>3</v>
      </c>
      <c r="F400" s="80" t="s">
        <v>672</v>
      </c>
      <c r="G400" t="s">
        <v>657</v>
      </c>
      <c r="H400" s="67">
        <v>1</v>
      </c>
      <c r="I400">
        <v>98000</v>
      </c>
      <c r="J400">
        <v>98000</v>
      </c>
      <c r="O400" s="41"/>
    </row>
    <row r="401" spans="1:15">
      <c r="A401" s="43">
        <v>18</v>
      </c>
      <c r="B401" s="43" t="s">
        <v>721</v>
      </c>
      <c r="C401" s="52" t="s">
        <v>748</v>
      </c>
      <c r="D401" s="93" t="s">
        <v>644</v>
      </c>
      <c r="E401" s="88">
        <v>3</v>
      </c>
      <c r="K401" s="41">
        <v>98000</v>
      </c>
      <c r="M401" s="41">
        <v>98000</v>
      </c>
      <c r="O401" s="41"/>
    </row>
    <row r="402" spans="1:15">
      <c r="A402" s="130">
        <v>18</v>
      </c>
      <c r="B402" s="130" t="s">
        <v>721</v>
      </c>
      <c r="C402" s="131" t="s">
        <v>748</v>
      </c>
      <c r="D402" s="132" t="s">
        <v>644</v>
      </c>
      <c r="E402" s="133">
        <v>4</v>
      </c>
      <c r="F402" s="134"/>
      <c r="G402" s="135"/>
      <c r="H402" s="136"/>
      <c r="I402" s="135"/>
      <c r="J402" s="135"/>
      <c r="K402" s="137"/>
      <c r="L402" s="137"/>
      <c r="M402" s="137"/>
      <c r="N402" s="138"/>
      <c r="O402" s="154"/>
    </row>
    <row r="403" spans="1:15">
      <c r="A403" s="43">
        <v>18</v>
      </c>
      <c r="B403" s="43" t="s">
        <v>721</v>
      </c>
      <c r="C403" s="52" t="s">
        <v>748</v>
      </c>
      <c r="D403" s="93" t="s">
        <v>644</v>
      </c>
      <c r="E403" s="88">
        <v>4</v>
      </c>
      <c r="F403" s="80" t="s">
        <v>710</v>
      </c>
      <c r="G403" t="s">
        <v>698</v>
      </c>
      <c r="H403" s="67">
        <v>1</v>
      </c>
      <c r="I403">
        <v>98000</v>
      </c>
      <c r="J403">
        <v>98000</v>
      </c>
      <c r="O403" s="41"/>
    </row>
    <row r="404" spans="1:15">
      <c r="A404" s="43">
        <v>18</v>
      </c>
      <c r="B404" s="43" t="s">
        <v>721</v>
      </c>
      <c r="C404" s="52" t="s">
        <v>748</v>
      </c>
      <c r="D404" s="93" t="s">
        <v>644</v>
      </c>
      <c r="E404" s="88">
        <v>4</v>
      </c>
      <c r="K404" s="41">
        <v>98000</v>
      </c>
      <c r="L404" s="41">
        <v>8000</v>
      </c>
      <c r="M404" s="41">
        <v>90000</v>
      </c>
      <c r="N404" s="40" t="s">
        <v>789</v>
      </c>
      <c r="O404" s="41"/>
    </row>
    <row r="405" spans="1:15">
      <c r="A405" s="130">
        <v>19</v>
      </c>
      <c r="B405" s="130" t="s">
        <v>721</v>
      </c>
      <c r="C405" s="131" t="s">
        <v>748</v>
      </c>
      <c r="D405" s="132" t="s">
        <v>644</v>
      </c>
      <c r="E405" s="133">
        <v>1</v>
      </c>
      <c r="F405" s="134"/>
      <c r="G405" s="135"/>
      <c r="H405" s="136"/>
      <c r="I405" s="135"/>
      <c r="J405" s="135"/>
      <c r="K405" s="137"/>
      <c r="L405" s="137"/>
      <c r="M405" s="137"/>
      <c r="N405" s="138"/>
      <c r="O405" s="154"/>
    </row>
    <row r="406" spans="1:15">
      <c r="A406" s="43">
        <v>19</v>
      </c>
      <c r="B406" s="43" t="s">
        <v>721</v>
      </c>
      <c r="C406" s="52" t="s">
        <v>748</v>
      </c>
      <c r="D406" s="93" t="s">
        <v>644</v>
      </c>
      <c r="E406" s="88">
        <v>1</v>
      </c>
      <c r="F406" s="80" t="s">
        <v>666</v>
      </c>
      <c r="G406" t="s">
        <v>651</v>
      </c>
      <c r="H406" s="67">
        <v>1</v>
      </c>
      <c r="I406">
        <v>98000</v>
      </c>
      <c r="J406">
        <v>98000</v>
      </c>
      <c r="O406" s="41"/>
    </row>
    <row r="407" spans="1:15">
      <c r="A407" s="43">
        <v>19</v>
      </c>
      <c r="B407" s="43" t="s">
        <v>721</v>
      </c>
      <c r="C407" s="52" t="s">
        <v>748</v>
      </c>
      <c r="D407" s="93" t="s">
        <v>644</v>
      </c>
      <c r="E407" s="88">
        <v>1</v>
      </c>
      <c r="K407" s="41">
        <v>98000</v>
      </c>
      <c r="M407" s="41">
        <v>98000</v>
      </c>
      <c r="O407" s="41"/>
    </row>
    <row r="408" spans="1:15">
      <c r="A408" s="130">
        <v>19</v>
      </c>
      <c r="B408" s="130" t="s">
        <v>721</v>
      </c>
      <c r="C408" s="131" t="s">
        <v>748</v>
      </c>
      <c r="D408" s="132" t="s">
        <v>644</v>
      </c>
      <c r="E408" s="133">
        <v>2</v>
      </c>
      <c r="F408" s="134"/>
      <c r="G408" s="135"/>
      <c r="H408" s="136"/>
      <c r="I408" s="135"/>
      <c r="J408" s="135"/>
      <c r="K408" s="137"/>
      <c r="L408" s="137"/>
      <c r="M408" s="137"/>
      <c r="N408" s="138"/>
      <c r="O408" s="154"/>
    </row>
    <row r="409" spans="1:15">
      <c r="A409" s="43">
        <v>19</v>
      </c>
      <c r="B409" s="43" t="s">
        <v>721</v>
      </c>
      <c r="C409" s="52" t="s">
        <v>748</v>
      </c>
      <c r="D409" s="93" t="s">
        <v>644</v>
      </c>
      <c r="E409" s="88">
        <v>2</v>
      </c>
      <c r="F409" s="80" t="s">
        <v>678</v>
      </c>
      <c r="G409" t="s">
        <v>682</v>
      </c>
      <c r="H409" s="67">
        <v>1</v>
      </c>
      <c r="I409">
        <v>195000</v>
      </c>
      <c r="J409">
        <v>195000</v>
      </c>
      <c r="O409" s="41"/>
    </row>
    <row r="410" spans="1:15">
      <c r="A410" s="43">
        <v>19</v>
      </c>
      <c r="B410" s="43" t="s">
        <v>721</v>
      </c>
      <c r="C410" s="52" t="s">
        <v>748</v>
      </c>
      <c r="D410" s="93" t="s">
        <v>644</v>
      </c>
      <c r="E410" s="88">
        <v>2</v>
      </c>
      <c r="F410" s="80" t="s">
        <v>670</v>
      </c>
      <c r="G410" t="s">
        <v>730</v>
      </c>
      <c r="H410" s="67">
        <v>1</v>
      </c>
      <c r="I410">
        <v>85000</v>
      </c>
      <c r="J410">
        <v>85000</v>
      </c>
      <c r="O410" s="41"/>
    </row>
    <row r="411" spans="1:15">
      <c r="A411" s="43">
        <v>19</v>
      </c>
      <c r="B411" s="43" t="s">
        <v>721</v>
      </c>
      <c r="C411" s="52" t="s">
        <v>748</v>
      </c>
      <c r="D411" s="93" t="s">
        <v>644</v>
      </c>
      <c r="E411" s="88">
        <v>2</v>
      </c>
      <c r="K411" s="41">
        <v>280000</v>
      </c>
      <c r="M411" s="41">
        <v>280000</v>
      </c>
      <c r="O411" s="41"/>
    </row>
    <row r="412" spans="1:15">
      <c r="A412" s="130">
        <v>23</v>
      </c>
      <c r="B412" s="130" t="s">
        <v>721</v>
      </c>
      <c r="C412" s="131" t="s">
        <v>716</v>
      </c>
      <c r="D412" s="132" t="s">
        <v>644</v>
      </c>
      <c r="E412" s="133">
        <v>1</v>
      </c>
      <c r="F412" s="134"/>
      <c r="G412" s="135"/>
      <c r="H412" s="136"/>
      <c r="I412" s="135"/>
      <c r="J412" s="135"/>
      <c r="K412" s="137"/>
      <c r="L412" s="137"/>
      <c r="M412" s="137"/>
      <c r="N412" s="138"/>
      <c r="O412" s="154"/>
    </row>
    <row r="413" spans="1:15">
      <c r="A413" s="43">
        <v>23</v>
      </c>
      <c r="B413" s="43" t="s">
        <v>721</v>
      </c>
      <c r="C413" s="52" t="s">
        <v>716</v>
      </c>
      <c r="D413" s="93" t="s">
        <v>644</v>
      </c>
      <c r="E413" s="88">
        <v>1</v>
      </c>
      <c r="F413" s="80" t="s">
        <v>753</v>
      </c>
      <c r="G413" t="s">
        <v>754</v>
      </c>
      <c r="H413" s="67">
        <v>1</v>
      </c>
      <c r="I413">
        <v>85000</v>
      </c>
      <c r="J413">
        <v>85000</v>
      </c>
      <c r="O413" s="41"/>
    </row>
    <row r="414" spans="1:15">
      <c r="A414" s="43">
        <v>23</v>
      </c>
      <c r="B414" s="43" t="s">
        <v>721</v>
      </c>
      <c r="C414" s="52" t="s">
        <v>716</v>
      </c>
      <c r="D414" s="93" t="s">
        <v>644</v>
      </c>
      <c r="E414" s="88">
        <v>1</v>
      </c>
      <c r="K414" s="41">
        <v>85000</v>
      </c>
      <c r="L414" s="41">
        <v>19000</v>
      </c>
      <c r="M414" s="41">
        <v>66000</v>
      </c>
      <c r="N414" s="40" t="s">
        <v>738</v>
      </c>
      <c r="O414" s="41"/>
    </row>
    <row r="415" spans="1:15">
      <c r="A415" s="130">
        <v>23</v>
      </c>
      <c r="B415" s="130" t="s">
        <v>721</v>
      </c>
      <c r="C415" s="131" t="s">
        <v>716</v>
      </c>
      <c r="D415" s="132" t="s">
        <v>644</v>
      </c>
      <c r="E415" s="133">
        <v>2</v>
      </c>
      <c r="F415" s="134"/>
      <c r="G415" s="135"/>
      <c r="H415" s="136"/>
      <c r="I415" s="135"/>
      <c r="J415" s="135"/>
      <c r="K415" s="137"/>
      <c r="L415" s="137"/>
      <c r="M415" s="137"/>
      <c r="N415" s="138"/>
      <c r="O415" s="154"/>
    </row>
    <row r="416" spans="1:15">
      <c r="A416" s="43">
        <v>23</v>
      </c>
      <c r="B416" s="43" t="s">
        <v>721</v>
      </c>
      <c r="C416" s="52" t="s">
        <v>716</v>
      </c>
      <c r="D416" s="93" t="s">
        <v>644</v>
      </c>
      <c r="E416" s="88">
        <v>2</v>
      </c>
      <c r="F416" s="80" t="s">
        <v>753</v>
      </c>
      <c r="G416" t="s">
        <v>754</v>
      </c>
      <c r="H416" s="67">
        <v>1</v>
      </c>
      <c r="I416">
        <v>85000</v>
      </c>
      <c r="J416">
        <v>85000</v>
      </c>
      <c r="O416" s="41"/>
    </row>
    <row r="417" spans="1:15">
      <c r="A417" s="43">
        <v>23</v>
      </c>
      <c r="B417" s="43" t="s">
        <v>721</v>
      </c>
      <c r="C417" s="52" t="s">
        <v>716</v>
      </c>
      <c r="D417" s="93" t="s">
        <v>644</v>
      </c>
      <c r="E417" s="88">
        <v>2</v>
      </c>
      <c r="K417" s="41">
        <v>85000</v>
      </c>
      <c r="L417" s="41">
        <v>19000</v>
      </c>
      <c r="M417" s="41">
        <v>66000</v>
      </c>
      <c r="N417" s="40" t="s">
        <v>738</v>
      </c>
      <c r="O417" s="41"/>
    </row>
    <row r="418" spans="1:15">
      <c r="A418" s="130">
        <v>23</v>
      </c>
      <c r="B418" s="130" t="s">
        <v>721</v>
      </c>
      <c r="C418" s="131" t="s">
        <v>716</v>
      </c>
      <c r="D418" s="132" t="s">
        <v>644</v>
      </c>
      <c r="E418" s="133">
        <v>3</v>
      </c>
      <c r="F418" s="134"/>
      <c r="G418" s="135"/>
      <c r="H418" s="136"/>
      <c r="I418" s="135"/>
      <c r="J418" s="135"/>
      <c r="K418" s="137"/>
      <c r="L418" s="137"/>
      <c r="M418" s="137"/>
      <c r="N418" s="138"/>
      <c r="O418" s="154"/>
    </row>
    <row r="419" spans="1:15">
      <c r="A419" s="43">
        <v>23</v>
      </c>
      <c r="B419" s="43" t="s">
        <v>721</v>
      </c>
      <c r="C419" s="52" t="s">
        <v>716</v>
      </c>
      <c r="D419" s="93" t="s">
        <v>644</v>
      </c>
      <c r="E419" s="88">
        <v>3</v>
      </c>
      <c r="F419" s="80" t="s">
        <v>792</v>
      </c>
      <c r="G419" t="s">
        <v>754</v>
      </c>
      <c r="H419" s="67">
        <v>1</v>
      </c>
      <c r="I419">
        <v>85000</v>
      </c>
      <c r="J419">
        <v>85000</v>
      </c>
      <c r="O419" s="41"/>
    </row>
    <row r="420" spans="1:15">
      <c r="A420" s="43">
        <v>23</v>
      </c>
      <c r="B420" s="43" t="s">
        <v>721</v>
      </c>
      <c r="C420" s="52" t="s">
        <v>716</v>
      </c>
      <c r="D420" s="93" t="s">
        <v>644</v>
      </c>
      <c r="E420" s="88">
        <v>3</v>
      </c>
      <c r="F420" s="80" t="s">
        <v>729</v>
      </c>
      <c r="G420" t="s">
        <v>730</v>
      </c>
      <c r="H420" s="67">
        <v>1</v>
      </c>
      <c r="I420">
        <v>85000</v>
      </c>
      <c r="J420">
        <v>85000</v>
      </c>
      <c r="O420" s="41"/>
    </row>
    <row r="421" spans="1:15">
      <c r="A421" s="43">
        <v>23</v>
      </c>
      <c r="B421" s="43" t="s">
        <v>721</v>
      </c>
      <c r="C421" s="52" t="s">
        <v>716</v>
      </c>
      <c r="D421" s="93" t="s">
        <v>644</v>
      </c>
      <c r="E421" s="88">
        <v>3</v>
      </c>
      <c r="K421" s="41">
        <v>170000</v>
      </c>
      <c r="L421" s="41">
        <v>19000</v>
      </c>
      <c r="M421" s="41">
        <v>151000</v>
      </c>
      <c r="N421" s="40" t="s">
        <v>738</v>
      </c>
      <c r="O421" s="41"/>
    </row>
    <row r="422" spans="1:15">
      <c r="A422" s="130">
        <v>23</v>
      </c>
      <c r="B422" s="130" t="s">
        <v>721</v>
      </c>
      <c r="C422" s="131" t="s">
        <v>716</v>
      </c>
      <c r="D422" s="132" t="s">
        <v>644</v>
      </c>
      <c r="E422" s="133">
        <v>4</v>
      </c>
      <c r="F422" s="134"/>
      <c r="G422" s="135"/>
      <c r="H422" s="136"/>
      <c r="I422" s="135"/>
      <c r="J422" s="135"/>
      <c r="K422" s="137"/>
      <c r="L422" s="137"/>
      <c r="M422" s="137"/>
      <c r="N422" s="138"/>
      <c r="O422" s="154"/>
    </row>
    <row r="423" spans="1:15">
      <c r="A423" s="43">
        <v>23</v>
      </c>
      <c r="B423" s="43" t="s">
        <v>721</v>
      </c>
      <c r="C423" s="52" t="s">
        <v>716</v>
      </c>
      <c r="D423" s="93" t="s">
        <v>644</v>
      </c>
      <c r="E423" s="88">
        <v>4</v>
      </c>
      <c r="F423" s="80" t="s">
        <v>681</v>
      </c>
      <c r="G423" t="s">
        <v>682</v>
      </c>
      <c r="H423" s="67">
        <v>1</v>
      </c>
      <c r="I423">
        <v>195000</v>
      </c>
      <c r="J423">
        <v>195000</v>
      </c>
      <c r="O423" s="41"/>
    </row>
    <row r="424" spans="1:15">
      <c r="A424" s="43">
        <v>23</v>
      </c>
      <c r="B424" s="43" t="s">
        <v>721</v>
      </c>
      <c r="C424" s="52" t="s">
        <v>716</v>
      </c>
      <c r="D424" s="93" t="s">
        <v>644</v>
      </c>
      <c r="E424" s="88">
        <v>4</v>
      </c>
      <c r="K424" s="41">
        <v>195000</v>
      </c>
      <c r="M424" s="41">
        <v>195000</v>
      </c>
      <c r="O424" s="41"/>
    </row>
    <row r="425" spans="1:15">
      <c r="A425" s="130">
        <v>23</v>
      </c>
      <c r="B425" s="130" t="s">
        <v>721</v>
      </c>
      <c r="C425" s="131" t="s">
        <v>716</v>
      </c>
      <c r="D425" s="132" t="s">
        <v>644</v>
      </c>
      <c r="E425" s="133">
        <v>5</v>
      </c>
      <c r="F425" s="134"/>
      <c r="G425" s="135"/>
      <c r="H425" s="136"/>
      <c r="I425" s="135"/>
      <c r="J425" s="135"/>
      <c r="K425" s="137"/>
      <c r="L425" s="137"/>
      <c r="M425" s="137"/>
      <c r="N425" s="138"/>
      <c r="O425" s="154"/>
    </row>
    <row r="426" spans="1:15">
      <c r="A426" s="43">
        <v>23</v>
      </c>
      <c r="B426" s="43" t="s">
        <v>721</v>
      </c>
      <c r="C426" s="52" t="s">
        <v>716</v>
      </c>
      <c r="D426" s="93" t="s">
        <v>644</v>
      </c>
      <c r="E426" s="88">
        <v>5</v>
      </c>
      <c r="F426" s="80" t="s">
        <v>792</v>
      </c>
      <c r="G426" t="s">
        <v>754</v>
      </c>
      <c r="H426" s="67">
        <v>1</v>
      </c>
      <c r="I426">
        <v>85000</v>
      </c>
      <c r="J426">
        <v>85000</v>
      </c>
      <c r="O426" s="41"/>
    </row>
    <row r="427" spans="1:15">
      <c r="A427" s="43">
        <v>23</v>
      </c>
      <c r="B427" s="43" t="s">
        <v>721</v>
      </c>
      <c r="C427" s="52" t="s">
        <v>716</v>
      </c>
      <c r="D427" s="93" t="s">
        <v>644</v>
      </c>
      <c r="E427" s="88">
        <v>5</v>
      </c>
      <c r="K427" s="41">
        <v>85000</v>
      </c>
      <c r="L427" s="41">
        <v>19000</v>
      </c>
      <c r="M427" s="41">
        <v>66000</v>
      </c>
      <c r="N427" s="40" t="s">
        <v>738</v>
      </c>
      <c r="O427" s="41"/>
    </row>
    <row r="428" spans="1:15">
      <c r="A428" s="130">
        <v>23</v>
      </c>
      <c r="B428" s="130" t="s">
        <v>721</v>
      </c>
      <c r="C428" s="131" t="s">
        <v>716</v>
      </c>
      <c r="D428" s="132" t="s">
        <v>644</v>
      </c>
      <c r="E428" s="133">
        <v>6</v>
      </c>
      <c r="F428" s="134"/>
      <c r="G428" s="135"/>
      <c r="H428" s="136"/>
      <c r="I428" s="135"/>
      <c r="J428" s="135"/>
      <c r="K428" s="137"/>
      <c r="L428" s="137"/>
      <c r="M428" s="137"/>
      <c r="N428" s="138"/>
      <c r="O428" s="154"/>
    </row>
    <row r="429" spans="1:15">
      <c r="A429" s="43">
        <v>23</v>
      </c>
      <c r="B429" s="43" t="s">
        <v>721</v>
      </c>
      <c r="C429" s="52" t="s">
        <v>716</v>
      </c>
      <c r="D429" s="93" t="s">
        <v>644</v>
      </c>
      <c r="E429" s="88">
        <v>6</v>
      </c>
      <c r="F429" s="80" t="s">
        <v>792</v>
      </c>
      <c r="G429" t="s">
        <v>754</v>
      </c>
      <c r="H429" s="67">
        <v>1</v>
      </c>
      <c r="I429">
        <v>85000</v>
      </c>
      <c r="J429">
        <v>85000</v>
      </c>
      <c r="O429" s="41"/>
    </row>
    <row r="430" spans="1:15">
      <c r="A430" s="43">
        <v>23</v>
      </c>
      <c r="B430" s="43" t="s">
        <v>721</v>
      </c>
      <c r="C430" s="52" t="s">
        <v>716</v>
      </c>
      <c r="D430" s="93" t="s">
        <v>644</v>
      </c>
      <c r="E430" s="88">
        <v>6</v>
      </c>
      <c r="F430" s="80" t="s">
        <v>794</v>
      </c>
      <c r="G430" t="s">
        <v>795</v>
      </c>
      <c r="H430" s="67">
        <v>1</v>
      </c>
      <c r="I430">
        <v>98000</v>
      </c>
      <c r="J430">
        <v>98000</v>
      </c>
      <c r="O430" s="41"/>
    </row>
    <row r="431" spans="1:15">
      <c r="A431" s="43">
        <v>23</v>
      </c>
      <c r="B431" s="43" t="s">
        <v>721</v>
      </c>
      <c r="C431" s="52" t="s">
        <v>716</v>
      </c>
      <c r="D431" s="93" t="s">
        <v>644</v>
      </c>
      <c r="E431" s="88">
        <v>6</v>
      </c>
      <c r="K431" s="41">
        <v>183000</v>
      </c>
      <c r="L431" s="41">
        <v>19000</v>
      </c>
      <c r="M431" s="41">
        <v>164000</v>
      </c>
      <c r="N431" s="40" t="s">
        <v>738</v>
      </c>
      <c r="O431" s="41"/>
    </row>
    <row r="432" spans="1:15">
      <c r="A432" s="130">
        <v>23</v>
      </c>
      <c r="B432" s="130" t="s">
        <v>721</v>
      </c>
      <c r="C432" s="131" t="s">
        <v>716</v>
      </c>
      <c r="D432" s="132" t="s">
        <v>644</v>
      </c>
      <c r="E432" s="133">
        <v>7</v>
      </c>
      <c r="F432" s="134"/>
      <c r="G432" s="135"/>
      <c r="H432" s="136"/>
      <c r="I432" s="135"/>
      <c r="J432" s="135"/>
      <c r="K432" s="137"/>
      <c r="L432" s="137"/>
      <c r="M432" s="137"/>
      <c r="N432" s="138"/>
      <c r="O432" s="154"/>
    </row>
    <row r="433" spans="1:15">
      <c r="A433" s="43">
        <v>23</v>
      </c>
      <c r="B433" s="43" t="s">
        <v>721</v>
      </c>
      <c r="C433" s="52" t="s">
        <v>716</v>
      </c>
      <c r="D433" s="93" t="s">
        <v>644</v>
      </c>
      <c r="E433" s="88">
        <v>7</v>
      </c>
      <c r="F433" s="80" t="s">
        <v>793</v>
      </c>
      <c r="G433" t="s">
        <v>756</v>
      </c>
      <c r="H433" s="67">
        <v>1</v>
      </c>
      <c r="I433">
        <v>85000</v>
      </c>
      <c r="J433">
        <v>85000</v>
      </c>
      <c r="O433" s="41"/>
    </row>
    <row r="434" spans="1:15">
      <c r="A434" s="43">
        <v>23</v>
      </c>
      <c r="B434" s="43" t="s">
        <v>721</v>
      </c>
      <c r="C434" s="52" t="s">
        <v>716</v>
      </c>
      <c r="D434" s="93" t="s">
        <v>644</v>
      </c>
      <c r="E434" s="88">
        <v>7</v>
      </c>
      <c r="K434" s="41">
        <v>85000</v>
      </c>
      <c r="L434" s="41">
        <v>19000</v>
      </c>
      <c r="M434" s="41">
        <v>66000</v>
      </c>
      <c r="N434" s="40" t="s">
        <v>738</v>
      </c>
      <c r="O434" s="41"/>
    </row>
    <row r="435" spans="1:15">
      <c r="A435" s="130">
        <v>23</v>
      </c>
      <c r="B435" s="130" t="s">
        <v>721</v>
      </c>
      <c r="C435" s="131" t="s">
        <v>716</v>
      </c>
      <c r="D435" s="132" t="s">
        <v>644</v>
      </c>
      <c r="E435" s="133">
        <v>8</v>
      </c>
      <c r="F435" s="134"/>
      <c r="G435" s="135"/>
      <c r="H435" s="136"/>
      <c r="I435" s="135"/>
      <c r="J435" s="135"/>
      <c r="K435" s="137"/>
      <c r="L435" s="137"/>
      <c r="M435" s="137"/>
      <c r="N435" s="138"/>
      <c r="O435" s="154"/>
    </row>
    <row r="436" spans="1:15">
      <c r="A436" s="43">
        <v>23</v>
      </c>
      <c r="B436" s="43" t="s">
        <v>721</v>
      </c>
      <c r="C436" s="52" t="s">
        <v>716</v>
      </c>
      <c r="D436" s="93" t="s">
        <v>644</v>
      </c>
      <c r="E436" s="88">
        <v>8</v>
      </c>
      <c r="F436" s="80" t="s">
        <v>793</v>
      </c>
      <c r="G436" t="s">
        <v>756</v>
      </c>
      <c r="H436" s="67">
        <v>2</v>
      </c>
      <c r="I436">
        <v>85000</v>
      </c>
      <c r="J436">
        <v>170000</v>
      </c>
      <c r="O436" s="41"/>
    </row>
    <row r="437" spans="1:15">
      <c r="A437" s="43">
        <v>23</v>
      </c>
      <c r="B437" s="43" t="s">
        <v>721</v>
      </c>
      <c r="C437" s="52" t="s">
        <v>716</v>
      </c>
      <c r="D437" s="93" t="s">
        <v>644</v>
      </c>
      <c r="E437" s="88">
        <v>8</v>
      </c>
      <c r="K437" s="41">
        <v>170000</v>
      </c>
      <c r="L437" s="41">
        <v>38000</v>
      </c>
      <c r="M437" s="41">
        <v>132000</v>
      </c>
      <c r="N437" s="40" t="s">
        <v>738</v>
      </c>
      <c r="O437" s="41"/>
    </row>
    <row r="438" spans="1:15">
      <c r="A438" s="130">
        <v>23</v>
      </c>
      <c r="B438" s="130" t="s">
        <v>721</v>
      </c>
      <c r="C438" s="131" t="s">
        <v>716</v>
      </c>
      <c r="D438" s="132" t="s">
        <v>644</v>
      </c>
      <c r="E438" s="133">
        <v>9</v>
      </c>
      <c r="F438" s="134"/>
      <c r="G438" s="135"/>
      <c r="H438" s="136"/>
      <c r="I438" s="135"/>
      <c r="J438" s="135"/>
      <c r="K438" s="137"/>
      <c r="L438" s="137"/>
      <c r="M438" s="137"/>
      <c r="N438" s="138"/>
      <c r="O438" s="154"/>
    </row>
    <row r="439" spans="1:15">
      <c r="A439" s="43">
        <v>23</v>
      </c>
      <c r="B439" s="43" t="s">
        <v>721</v>
      </c>
      <c r="C439" s="52" t="s">
        <v>716</v>
      </c>
      <c r="D439" s="93" t="s">
        <v>644</v>
      </c>
      <c r="E439" s="88">
        <v>9</v>
      </c>
      <c r="F439" s="80" t="s">
        <v>793</v>
      </c>
      <c r="G439" t="s">
        <v>756</v>
      </c>
      <c r="H439" s="67">
        <v>2</v>
      </c>
      <c r="I439">
        <v>85000</v>
      </c>
      <c r="J439">
        <v>170000</v>
      </c>
      <c r="O439" s="41"/>
    </row>
    <row r="440" spans="1:15">
      <c r="A440" s="43">
        <v>23</v>
      </c>
      <c r="B440" s="43" t="s">
        <v>721</v>
      </c>
      <c r="C440" s="52" t="s">
        <v>716</v>
      </c>
      <c r="D440" s="93" t="s">
        <v>644</v>
      </c>
      <c r="E440" s="88">
        <v>9</v>
      </c>
      <c r="K440" s="41">
        <v>170000</v>
      </c>
      <c r="L440" s="41">
        <v>38000</v>
      </c>
      <c r="M440" s="41">
        <v>132000</v>
      </c>
      <c r="N440" s="40" t="s">
        <v>738</v>
      </c>
      <c r="O440" s="41"/>
    </row>
    <row r="441" spans="1:15">
      <c r="A441" s="130">
        <v>23</v>
      </c>
      <c r="B441" s="130" t="s">
        <v>721</v>
      </c>
      <c r="C441" s="131" t="s">
        <v>716</v>
      </c>
      <c r="D441" s="132" t="s">
        <v>644</v>
      </c>
      <c r="E441" s="133">
        <v>10</v>
      </c>
      <c r="F441" s="134"/>
      <c r="G441" s="135"/>
      <c r="H441" s="136"/>
      <c r="I441" s="135"/>
      <c r="J441" s="135"/>
      <c r="K441" s="137"/>
      <c r="L441" s="137"/>
      <c r="M441" s="137"/>
      <c r="N441" s="138"/>
      <c r="O441" s="154"/>
    </row>
    <row r="442" spans="1:15">
      <c r="A442" s="43">
        <v>23</v>
      </c>
      <c r="B442" s="43" t="s">
        <v>721</v>
      </c>
      <c r="C442" s="52" t="s">
        <v>716</v>
      </c>
      <c r="D442" s="93" t="s">
        <v>644</v>
      </c>
      <c r="E442" s="88">
        <v>10</v>
      </c>
      <c r="F442" s="80" t="s">
        <v>793</v>
      </c>
      <c r="G442" t="s">
        <v>756</v>
      </c>
      <c r="H442" s="67">
        <v>1</v>
      </c>
      <c r="I442">
        <v>85000</v>
      </c>
      <c r="J442">
        <v>85000</v>
      </c>
      <c r="O442" s="41"/>
    </row>
    <row r="443" spans="1:15">
      <c r="A443" s="43">
        <v>23</v>
      </c>
      <c r="B443" s="43" t="s">
        <v>721</v>
      </c>
      <c r="C443" s="52" t="s">
        <v>716</v>
      </c>
      <c r="D443" s="93" t="s">
        <v>644</v>
      </c>
      <c r="E443" s="88">
        <v>10</v>
      </c>
      <c r="F443" s="80" t="s">
        <v>792</v>
      </c>
      <c r="G443" t="s">
        <v>754</v>
      </c>
      <c r="H443" s="67">
        <v>1</v>
      </c>
      <c r="I443">
        <v>85000</v>
      </c>
      <c r="J443">
        <v>85000</v>
      </c>
      <c r="O443" s="41"/>
    </row>
    <row r="444" spans="1:15">
      <c r="A444" s="43">
        <v>23</v>
      </c>
      <c r="B444" s="43" t="s">
        <v>721</v>
      </c>
      <c r="C444" s="52" t="s">
        <v>716</v>
      </c>
      <c r="D444" s="93" t="s">
        <v>644</v>
      </c>
      <c r="E444" s="88">
        <v>10</v>
      </c>
      <c r="F444" s="80" t="s">
        <v>732</v>
      </c>
      <c r="G444" t="s">
        <v>656</v>
      </c>
      <c r="H444" s="67">
        <v>1</v>
      </c>
      <c r="I444">
        <v>98000</v>
      </c>
      <c r="J444">
        <v>98000</v>
      </c>
      <c r="O444" s="41"/>
    </row>
    <row r="445" spans="1:15">
      <c r="A445" s="43">
        <v>23</v>
      </c>
      <c r="B445" s="43" t="s">
        <v>721</v>
      </c>
      <c r="C445" s="52" t="s">
        <v>716</v>
      </c>
      <c r="D445" s="93" t="s">
        <v>644</v>
      </c>
      <c r="E445" s="88">
        <v>10</v>
      </c>
      <c r="K445" s="41">
        <v>268000</v>
      </c>
      <c r="L445" s="41">
        <v>38000</v>
      </c>
      <c r="M445" s="41">
        <v>230000</v>
      </c>
      <c r="N445" s="40" t="s">
        <v>738</v>
      </c>
      <c r="O445" s="41"/>
    </row>
  </sheetData>
  <sheetProtection password="92B2" sheet="1" objects="1" scenarios="1"/>
  <pageMargins left="0.7" right="0.7" top="0.75" bottom="0.75" header="0.3" footer="0.3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58"/>
  <sheetViews>
    <sheetView topLeftCell="A106" workbookViewId="0">
      <selection activeCell="A106" sqref="A1:E1048576"/>
    </sheetView>
  </sheetViews>
  <sheetFormatPr defaultColWidth="9.140625" defaultRowHeight="12.75"/>
  <cols>
    <col min="1" max="1" width="14.42578125" style="1" customWidth="1"/>
    <col min="2" max="2" width="11.42578125" style="1" customWidth="1"/>
    <col min="3" max="3" width="15" style="1" customWidth="1"/>
    <col min="4" max="4" width="23" style="1" customWidth="1"/>
    <col min="5" max="5" width="34.28515625" style="1" customWidth="1"/>
    <col min="6" max="16384" width="9.140625" style="1"/>
  </cols>
  <sheetData>
    <row r="1" spans="1:8" ht="25.5">
      <c r="A1" s="45" t="s">
        <v>518</v>
      </c>
      <c r="B1" s="45" t="s">
        <v>519</v>
      </c>
      <c r="C1" s="45" t="s">
        <v>520</v>
      </c>
      <c r="D1" s="45" t="s">
        <v>521</v>
      </c>
      <c r="E1" s="45" t="s">
        <v>522</v>
      </c>
    </row>
    <row r="2" spans="1:8">
      <c r="A2" s="46" t="s">
        <v>274</v>
      </c>
      <c r="B2" s="46" t="s">
        <v>244</v>
      </c>
      <c r="C2" s="1">
        <v>1</v>
      </c>
      <c r="D2" s="1" t="s">
        <v>245</v>
      </c>
      <c r="E2" s="47" t="s">
        <v>523</v>
      </c>
      <c r="G2" s="46"/>
    </row>
    <row r="3" spans="1:8">
      <c r="A3" s="46" t="s">
        <v>274</v>
      </c>
      <c r="B3" s="46" t="s">
        <v>254</v>
      </c>
      <c r="C3" s="1">
        <v>1</v>
      </c>
      <c r="D3" s="1" t="s">
        <v>255</v>
      </c>
      <c r="E3" s="46" t="s">
        <v>255</v>
      </c>
      <c r="G3" s="46"/>
    </row>
    <row r="4" spans="1:8">
      <c r="A4" s="46" t="s">
        <v>274</v>
      </c>
      <c r="B4" s="46" t="s">
        <v>252</v>
      </c>
      <c r="C4" s="1">
        <v>1</v>
      </c>
      <c r="D4" s="1" t="s">
        <v>253</v>
      </c>
      <c r="E4" s="46" t="s">
        <v>253</v>
      </c>
      <c r="G4" s="46"/>
    </row>
    <row r="5" spans="1:8">
      <c r="A5" s="46" t="s">
        <v>274</v>
      </c>
      <c r="B5" s="46" t="s">
        <v>256</v>
      </c>
      <c r="C5" s="1">
        <v>1</v>
      </c>
      <c r="D5" s="1" t="s">
        <v>257</v>
      </c>
      <c r="E5" s="46" t="s">
        <v>257</v>
      </c>
    </row>
    <row r="6" spans="1:8">
      <c r="A6" s="46" t="s">
        <v>274</v>
      </c>
      <c r="B6" s="46" t="s">
        <v>266</v>
      </c>
      <c r="C6" s="1">
        <v>1</v>
      </c>
      <c r="D6" s="1" t="s">
        <v>267</v>
      </c>
      <c r="E6" s="46" t="s">
        <v>267</v>
      </c>
    </row>
    <row r="7" spans="1:8">
      <c r="A7" s="46" t="s">
        <v>274</v>
      </c>
      <c r="B7" s="46" t="s">
        <v>278</v>
      </c>
      <c r="C7" s="1">
        <v>1</v>
      </c>
      <c r="D7" s="1" t="s">
        <v>279</v>
      </c>
      <c r="E7" s="46" t="s">
        <v>279</v>
      </c>
    </row>
    <row r="8" spans="1:8">
      <c r="A8" s="46" t="s">
        <v>274</v>
      </c>
      <c r="B8" s="46" t="s">
        <v>250</v>
      </c>
      <c r="C8" s="1">
        <v>1</v>
      </c>
      <c r="D8" s="1" t="s">
        <v>524</v>
      </c>
      <c r="E8" s="46" t="s">
        <v>525</v>
      </c>
    </row>
    <row r="9" spans="1:8">
      <c r="A9" s="46" t="s">
        <v>274</v>
      </c>
      <c r="B9" s="46" t="s">
        <v>264</v>
      </c>
      <c r="C9" s="1">
        <v>1</v>
      </c>
      <c r="D9" s="1" t="s">
        <v>265</v>
      </c>
      <c r="E9" s="46" t="s">
        <v>526</v>
      </c>
    </row>
    <row r="10" spans="1:8">
      <c r="A10" s="46" t="s">
        <v>276</v>
      </c>
      <c r="B10" s="46" t="s">
        <v>248</v>
      </c>
      <c r="C10" s="1">
        <v>1</v>
      </c>
      <c r="D10" s="1" t="s">
        <v>249</v>
      </c>
      <c r="E10" s="47" t="s">
        <v>527</v>
      </c>
    </row>
    <row r="11" spans="1:8">
      <c r="A11" s="46" t="s">
        <v>276</v>
      </c>
      <c r="B11" s="46" t="s">
        <v>258</v>
      </c>
      <c r="C11" s="1">
        <v>1</v>
      </c>
      <c r="D11" s="1" t="s">
        <v>259</v>
      </c>
      <c r="E11" s="46" t="s">
        <v>528</v>
      </c>
    </row>
    <row r="12" spans="1:8">
      <c r="A12" s="46" t="s">
        <v>276</v>
      </c>
      <c r="B12" s="46" t="s">
        <v>260</v>
      </c>
      <c r="C12" s="1">
        <v>1</v>
      </c>
      <c r="D12" s="1" t="s">
        <v>261</v>
      </c>
      <c r="E12" s="46" t="s">
        <v>529</v>
      </c>
    </row>
    <row r="13" spans="1:8">
      <c r="A13" s="46" t="s">
        <v>276</v>
      </c>
      <c r="B13" s="46" t="s">
        <v>254</v>
      </c>
      <c r="C13" s="1">
        <v>1</v>
      </c>
      <c r="D13" s="1" t="s">
        <v>255</v>
      </c>
      <c r="E13" s="46" t="s">
        <v>530</v>
      </c>
      <c r="H13" s="46"/>
    </row>
    <row r="14" spans="1:8">
      <c r="A14" s="46" t="s">
        <v>276</v>
      </c>
      <c r="B14" s="46" t="s">
        <v>252</v>
      </c>
      <c r="C14" s="1">
        <v>1</v>
      </c>
      <c r="D14" s="46" t="s">
        <v>253</v>
      </c>
      <c r="E14" s="46" t="s">
        <v>531</v>
      </c>
    </row>
    <row r="15" spans="1:8">
      <c r="A15" s="46" t="s">
        <v>276</v>
      </c>
      <c r="B15" s="46" t="s">
        <v>256</v>
      </c>
      <c r="C15" s="1">
        <v>1</v>
      </c>
      <c r="D15" s="1" t="s">
        <v>257</v>
      </c>
      <c r="E15" s="46" t="s">
        <v>532</v>
      </c>
    </row>
    <row r="16" spans="1:8">
      <c r="A16" s="46" t="s">
        <v>276</v>
      </c>
      <c r="B16" s="46" t="s">
        <v>266</v>
      </c>
      <c r="C16" s="1">
        <v>1</v>
      </c>
      <c r="D16" s="1" t="s">
        <v>267</v>
      </c>
      <c r="E16" s="46" t="s">
        <v>533</v>
      </c>
    </row>
    <row r="17" spans="1:5">
      <c r="A17" s="46" t="s">
        <v>276</v>
      </c>
      <c r="B17" s="46" t="s">
        <v>278</v>
      </c>
      <c r="C17" s="1">
        <v>1</v>
      </c>
      <c r="D17" s="1" t="s">
        <v>279</v>
      </c>
      <c r="E17" s="46" t="s">
        <v>534</v>
      </c>
    </row>
    <row r="18" spans="1:5">
      <c r="A18" s="46" t="s">
        <v>276</v>
      </c>
      <c r="B18" s="46" t="s">
        <v>250</v>
      </c>
      <c r="C18" s="1">
        <v>1</v>
      </c>
      <c r="D18" s="1" t="s">
        <v>524</v>
      </c>
      <c r="E18" s="46" t="s">
        <v>525</v>
      </c>
    </row>
    <row r="19" spans="1:5">
      <c r="A19" s="46" t="s">
        <v>276</v>
      </c>
      <c r="B19" s="46" t="s">
        <v>264</v>
      </c>
      <c r="C19" s="1">
        <v>1</v>
      </c>
      <c r="D19" s="1" t="s">
        <v>265</v>
      </c>
      <c r="E19" s="46" t="s">
        <v>535</v>
      </c>
    </row>
    <row r="20" spans="1:5">
      <c r="A20" s="46" t="s">
        <v>415</v>
      </c>
      <c r="B20" s="46" t="s">
        <v>413</v>
      </c>
      <c r="C20" s="1">
        <v>0.5</v>
      </c>
      <c r="D20" s="1" t="s">
        <v>414</v>
      </c>
      <c r="E20" s="47" t="s">
        <v>536</v>
      </c>
    </row>
    <row r="21" spans="1:5">
      <c r="A21" s="46" t="s">
        <v>417</v>
      </c>
      <c r="B21" s="46" t="s">
        <v>413</v>
      </c>
      <c r="C21" s="1">
        <v>1</v>
      </c>
      <c r="D21" s="1" t="s">
        <v>414</v>
      </c>
      <c r="E21" s="47" t="s">
        <v>537</v>
      </c>
    </row>
    <row r="22" spans="1:5">
      <c r="A22" s="46" t="s">
        <v>437</v>
      </c>
      <c r="B22" s="46" t="s">
        <v>435</v>
      </c>
      <c r="C22" s="1">
        <v>0.5</v>
      </c>
      <c r="D22" s="1" t="s">
        <v>436</v>
      </c>
      <c r="E22" s="47" t="s">
        <v>538</v>
      </c>
    </row>
    <row r="23" spans="1:5">
      <c r="A23" s="46" t="s">
        <v>234</v>
      </c>
      <c r="B23" s="46" t="s">
        <v>236</v>
      </c>
      <c r="C23" s="1">
        <v>0.5</v>
      </c>
      <c r="D23" s="1" t="s">
        <v>235</v>
      </c>
      <c r="E23" s="47" t="s">
        <v>539</v>
      </c>
    </row>
    <row r="24" spans="1:5">
      <c r="A24" s="47" t="s">
        <v>447</v>
      </c>
      <c r="B24" s="46" t="s">
        <v>218</v>
      </c>
      <c r="C24" s="1">
        <v>10</v>
      </c>
      <c r="D24" s="1" t="s">
        <v>219</v>
      </c>
    </row>
    <row r="25" spans="1:5">
      <c r="A25" s="47" t="s">
        <v>449</v>
      </c>
      <c r="B25" s="46" t="s">
        <v>218</v>
      </c>
      <c r="C25" s="1">
        <v>5</v>
      </c>
      <c r="D25" s="1" t="s">
        <v>219</v>
      </c>
    </row>
    <row r="26" spans="1:5">
      <c r="A26" s="46" t="s">
        <v>449</v>
      </c>
      <c r="B26" s="46" t="s">
        <v>220</v>
      </c>
      <c r="C26" s="1">
        <v>5</v>
      </c>
      <c r="D26" s="1" t="s">
        <v>221</v>
      </c>
    </row>
    <row r="27" spans="1:5">
      <c r="A27" s="47" t="s">
        <v>451</v>
      </c>
      <c r="B27" s="46" t="s">
        <v>220</v>
      </c>
      <c r="C27" s="1">
        <v>10</v>
      </c>
      <c r="D27" s="1" t="s">
        <v>221</v>
      </c>
    </row>
    <row r="28" spans="1:5">
      <c r="A28" s="47" t="s">
        <v>453</v>
      </c>
      <c r="B28" s="46" t="s">
        <v>413</v>
      </c>
      <c r="C28" s="1">
        <v>5</v>
      </c>
      <c r="D28" s="1" t="s">
        <v>414</v>
      </c>
    </row>
    <row r="29" spans="1:5">
      <c r="A29" s="47" t="s">
        <v>455</v>
      </c>
      <c r="B29" s="46" t="s">
        <v>413</v>
      </c>
      <c r="C29" s="1">
        <v>12.5</v>
      </c>
      <c r="D29" s="1" t="s">
        <v>414</v>
      </c>
    </row>
    <row r="30" spans="1:5">
      <c r="A30" s="47" t="s">
        <v>457</v>
      </c>
      <c r="B30" s="46" t="s">
        <v>300</v>
      </c>
      <c r="C30" s="1">
        <v>48</v>
      </c>
      <c r="D30" s="1" t="s">
        <v>301</v>
      </c>
    </row>
    <row r="31" spans="1:5">
      <c r="A31" s="47" t="s">
        <v>459</v>
      </c>
      <c r="B31" s="46" t="s">
        <v>322</v>
      </c>
      <c r="C31" s="1">
        <v>110</v>
      </c>
      <c r="D31" s="1" t="s">
        <v>323</v>
      </c>
    </row>
    <row r="32" spans="1:5">
      <c r="A32" s="47" t="s">
        <v>461</v>
      </c>
      <c r="B32" s="46" t="s">
        <v>324</v>
      </c>
      <c r="C32" s="1">
        <v>100</v>
      </c>
      <c r="D32" s="1" t="s">
        <v>325</v>
      </c>
    </row>
    <row r="33" spans="1:2">
      <c r="A33" s="1" t="s">
        <v>586</v>
      </c>
      <c r="B33" s="54" t="s">
        <v>540</v>
      </c>
    </row>
    <row r="34" spans="1:2">
      <c r="A34" s="1" t="s">
        <v>587</v>
      </c>
      <c r="B34" s="55" t="s">
        <v>564</v>
      </c>
    </row>
    <row r="35" spans="1:2">
      <c r="A35" s="1" t="s">
        <v>588</v>
      </c>
      <c r="B35" s="55" t="s">
        <v>541</v>
      </c>
    </row>
    <row r="36" spans="1:2">
      <c r="A36" s="1" t="s">
        <v>589</v>
      </c>
      <c r="B36" s="55" t="s">
        <v>542</v>
      </c>
    </row>
    <row r="37" spans="1:2">
      <c r="A37" s="1" t="s">
        <v>590</v>
      </c>
      <c r="B37" s="55" t="s">
        <v>543</v>
      </c>
    </row>
    <row r="38" spans="1:2">
      <c r="A38" s="1" t="s">
        <v>591</v>
      </c>
      <c r="B38" s="55" t="s">
        <v>544</v>
      </c>
    </row>
    <row r="39" spans="1:2">
      <c r="A39" s="1" t="s">
        <v>592</v>
      </c>
      <c r="B39" s="55" t="s">
        <v>545</v>
      </c>
    </row>
    <row r="40" spans="1:2">
      <c r="A40" s="1" t="s">
        <v>593</v>
      </c>
      <c r="B40" s="55" t="s">
        <v>546</v>
      </c>
    </row>
    <row r="41" spans="1:2">
      <c r="A41" s="1" t="s">
        <v>594</v>
      </c>
      <c r="B41" s="55" t="s">
        <v>547</v>
      </c>
    </row>
    <row r="42" spans="1:2">
      <c r="A42" s="1" t="s">
        <v>595</v>
      </c>
      <c r="B42" s="55" t="s">
        <v>548</v>
      </c>
    </row>
    <row r="43" spans="1:2">
      <c r="A43" s="1" t="s">
        <v>596</v>
      </c>
      <c r="B43" s="55" t="s">
        <v>549</v>
      </c>
    </row>
    <row r="44" spans="1:2">
      <c r="A44" s="1" t="s">
        <v>597</v>
      </c>
      <c r="B44" s="55" t="s">
        <v>550</v>
      </c>
    </row>
    <row r="45" spans="1:2">
      <c r="A45" s="1" t="s">
        <v>598</v>
      </c>
      <c r="B45" s="55" t="s">
        <v>551</v>
      </c>
    </row>
    <row r="46" spans="1:2">
      <c r="A46" s="1" t="s">
        <v>599</v>
      </c>
      <c r="B46" s="55" t="s">
        <v>552</v>
      </c>
    </row>
    <row r="47" spans="1:2">
      <c r="A47" s="1" t="s">
        <v>600</v>
      </c>
      <c r="B47" s="55" t="s">
        <v>553</v>
      </c>
    </row>
    <row r="48" spans="1:2">
      <c r="A48" s="1" t="s">
        <v>601</v>
      </c>
      <c r="B48" s="55" t="s">
        <v>554</v>
      </c>
    </row>
    <row r="49" spans="1:2">
      <c r="A49" s="1" t="s">
        <v>602</v>
      </c>
      <c r="B49" s="55" t="s">
        <v>555</v>
      </c>
    </row>
    <row r="50" spans="1:2">
      <c r="A50" s="1" t="s">
        <v>603</v>
      </c>
      <c r="B50" s="55" t="s">
        <v>556</v>
      </c>
    </row>
    <row r="51" spans="1:2">
      <c r="A51" s="1" t="s">
        <v>604</v>
      </c>
      <c r="B51" s="55" t="s">
        <v>557</v>
      </c>
    </row>
    <row r="52" spans="1:2">
      <c r="A52" s="1" t="s">
        <v>605</v>
      </c>
      <c r="B52" s="55" t="s">
        <v>558</v>
      </c>
    </row>
    <row r="53" spans="1:2">
      <c r="A53" s="1" t="s">
        <v>606</v>
      </c>
      <c r="B53" s="55" t="s">
        <v>559</v>
      </c>
    </row>
    <row r="54" spans="1:2">
      <c r="A54" s="1" t="s">
        <v>607</v>
      </c>
      <c r="B54" s="55" t="s">
        <v>560</v>
      </c>
    </row>
    <row r="55" spans="1:2">
      <c r="A55" s="1" t="s">
        <v>608</v>
      </c>
      <c r="B55" s="55" t="s">
        <v>561</v>
      </c>
    </row>
    <row r="56" spans="1:2">
      <c r="A56" s="1" t="s">
        <v>609</v>
      </c>
      <c r="B56" s="55" t="s">
        <v>562</v>
      </c>
    </row>
    <row r="57" spans="1:2">
      <c r="A57" s="1" t="s">
        <v>610</v>
      </c>
      <c r="B57" s="55" t="s">
        <v>563</v>
      </c>
    </row>
    <row r="58" spans="1:2">
      <c r="A58" s="1" t="s">
        <v>611</v>
      </c>
      <c r="B58" s="55" t="s">
        <v>565</v>
      </c>
    </row>
    <row r="59" spans="1:2">
      <c r="A59" s="1" t="s">
        <v>612</v>
      </c>
      <c r="B59" s="55" t="s">
        <v>566</v>
      </c>
    </row>
    <row r="60" spans="1:2">
      <c r="A60" s="1" t="s">
        <v>613</v>
      </c>
      <c r="B60" s="55" t="s">
        <v>567</v>
      </c>
    </row>
    <row r="61" spans="1:2">
      <c r="A61" s="1" t="s">
        <v>614</v>
      </c>
      <c r="B61" s="55" t="s">
        <v>568</v>
      </c>
    </row>
    <row r="62" spans="1:2">
      <c r="A62" s="1" t="s">
        <v>615</v>
      </c>
      <c r="B62" s="55" t="s">
        <v>569</v>
      </c>
    </row>
    <row r="63" spans="1:2">
      <c r="A63" s="1" t="s">
        <v>616</v>
      </c>
      <c r="B63" s="55" t="s">
        <v>570</v>
      </c>
    </row>
    <row r="64" spans="1:2">
      <c r="A64" s="1" t="s">
        <v>617</v>
      </c>
      <c r="B64" s="55" t="s">
        <v>571</v>
      </c>
    </row>
    <row r="65" spans="1:2">
      <c r="A65" s="1" t="s">
        <v>618</v>
      </c>
      <c r="B65" s="55" t="s">
        <v>572</v>
      </c>
    </row>
    <row r="66" spans="1:2">
      <c r="A66" s="1" t="s">
        <v>619</v>
      </c>
      <c r="B66" s="55" t="s">
        <v>573</v>
      </c>
    </row>
    <row r="67" spans="1:2">
      <c r="A67" s="1" t="s">
        <v>620</v>
      </c>
      <c r="B67" s="55" t="s">
        <v>574</v>
      </c>
    </row>
    <row r="68" spans="1:2">
      <c r="A68" s="1" t="s">
        <v>621</v>
      </c>
      <c r="B68" s="55" t="s">
        <v>575</v>
      </c>
    </row>
    <row r="69" spans="1:2">
      <c r="A69" s="1" t="s">
        <v>622</v>
      </c>
      <c r="B69" s="55" t="s">
        <v>576</v>
      </c>
    </row>
    <row r="70" spans="1:2">
      <c r="A70" s="1" t="s">
        <v>623</v>
      </c>
      <c r="B70" s="55" t="s">
        <v>577</v>
      </c>
    </row>
    <row r="71" spans="1:2">
      <c r="A71" s="1" t="s">
        <v>624</v>
      </c>
      <c r="B71" s="55" t="s">
        <v>578</v>
      </c>
    </row>
    <row r="72" spans="1:2">
      <c r="A72" s="1" t="s">
        <v>625</v>
      </c>
      <c r="B72" s="55" t="s">
        <v>579</v>
      </c>
    </row>
    <row r="73" spans="1:2">
      <c r="A73" s="1" t="s">
        <v>626</v>
      </c>
      <c r="B73" s="55" t="s">
        <v>580</v>
      </c>
    </row>
    <row r="74" spans="1:2">
      <c r="A74" s="1" t="s">
        <v>586</v>
      </c>
      <c r="B74" s="1" t="s">
        <v>581</v>
      </c>
    </row>
    <row r="75" spans="1:2">
      <c r="A75" s="1" t="s">
        <v>587</v>
      </c>
      <c r="B75" s="1" t="s">
        <v>581</v>
      </c>
    </row>
    <row r="76" spans="1:2">
      <c r="A76" s="1" t="s">
        <v>588</v>
      </c>
      <c r="B76" s="1" t="s">
        <v>581</v>
      </c>
    </row>
    <row r="77" spans="1:2">
      <c r="A77" s="1" t="s">
        <v>589</v>
      </c>
      <c r="B77" s="1" t="s">
        <v>581</v>
      </c>
    </row>
    <row r="78" spans="1:2">
      <c r="A78" s="1" t="s">
        <v>590</v>
      </c>
      <c r="B78" s="1" t="s">
        <v>581</v>
      </c>
    </row>
    <row r="79" spans="1:2">
      <c r="A79" s="1" t="s">
        <v>591</v>
      </c>
      <c r="B79" s="1" t="s">
        <v>581</v>
      </c>
    </row>
    <row r="80" spans="1:2">
      <c r="A80" s="1" t="s">
        <v>592</v>
      </c>
      <c r="B80" s="1" t="s">
        <v>581</v>
      </c>
    </row>
    <row r="81" spans="1:2">
      <c r="A81" s="1" t="s">
        <v>593</v>
      </c>
      <c r="B81" s="1" t="s">
        <v>581</v>
      </c>
    </row>
    <row r="82" spans="1:2">
      <c r="A82" s="1" t="s">
        <v>594</v>
      </c>
      <c r="B82" s="1" t="s">
        <v>581</v>
      </c>
    </row>
    <row r="83" spans="1:2">
      <c r="A83" s="1" t="s">
        <v>595</v>
      </c>
      <c r="B83" s="1" t="s">
        <v>581</v>
      </c>
    </row>
    <row r="84" spans="1:2">
      <c r="A84" s="1" t="s">
        <v>596</v>
      </c>
      <c r="B84" s="1" t="s">
        <v>581</v>
      </c>
    </row>
    <row r="85" spans="1:2">
      <c r="A85" s="1" t="s">
        <v>597</v>
      </c>
      <c r="B85" s="1" t="s">
        <v>581</v>
      </c>
    </row>
    <row r="86" spans="1:2">
      <c r="A86" s="1" t="s">
        <v>598</v>
      </c>
      <c r="B86" s="1" t="s">
        <v>581</v>
      </c>
    </row>
    <row r="87" spans="1:2">
      <c r="A87" s="1" t="s">
        <v>599</v>
      </c>
      <c r="B87" s="1" t="s">
        <v>581</v>
      </c>
    </row>
    <row r="88" spans="1:2">
      <c r="A88" s="1" t="s">
        <v>600</v>
      </c>
      <c r="B88" s="1" t="s">
        <v>581</v>
      </c>
    </row>
    <row r="89" spans="1:2">
      <c r="A89" s="1" t="s">
        <v>601</v>
      </c>
      <c r="B89" s="1" t="s">
        <v>581</v>
      </c>
    </row>
    <row r="90" spans="1:2">
      <c r="A90" s="1" t="s">
        <v>602</v>
      </c>
      <c r="B90" s="1" t="s">
        <v>581</v>
      </c>
    </row>
    <row r="91" spans="1:2">
      <c r="A91" s="1" t="s">
        <v>603</v>
      </c>
      <c r="B91" s="1" t="s">
        <v>581</v>
      </c>
    </row>
    <row r="92" spans="1:2">
      <c r="A92" s="1" t="s">
        <v>604</v>
      </c>
      <c r="B92" s="1" t="s">
        <v>581</v>
      </c>
    </row>
    <row r="93" spans="1:2">
      <c r="A93" s="1" t="s">
        <v>605</v>
      </c>
      <c r="B93" s="1" t="s">
        <v>581</v>
      </c>
    </row>
    <row r="94" spans="1:2">
      <c r="A94" s="1" t="s">
        <v>606</v>
      </c>
      <c r="B94" s="1" t="s">
        <v>581</v>
      </c>
    </row>
    <row r="95" spans="1:2">
      <c r="A95" s="1" t="s">
        <v>607</v>
      </c>
      <c r="B95" s="1" t="s">
        <v>581</v>
      </c>
    </row>
    <row r="96" spans="1:2">
      <c r="A96" s="1" t="s">
        <v>608</v>
      </c>
      <c r="B96" s="1" t="s">
        <v>581</v>
      </c>
    </row>
    <row r="97" spans="1:2">
      <c r="A97" s="1" t="s">
        <v>609</v>
      </c>
      <c r="B97" s="1" t="s">
        <v>581</v>
      </c>
    </row>
    <row r="98" spans="1:2">
      <c r="A98" s="1" t="s">
        <v>610</v>
      </c>
      <c r="B98" s="1" t="s">
        <v>581</v>
      </c>
    </row>
    <row r="99" spans="1:2">
      <c r="A99" s="1" t="s">
        <v>611</v>
      </c>
      <c r="B99" s="1" t="s">
        <v>582</v>
      </c>
    </row>
    <row r="100" spans="1:2">
      <c r="A100" s="1" t="s">
        <v>612</v>
      </c>
      <c r="B100" s="1" t="s">
        <v>582</v>
      </c>
    </row>
    <row r="101" spans="1:2">
      <c r="A101" s="1" t="s">
        <v>613</v>
      </c>
      <c r="B101" s="1" t="s">
        <v>582</v>
      </c>
    </row>
    <row r="102" spans="1:2">
      <c r="A102" s="1" t="s">
        <v>614</v>
      </c>
      <c r="B102" s="1" t="s">
        <v>582</v>
      </c>
    </row>
    <row r="103" spans="1:2">
      <c r="A103" s="1" t="s">
        <v>615</v>
      </c>
      <c r="B103" s="1" t="s">
        <v>582</v>
      </c>
    </row>
    <row r="104" spans="1:2">
      <c r="A104" s="1" t="s">
        <v>616</v>
      </c>
      <c r="B104" s="1" t="s">
        <v>582</v>
      </c>
    </row>
    <row r="105" spans="1:2">
      <c r="A105" s="1" t="s">
        <v>617</v>
      </c>
      <c r="B105" s="1" t="s">
        <v>582</v>
      </c>
    </row>
    <row r="106" spans="1:2">
      <c r="A106" s="1" t="s">
        <v>618</v>
      </c>
      <c r="B106" s="1" t="s">
        <v>582</v>
      </c>
    </row>
    <row r="107" spans="1:2">
      <c r="A107" s="1" t="s">
        <v>619</v>
      </c>
      <c r="B107" s="1" t="s">
        <v>582</v>
      </c>
    </row>
    <row r="108" spans="1:2">
      <c r="A108" s="1" t="s">
        <v>620</v>
      </c>
      <c r="B108" s="1" t="s">
        <v>582</v>
      </c>
    </row>
    <row r="109" spans="1:2">
      <c r="A109" s="1" t="s">
        <v>621</v>
      </c>
      <c r="B109" s="1" t="s">
        <v>582</v>
      </c>
    </row>
    <row r="110" spans="1:2">
      <c r="A110" s="1" t="s">
        <v>622</v>
      </c>
      <c r="B110" s="1" t="s">
        <v>582</v>
      </c>
    </row>
    <row r="111" spans="1:2">
      <c r="A111" s="1" t="s">
        <v>623</v>
      </c>
      <c r="B111" s="1" t="s">
        <v>582</v>
      </c>
    </row>
    <row r="112" spans="1:2">
      <c r="A112" s="1" t="s">
        <v>624</v>
      </c>
      <c r="B112" s="1" t="s">
        <v>582</v>
      </c>
    </row>
    <row r="113" spans="1:2">
      <c r="A113" s="1" t="s">
        <v>625</v>
      </c>
      <c r="B113" s="1" t="s">
        <v>582</v>
      </c>
    </row>
    <row r="114" spans="1:2">
      <c r="A114" s="1" t="s">
        <v>626</v>
      </c>
      <c r="B114" s="1" t="s">
        <v>582</v>
      </c>
    </row>
    <row r="115" spans="1:2">
      <c r="A115" s="1" t="s">
        <v>586</v>
      </c>
      <c r="B115" s="1" t="s">
        <v>583</v>
      </c>
    </row>
    <row r="116" spans="1:2">
      <c r="A116" s="1" t="s">
        <v>587</v>
      </c>
      <c r="B116" s="1" t="s">
        <v>583</v>
      </c>
    </row>
    <row r="117" spans="1:2">
      <c r="A117" s="1" t="s">
        <v>588</v>
      </c>
      <c r="B117" s="1" t="s">
        <v>583</v>
      </c>
    </row>
    <row r="118" spans="1:2">
      <c r="A118" s="1" t="s">
        <v>589</v>
      </c>
      <c r="B118" s="1" t="s">
        <v>583</v>
      </c>
    </row>
    <row r="119" spans="1:2">
      <c r="A119" s="1" t="s">
        <v>590</v>
      </c>
      <c r="B119" s="1" t="s">
        <v>583</v>
      </c>
    </row>
    <row r="120" spans="1:2">
      <c r="A120" s="1" t="s">
        <v>591</v>
      </c>
      <c r="B120" s="1" t="s">
        <v>583</v>
      </c>
    </row>
    <row r="121" spans="1:2">
      <c r="A121" s="1" t="s">
        <v>592</v>
      </c>
      <c r="B121" s="1" t="s">
        <v>583</v>
      </c>
    </row>
    <row r="122" spans="1:2">
      <c r="A122" s="1" t="s">
        <v>593</v>
      </c>
      <c r="B122" s="1" t="s">
        <v>583</v>
      </c>
    </row>
    <row r="123" spans="1:2">
      <c r="A123" s="1" t="s">
        <v>594</v>
      </c>
      <c r="B123" s="1" t="s">
        <v>583</v>
      </c>
    </row>
    <row r="124" spans="1:2">
      <c r="A124" s="1" t="s">
        <v>595</v>
      </c>
      <c r="B124" s="1" t="s">
        <v>583</v>
      </c>
    </row>
    <row r="125" spans="1:2">
      <c r="A125" s="1" t="s">
        <v>596</v>
      </c>
      <c r="B125" s="1" t="s">
        <v>583</v>
      </c>
    </row>
    <row r="126" spans="1:2">
      <c r="A126" s="1" t="s">
        <v>597</v>
      </c>
      <c r="B126" s="1" t="s">
        <v>583</v>
      </c>
    </row>
    <row r="127" spans="1:2">
      <c r="A127" s="1" t="s">
        <v>598</v>
      </c>
      <c r="B127" s="1" t="s">
        <v>583</v>
      </c>
    </row>
    <row r="128" spans="1:2">
      <c r="A128" s="1" t="s">
        <v>599</v>
      </c>
      <c r="B128" s="1" t="s">
        <v>583</v>
      </c>
    </row>
    <row r="129" spans="1:2">
      <c r="A129" s="1" t="s">
        <v>600</v>
      </c>
      <c r="B129" s="1" t="s">
        <v>583</v>
      </c>
    </row>
    <row r="130" spans="1:2">
      <c r="A130" s="1" t="s">
        <v>601</v>
      </c>
      <c r="B130" s="1" t="s">
        <v>583</v>
      </c>
    </row>
    <row r="131" spans="1:2">
      <c r="A131" s="1" t="s">
        <v>602</v>
      </c>
      <c r="B131" s="1" t="s">
        <v>583</v>
      </c>
    </row>
    <row r="132" spans="1:2">
      <c r="A132" s="1" t="s">
        <v>603</v>
      </c>
      <c r="B132" s="1" t="s">
        <v>583</v>
      </c>
    </row>
    <row r="133" spans="1:2">
      <c r="A133" s="1" t="s">
        <v>604</v>
      </c>
      <c r="B133" s="1" t="s">
        <v>583</v>
      </c>
    </row>
    <row r="134" spans="1:2">
      <c r="A134" s="1" t="s">
        <v>605</v>
      </c>
      <c r="B134" s="1" t="s">
        <v>583</v>
      </c>
    </row>
    <row r="135" spans="1:2">
      <c r="A135" s="1" t="s">
        <v>606</v>
      </c>
      <c r="B135" s="1" t="s">
        <v>583</v>
      </c>
    </row>
    <row r="136" spans="1:2">
      <c r="A136" s="1" t="s">
        <v>607</v>
      </c>
      <c r="B136" s="1" t="s">
        <v>583</v>
      </c>
    </row>
    <row r="137" spans="1:2">
      <c r="A137" s="1" t="s">
        <v>608</v>
      </c>
      <c r="B137" s="1" t="s">
        <v>583</v>
      </c>
    </row>
    <row r="138" spans="1:2">
      <c r="A138" s="1" t="s">
        <v>609</v>
      </c>
      <c r="B138" s="1" t="s">
        <v>583</v>
      </c>
    </row>
    <row r="139" spans="1:2">
      <c r="A139" s="1" t="s">
        <v>610</v>
      </c>
      <c r="B139" s="1" t="s">
        <v>583</v>
      </c>
    </row>
    <row r="140" spans="1:2">
      <c r="A140" s="1" t="s">
        <v>611</v>
      </c>
      <c r="B140" s="1" t="s">
        <v>584</v>
      </c>
    </row>
    <row r="141" spans="1:2">
      <c r="A141" s="1" t="s">
        <v>612</v>
      </c>
      <c r="B141" s="1" t="s">
        <v>584</v>
      </c>
    </row>
    <row r="142" spans="1:2">
      <c r="A142" s="1" t="s">
        <v>613</v>
      </c>
      <c r="B142" s="1" t="s">
        <v>585</v>
      </c>
    </row>
    <row r="143" spans="1:2">
      <c r="A143" s="1" t="s">
        <v>614</v>
      </c>
      <c r="B143" s="1" t="s">
        <v>584</v>
      </c>
    </row>
    <row r="144" spans="1:2">
      <c r="A144" s="1" t="s">
        <v>615</v>
      </c>
      <c r="B144" s="1" t="s">
        <v>584</v>
      </c>
    </row>
    <row r="145" spans="1:3">
      <c r="A145" s="1" t="s">
        <v>616</v>
      </c>
      <c r="B145" s="1" t="s">
        <v>584</v>
      </c>
    </row>
    <row r="146" spans="1:3">
      <c r="A146" s="1" t="s">
        <v>617</v>
      </c>
      <c r="B146" s="1" t="s">
        <v>584</v>
      </c>
    </row>
    <row r="147" spans="1:3">
      <c r="A147" s="1" t="s">
        <v>618</v>
      </c>
      <c r="B147" s="1" t="s">
        <v>584</v>
      </c>
    </row>
    <row r="148" spans="1:3">
      <c r="A148" s="1" t="s">
        <v>619</v>
      </c>
      <c r="B148" s="1" t="s">
        <v>585</v>
      </c>
    </row>
    <row r="149" spans="1:3">
      <c r="A149" s="1" t="s">
        <v>620</v>
      </c>
      <c r="B149" s="1" t="s">
        <v>584</v>
      </c>
    </row>
    <row r="150" spans="1:3">
      <c r="A150" s="1" t="s">
        <v>621</v>
      </c>
      <c r="B150" s="1" t="s">
        <v>584</v>
      </c>
    </row>
    <row r="151" spans="1:3">
      <c r="A151" s="1" t="s">
        <v>622</v>
      </c>
      <c r="B151" s="1" t="s">
        <v>584</v>
      </c>
    </row>
    <row r="152" spans="1:3">
      <c r="A152" s="1" t="s">
        <v>623</v>
      </c>
      <c r="B152" s="1" t="s">
        <v>585</v>
      </c>
    </row>
    <row r="153" spans="1:3">
      <c r="A153" s="1" t="s">
        <v>624</v>
      </c>
      <c r="B153" s="1" t="s">
        <v>627</v>
      </c>
    </row>
    <row r="154" spans="1:3">
      <c r="A154" s="1" t="s">
        <v>625</v>
      </c>
      <c r="B154" s="1" t="s">
        <v>628</v>
      </c>
    </row>
    <row r="155" spans="1:3">
      <c r="A155" s="1" t="s">
        <v>626</v>
      </c>
      <c r="B155" s="1" t="s">
        <v>629</v>
      </c>
    </row>
    <row r="156" spans="1:3">
      <c r="A156" s="1" t="s">
        <v>646</v>
      </c>
      <c r="B156" s="1" t="s">
        <v>642</v>
      </c>
      <c r="C156" s="1">
        <v>2</v>
      </c>
    </row>
    <row r="157" spans="1:3">
      <c r="A157" s="1" t="s">
        <v>646</v>
      </c>
      <c r="B157" s="1" t="s">
        <v>647</v>
      </c>
      <c r="C157" s="1">
        <v>3.5</v>
      </c>
    </row>
    <row r="158" spans="1:3">
      <c r="A158" s="1" t="s">
        <v>646</v>
      </c>
      <c r="B158" s="1" t="s">
        <v>437</v>
      </c>
      <c r="C158" s="1">
        <v>1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41"/>
  <sheetViews>
    <sheetView topLeftCell="A5" workbookViewId="0">
      <selection activeCell="B29" sqref="B29"/>
    </sheetView>
  </sheetViews>
  <sheetFormatPr defaultColWidth="8.85546875" defaultRowHeight="12.75"/>
  <cols>
    <col min="1" max="1" width="9" style="50" customWidth="1"/>
    <col min="2" max="2" width="35.42578125" style="51" customWidth="1"/>
    <col min="3" max="3" width="10" style="57" customWidth="1"/>
  </cols>
  <sheetData>
    <row r="1" spans="1:3">
      <c r="A1" s="48" t="s">
        <v>0</v>
      </c>
      <c r="B1" s="49" t="s">
        <v>1</v>
      </c>
      <c r="C1" s="58" t="s">
        <v>463</v>
      </c>
    </row>
    <row r="2" spans="1:3">
      <c r="A2" s="127" t="s">
        <v>664</v>
      </c>
      <c r="B2" s="128" t="s">
        <v>649</v>
      </c>
      <c r="C2" s="129">
        <v>85000</v>
      </c>
    </row>
    <row r="3" spans="1:3">
      <c r="A3" s="127" t="s">
        <v>665</v>
      </c>
      <c r="B3" s="128" t="s">
        <v>650</v>
      </c>
      <c r="C3" s="129">
        <v>85000</v>
      </c>
    </row>
    <row r="4" spans="1:3">
      <c r="A4" s="127" t="s">
        <v>666</v>
      </c>
      <c r="B4" s="128" t="s">
        <v>651</v>
      </c>
      <c r="C4" s="129">
        <v>98000</v>
      </c>
    </row>
    <row r="5" spans="1:3">
      <c r="A5" s="127" t="s">
        <v>667</v>
      </c>
      <c r="B5" s="128" t="s">
        <v>652</v>
      </c>
      <c r="C5" s="129">
        <v>98000</v>
      </c>
    </row>
    <row r="6" spans="1:3">
      <c r="A6" s="127" t="s">
        <v>668</v>
      </c>
      <c r="B6" s="128" t="s">
        <v>653</v>
      </c>
      <c r="C6" s="129">
        <v>115000</v>
      </c>
    </row>
    <row r="7" spans="1:3">
      <c r="A7" s="127" t="s">
        <v>669</v>
      </c>
      <c r="B7" s="128" t="s">
        <v>654</v>
      </c>
      <c r="C7" s="129">
        <v>115000</v>
      </c>
    </row>
    <row r="8" spans="1:3">
      <c r="A8" s="127" t="s">
        <v>670</v>
      </c>
      <c r="B8" s="128" t="s">
        <v>655</v>
      </c>
      <c r="C8" s="129">
        <v>85000</v>
      </c>
    </row>
    <row r="9" spans="1:3">
      <c r="A9" s="127" t="s">
        <v>671</v>
      </c>
      <c r="B9" s="128" t="s">
        <v>656</v>
      </c>
      <c r="C9" s="129">
        <v>98000</v>
      </c>
    </row>
    <row r="10" spans="1:3">
      <c r="A10" s="127" t="s">
        <v>672</v>
      </c>
      <c r="B10" s="128" t="s">
        <v>657</v>
      </c>
      <c r="C10" s="129">
        <v>98000</v>
      </c>
    </row>
    <row r="11" spans="1:3">
      <c r="A11" s="127" t="s">
        <v>673</v>
      </c>
      <c r="B11" s="128" t="s">
        <v>658</v>
      </c>
      <c r="C11" s="129">
        <v>98000</v>
      </c>
    </row>
    <row r="12" spans="1:3">
      <c r="A12" s="127" t="s">
        <v>674</v>
      </c>
      <c r="B12" s="128" t="s">
        <v>659</v>
      </c>
      <c r="C12" s="129">
        <v>115000</v>
      </c>
    </row>
    <row r="13" spans="1:3">
      <c r="A13" s="127" t="s">
        <v>675</v>
      </c>
      <c r="B13" s="128" t="s">
        <v>660</v>
      </c>
      <c r="C13" s="129">
        <v>115000</v>
      </c>
    </row>
    <row r="14" spans="1:3">
      <c r="A14" s="127" t="s">
        <v>676</v>
      </c>
      <c r="B14" s="128" t="s">
        <v>661</v>
      </c>
      <c r="C14" s="129">
        <v>155000</v>
      </c>
    </row>
    <row r="15" spans="1:3">
      <c r="A15" s="127" t="s">
        <v>677</v>
      </c>
      <c r="B15" s="128" t="s">
        <v>662</v>
      </c>
      <c r="C15" s="129">
        <v>155000</v>
      </c>
    </row>
    <row r="16" spans="1:3">
      <c r="A16" s="127" t="s">
        <v>678</v>
      </c>
      <c r="B16" s="128" t="s">
        <v>663</v>
      </c>
      <c r="C16" s="129">
        <v>195000</v>
      </c>
    </row>
    <row r="17" spans="1:3">
      <c r="A17" s="139" t="s">
        <v>704</v>
      </c>
      <c r="B17" s="140" t="s">
        <v>692</v>
      </c>
      <c r="C17" s="141">
        <v>58000</v>
      </c>
    </row>
    <row r="18" spans="1:3">
      <c r="A18" s="139" t="s">
        <v>705</v>
      </c>
      <c r="B18" s="140" t="s">
        <v>693</v>
      </c>
      <c r="C18" s="141">
        <v>58000</v>
      </c>
    </row>
    <row r="19" spans="1:3">
      <c r="A19" s="139" t="s">
        <v>707</v>
      </c>
      <c r="B19" s="140" t="s">
        <v>694</v>
      </c>
      <c r="C19" s="141">
        <v>58000</v>
      </c>
    </row>
    <row r="20" spans="1:3">
      <c r="A20" s="139" t="s">
        <v>706</v>
      </c>
      <c r="B20" s="140" t="s">
        <v>695</v>
      </c>
      <c r="C20" s="141">
        <v>98000</v>
      </c>
    </row>
    <row r="21" spans="1:3">
      <c r="A21" s="139" t="s">
        <v>708</v>
      </c>
      <c r="B21" s="140" t="s">
        <v>696</v>
      </c>
      <c r="C21" s="141">
        <v>115000</v>
      </c>
    </row>
    <row r="22" spans="1:3">
      <c r="A22" s="139" t="s">
        <v>709</v>
      </c>
      <c r="B22" s="140" t="s">
        <v>697</v>
      </c>
      <c r="C22" s="141">
        <v>98000</v>
      </c>
    </row>
    <row r="23" spans="1:3">
      <c r="A23" s="139" t="s">
        <v>710</v>
      </c>
      <c r="B23" s="140" t="s">
        <v>698</v>
      </c>
      <c r="C23" s="141">
        <v>98000</v>
      </c>
    </row>
    <row r="24" spans="1:3">
      <c r="A24" s="139" t="s">
        <v>711</v>
      </c>
      <c r="B24" s="140" t="s">
        <v>699</v>
      </c>
      <c r="C24" s="141">
        <v>115000</v>
      </c>
    </row>
    <row r="25" spans="1:3">
      <c r="A25" s="139" t="s">
        <v>712</v>
      </c>
      <c r="B25" s="140" t="s">
        <v>700</v>
      </c>
      <c r="C25" s="141">
        <v>115000</v>
      </c>
    </row>
    <row r="26" spans="1:3">
      <c r="A26" s="139" t="s">
        <v>713</v>
      </c>
      <c r="B26" s="140" t="s">
        <v>701</v>
      </c>
      <c r="C26" s="141">
        <v>115000</v>
      </c>
    </row>
    <row r="27" spans="1:3">
      <c r="A27" s="139" t="s">
        <v>714</v>
      </c>
      <c r="B27" s="140" t="s">
        <v>702</v>
      </c>
      <c r="C27" s="141">
        <v>125000</v>
      </c>
    </row>
    <row r="28" spans="1:3">
      <c r="A28" s="139" t="s">
        <v>715</v>
      </c>
      <c r="B28" s="140" t="s">
        <v>703</v>
      </c>
      <c r="C28" s="141">
        <v>125000</v>
      </c>
    </row>
    <row r="29" spans="1:3">
      <c r="A29" s="155" t="s">
        <v>753</v>
      </c>
      <c r="B29" s="156" t="s">
        <v>754</v>
      </c>
      <c r="C29" s="157">
        <v>85000</v>
      </c>
    </row>
    <row r="30" spans="1:3">
      <c r="A30" s="155" t="s">
        <v>755</v>
      </c>
      <c r="B30" s="156" t="s">
        <v>756</v>
      </c>
      <c r="C30" s="157">
        <v>85000</v>
      </c>
    </row>
    <row r="31" spans="1:3">
      <c r="A31" s="155" t="s">
        <v>757</v>
      </c>
      <c r="B31" s="156" t="s">
        <v>758</v>
      </c>
      <c r="C31" s="157">
        <v>98000</v>
      </c>
    </row>
    <row r="32" spans="1:3">
      <c r="A32" s="155" t="s">
        <v>759</v>
      </c>
      <c r="B32" s="156" t="s">
        <v>760</v>
      </c>
      <c r="C32" s="157">
        <v>98000</v>
      </c>
    </row>
    <row r="33" spans="1:3">
      <c r="A33" s="155" t="s">
        <v>761</v>
      </c>
      <c r="B33" s="156" t="s">
        <v>762</v>
      </c>
      <c r="C33" s="157">
        <v>98000</v>
      </c>
    </row>
    <row r="34" spans="1:3">
      <c r="A34" s="155" t="s">
        <v>763</v>
      </c>
      <c r="B34" s="156" t="s">
        <v>764</v>
      </c>
      <c r="C34" s="157">
        <v>115000</v>
      </c>
    </row>
    <row r="35" spans="1:3">
      <c r="A35" s="155" t="s">
        <v>765</v>
      </c>
      <c r="B35" s="156" t="s">
        <v>766</v>
      </c>
      <c r="C35" s="157">
        <v>115000</v>
      </c>
    </row>
    <row r="36" spans="1:3">
      <c r="A36" s="155" t="s">
        <v>767</v>
      </c>
      <c r="B36" s="156" t="s">
        <v>754</v>
      </c>
      <c r="C36" s="157">
        <v>115000</v>
      </c>
    </row>
    <row r="37" spans="1:3">
      <c r="A37" s="155" t="s">
        <v>768</v>
      </c>
      <c r="B37" s="156" t="s">
        <v>769</v>
      </c>
      <c r="C37" s="157">
        <v>155000</v>
      </c>
    </row>
    <row r="38" spans="1:3">
      <c r="A38" s="155" t="s">
        <v>770</v>
      </c>
      <c r="B38" s="156" t="s">
        <v>771</v>
      </c>
      <c r="C38" s="157">
        <v>198000</v>
      </c>
    </row>
    <row r="39" spans="1:3">
      <c r="A39" s="155" t="s">
        <v>772</v>
      </c>
      <c r="B39" s="156" t="s">
        <v>773</v>
      </c>
      <c r="C39" s="157">
        <v>198000</v>
      </c>
    </row>
    <row r="40" spans="1:3">
      <c r="A40" s="155" t="s">
        <v>774</v>
      </c>
      <c r="B40" s="156" t="s">
        <v>775</v>
      </c>
      <c r="C40" s="157">
        <v>198000</v>
      </c>
    </row>
    <row r="41" spans="1:3">
      <c r="A41" s="155" t="s">
        <v>776</v>
      </c>
      <c r="B41" s="156" t="s">
        <v>777</v>
      </c>
      <c r="C41" s="157">
        <v>250000</v>
      </c>
    </row>
  </sheetData>
  <sheetProtection password="92B2" sheet="1" objects="1" scenarios="1"/>
  <conditionalFormatting sqref="A1:A1048576">
    <cfRule type="duplicateValues" dxfId="0" priority="1"/>
  </conditionalFormatting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NhapNhanh</vt:lpstr>
      <vt:lpstr>BanLe</vt:lpstr>
      <vt:lpstr>TongHop</vt:lpstr>
      <vt:lpstr>Combo</vt:lpstr>
      <vt:lpstr>DSSP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Hiep Le</dc:creator>
  <cp:lastModifiedBy>SONY</cp:lastModifiedBy>
  <dcterms:created xsi:type="dcterms:W3CDTF">2012-12-11T14:33:10Z</dcterms:created>
  <dcterms:modified xsi:type="dcterms:W3CDTF">2014-07-23T15:16:21Z</dcterms:modified>
</cp:coreProperties>
</file>